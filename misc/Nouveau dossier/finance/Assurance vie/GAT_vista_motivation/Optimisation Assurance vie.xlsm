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filterPrivacy="1" codeName="ThisWorkbook"/>
  <xr:revisionPtr revIDLastSave="0" documentId="8_{D668E914-4BE9-4F8B-8E25-85244AE4B14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" l="1"/>
  <c r="L4" i="1" s="1"/>
  <c r="D11" i="1" l="1"/>
  <c r="G11" i="1" s="1"/>
  <c r="J5" i="1" s="1"/>
  <c r="I4" i="1" l="1"/>
  <c r="D5" i="1" s="1"/>
  <c r="G12" i="1" s="1"/>
  <c r="G13" i="1" s="1"/>
  <c r="G14" i="1" s="1"/>
  <c r="D12" i="1" l="1"/>
  <c r="L5" i="1"/>
  <c r="D6" i="1"/>
  <c r="D7" i="1" l="1"/>
  <c r="D13" i="1"/>
  <c r="D14" i="1" l="1"/>
  <c r="L6" i="1"/>
</calcChain>
</file>

<file path=xl/sharedStrings.xml><?xml version="1.0" encoding="utf-8"?>
<sst xmlns="http://schemas.openxmlformats.org/spreadsheetml/2006/main" count="21" uniqueCount="14">
  <si>
    <t>Gain d’impôt</t>
  </si>
  <si>
    <t>Gain d’impôt en %</t>
  </si>
  <si>
    <t>Minimum d'impôt</t>
  </si>
  <si>
    <t>Revenu annuel Brut</t>
  </si>
  <si>
    <t>Revenu imposable</t>
  </si>
  <si>
    <t>IRPP</t>
  </si>
  <si>
    <t>Revenu net imposable</t>
  </si>
  <si>
    <t xml:space="preserve">Impôt sur le revenu </t>
  </si>
  <si>
    <t>Sans ASS</t>
  </si>
  <si>
    <t>Avec ASS</t>
  </si>
  <si>
    <t>Gain d'impôt max</t>
  </si>
  <si>
    <t>Impôt après assurance vie</t>
  </si>
  <si>
    <t>Prime d'assurance vie optimale</t>
  </si>
  <si>
    <t>Prime retenue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</si>
</sst>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1"/>
      <color rgb="FF041D44"/>
      <name val="Arial"/>
      <family val="2"/>
    </font>
    <font>
      <b/>
      <u/>
      <sz val="10"/>
      <color rgb="FF041D44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horizontal="center" vertical="center" wrapText="1"/>
      <protection hidden="1"/>
    </xf>
    <xf numFmtId="9" fontId="0" fillId="2" borderId="0" xfId="0" applyNumberFormat="1" applyFill="1" applyProtection="1">
      <protection hidden="1"/>
    </xf>
    <xf numFmtId="0" fontId="5" fillId="2" borderId="0" xfId="0" applyFont="1" applyFill="1" applyAlignment="1" applyProtection="1">
      <alignment vertical="center" wrapText="1"/>
      <protection hidden="1"/>
    </xf>
    <xf numFmtId="3" fontId="0" fillId="2" borderId="0" xfId="0" applyNumberFormat="1" applyFill="1" applyProtection="1">
      <protection hidden="1"/>
    </xf>
    <xf numFmtId="3" fontId="5" fillId="2" borderId="0" xfId="0" applyNumberFormat="1" applyFont="1" applyFill="1" applyAlignment="1" applyProtection="1">
      <alignment horizontal="center" vertical="center" wrapText="1"/>
      <protection hidden="1"/>
    </xf>
    <xf numFmtId="164" fontId="0" fillId="2" borderId="0" xfId="0" applyNumberFormat="1" applyFill="1" applyProtection="1">
      <protection hidden="1"/>
    </xf>
    <xf numFmtId="43" fontId="0" fillId="2" borderId="0" xfId="2" applyFont="1" applyFill="1" applyProtection="1">
      <protection hidden="1"/>
    </xf>
    <xf numFmtId="0" fontId="1" fillId="2" borderId="0" xfId="0" applyFont="1" applyFill="1" applyAlignment="1" applyProtection="1">
      <alignment vertical="center" wrapText="1"/>
      <protection hidden="1"/>
    </xf>
    <xf numFmtId="3" fontId="1" fillId="2" borderId="0" xfId="0" applyNumberFormat="1" applyFont="1" applyFill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vertical="center" wrapText="1"/>
      <protection locked="0"/>
    </xf>
    <xf numFmtId="3" fontId="1" fillId="2" borderId="0" xfId="0" applyNumberFormat="1" applyFont="1" applyFill="1" applyAlignment="1" applyProtection="1">
      <alignment horizontal="center" vertical="center" wrapText="1"/>
      <protection locked="0"/>
    </xf>
    <xf numFmtId="0" fontId="0" fillId="2" borderId="0" xfId="0" applyFill="1" applyProtection="1">
      <protection locked="0"/>
    </xf>
    <xf numFmtId="9" fontId="0" fillId="2" borderId="0" xfId="0" applyNumberFormat="1" applyFill="1" applyProtection="1">
      <protection locked="0"/>
    </xf>
    <xf numFmtId="43" fontId="0" fillId="2" borderId="0" xfId="2" applyFont="1" applyFill="1" applyProtection="1">
      <protection locked="0"/>
    </xf>
    <xf numFmtId="164" fontId="0" fillId="2" borderId="0" xfId="0" applyNumberFormat="1" applyFill="1" applyProtection="1"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3" fontId="4" fillId="2" borderId="0" xfId="0" applyNumberFormat="1" applyFont="1" applyFill="1" applyAlignment="1" applyProtection="1">
      <alignment horizontal="center" vertical="center" wrapText="1"/>
      <protection locked="0"/>
    </xf>
    <xf numFmtId="1" fontId="0" fillId="2" borderId="0" xfId="0" applyNumberFormat="1" applyFill="1" applyProtection="1">
      <protection locked="0"/>
    </xf>
    <xf numFmtId="3" fontId="0" fillId="2" borderId="0" xfId="0" applyNumberFormat="1" applyFill="1" applyProtection="1">
      <protection locked="0"/>
    </xf>
    <xf numFmtId="9" fontId="5" fillId="2" borderId="0" xfId="1" applyFont="1" applyFill="1" applyAlignment="1" applyProtection="1">
      <alignment horizontal="center" vertical="center" wrapText="1"/>
      <protection hidden="1"/>
    </xf>
    <xf numFmtId="1" fontId="0" fillId="2" borderId="0" xfId="1" applyNumberFormat="1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7</xdr:row>
          <xdr:rowOff>15240</xdr:rowOff>
        </xdr:from>
        <xdr:to>
          <xdr:col>3</xdr:col>
          <xdr:colOff>1318260</xdr:colOff>
          <xdr:row>9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640080</xdr:colOff>
          <xdr:row>7</xdr:row>
          <xdr:rowOff>15240</xdr:rowOff>
        </xdr:from>
        <xdr:to>
          <xdr:col>2</xdr:col>
          <xdr:colOff>1203960</xdr:colOff>
          <xdr:row>9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Recommencer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0</xdr:row>
      <xdr:rowOff>1</xdr:rowOff>
    </xdr:from>
    <xdr:to>
      <xdr:col>1</xdr:col>
      <xdr:colOff>2541</xdr:colOff>
      <xdr:row>3</xdr:row>
      <xdr:rowOff>71657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35000" cy="628502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C1:R21"/>
  <sheetViews>
    <sheetView tabSelected="1" zoomScaleNormal="100" workbookViewId="0">
      <selection activeCell="D27" sqref="D27"/>
    </sheetView>
  </sheetViews>
  <sheetFormatPr defaultColWidth="9.21875" defaultRowHeight="14.4" x14ac:dyDescent="0.3"/>
  <cols>
    <col min="1" max="2" width="9.21875" style="1"/>
    <col min="3" max="3" width="30.5546875" style="1" customWidth="1"/>
    <col min="4" max="4" width="19.21875" style="1" customWidth="1"/>
    <col min="5" max="5" width="8" style="1" bestFit="1" customWidth="1"/>
    <col min="6" max="6" width="25" style="1" customWidth="1"/>
    <col min="7" max="7" width="15.109375" style="1" customWidth="1"/>
    <col min="8" max="8" width="10.21875" style="1" hidden="1" customWidth="1"/>
    <col min="9" max="9" width="11.77734375" style="1" hidden="1" customWidth="1"/>
    <col min="10" max="10" width="11" style="1" hidden="1" customWidth="1"/>
    <col min="11" max="11" width="31.77734375" style="1" hidden="1" customWidth="1"/>
    <col min="12" max="12" width="25.44140625" style="1" hidden="1" customWidth="1"/>
    <col min="13" max="13" width="9.21875" style="1"/>
    <col min="14" max="14" width="11.77734375" style="1" bestFit="1" customWidth="1"/>
    <col min="15" max="15" width="9.21875" style="1" hidden="1" customWidth="1"/>
    <col min="16" max="16" width="9.21875" style="1" customWidth="1"/>
    <col min="17" max="16384" width="9.21875" style="1"/>
  </cols>
  <sheetData>
    <row r="1" spans="3:18" x14ac:dyDescent="0.3">
      <c r="G1" s="24"/>
      <c r="H1" s="24"/>
      <c r="I1" s="24"/>
      <c r="J1" s="24"/>
      <c r="K1" s="24"/>
    </row>
    <row r="2" spans="3:18" x14ac:dyDescent="0.3">
      <c r="G2" s="2"/>
      <c r="H2" s="2"/>
      <c r="I2" s="2"/>
      <c r="J2" s="2"/>
      <c r="K2" s="2"/>
    </row>
    <row r="3" spans="3:18" x14ac:dyDescent="0.3">
      <c r="D3" s="3"/>
      <c r="E3" s="3"/>
      <c r="I3" s="3" t="s">
        <v>8</v>
      </c>
      <c r="J3" s="3" t="s">
        <v>9</v>
      </c>
      <c r="K3" s="18" t="s">
        <v>12</v>
      </c>
      <c r="L3" s="19">
        <v>13403.846153846154</v>
      </c>
      <c r="N3" s="4"/>
      <c r="O3" s="1" t="s">
        <v>3</v>
      </c>
      <c r="R3" s="4"/>
    </row>
    <row r="4" spans="3:18" x14ac:dyDescent="0.3">
      <c r="C4" s="5" t="s">
        <v>6</v>
      </c>
      <c r="D4" s="7">
        <v>0</v>
      </c>
      <c r="E4" s="7"/>
      <c r="H4" s="1" t="s">
        <v>5</v>
      </c>
      <c r="I4" s="6">
        <f>IF(D4&lt;=5000,D4*0%,IF(D4&lt;=20000,(D4-5000)*0.26+0,IF(D4&lt;=30000,(D4-20000)*0.28+3900,IF(D4&lt;=50000,(D4-30000)*0.32+6700,(D4-50000)*0.35+13100))))</f>
        <v>0</v>
      </c>
      <c r="J4" s="6">
        <f>IF((D4-L3)&lt;=5000,(D4-L3)*0%,IF((D4-L3)&lt;=20000,((D4-L3)-5000)*0.26+0,IF((D4-L3)&lt;=30000,((D4-L3)-20000)*0.28+3900,IF((D4-L3)&lt;=50000,((D4-L3)-30000)*0.32+6700,((D4-L3)-50000)*0.35+13100))))</f>
        <v>0</v>
      </c>
      <c r="K4" s="18" t="s">
        <v>11</v>
      </c>
      <c r="L4" s="7">
        <f>J4</f>
        <v>0</v>
      </c>
      <c r="N4" s="4"/>
      <c r="O4" s="1" t="s">
        <v>4</v>
      </c>
      <c r="R4" s="4"/>
    </row>
    <row r="5" spans="3:18" x14ac:dyDescent="0.3">
      <c r="C5" s="5" t="s">
        <v>7</v>
      </c>
      <c r="D5" s="7">
        <f>+I4</f>
        <v>0</v>
      </c>
      <c r="E5" s="7"/>
      <c r="I5" s="4"/>
      <c r="J5" s="6">
        <f>IF((D4-G11)&lt;=5000,(D4-G11)*0%,IF((D4-G11)&lt;=20000,((D4-G11)-5000)*0.26+0,IF((D4-G11)&lt;=30000,((D4-G11)-20000)*0.28+3900,IF((D4-G11)&lt;=50000,((D4-G11)-30000)*0.32+6700,((D4-G11)-50000)*0.35+13100))))</f>
        <v>0</v>
      </c>
      <c r="K5" s="18" t="s">
        <v>0</v>
      </c>
      <c r="L5" s="7">
        <f>+D5-L4</f>
        <v>0</v>
      </c>
      <c r="N5" s="4"/>
      <c r="R5" s="4"/>
    </row>
    <row r="6" spans="3:18" x14ac:dyDescent="0.3">
      <c r="C6" s="5" t="s">
        <v>2</v>
      </c>
      <c r="D6" s="7">
        <f>+I4*0.45</f>
        <v>0</v>
      </c>
      <c r="E6" s="7"/>
      <c r="I6" s="4"/>
      <c r="J6" s="4"/>
      <c r="K6" s="18" t="s">
        <v>1</v>
      </c>
      <c r="L6" s="22">
        <f>L5/L3</f>
        <v>0</v>
      </c>
      <c r="N6" s="4"/>
      <c r="R6" s="4"/>
    </row>
    <row r="7" spans="3:18" x14ac:dyDescent="0.3">
      <c r="C7" s="5" t="s">
        <v>10</v>
      </c>
      <c r="D7" s="7">
        <f>+IF((D5-D6)&gt;35000,35000,D5-D6)</f>
        <v>0</v>
      </c>
      <c r="E7" s="7"/>
      <c r="I7" s="4"/>
      <c r="J7" s="9"/>
      <c r="L7" s="8"/>
      <c r="N7" s="4"/>
      <c r="R7" s="4"/>
    </row>
    <row r="8" spans="3:18" x14ac:dyDescent="0.3">
      <c r="C8" s="10"/>
      <c r="D8" s="11"/>
      <c r="E8" s="11"/>
      <c r="H8" s="4"/>
      <c r="I8" s="23"/>
      <c r="J8" s="9"/>
      <c r="L8" s="8"/>
      <c r="N8" s="4"/>
      <c r="R8" s="4"/>
    </row>
    <row r="9" spans="3:18" x14ac:dyDescent="0.3">
      <c r="C9" s="10"/>
      <c r="D9" s="11"/>
      <c r="E9" s="11"/>
      <c r="H9" s="4"/>
      <c r="I9" s="23"/>
      <c r="J9" s="9"/>
      <c r="L9" s="8"/>
      <c r="N9" s="4"/>
      <c r="R9" s="4"/>
    </row>
    <row r="10" spans="3:18" s="14" customFormat="1" x14ac:dyDescent="0.3">
      <c r="C10" s="12"/>
      <c r="D10" s="13"/>
      <c r="E10" s="13"/>
      <c r="H10" s="15"/>
      <c r="I10" s="23"/>
      <c r="J10" s="16"/>
      <c r="L10" s="17"/>
      <c r="N10" s="15"/>
      <c r="R10" s="15"/>
    </row>
    <row r="11" spans="3:18" s="14" customFormat="1" hidden="1" x14ac:dyDescent="0.3">
      <c r="C11" s="18" t="s">
        <v>12</v>
      </c>
      <c r="D11" s="19">
        <f>+IF(L3&gt;100000,100000,L3)</f>
        <v>13403.846153846154</v>
      </c>
      <c r="E11" s="19"/>
      <c r="F11" s="18" t="s">
        <v>13</v>
      </c>
      <c r="G11" s="19">
        <f>+D11</f>
        <v>13403.846153846154</v>
      </c>
      <c r="I11" s="23"/>
      <c r="J11" s="20"/>
      <c r="K11" s="21"/>
      <c r="N11" s="15"/>
      <c r="R11" s="15"/>
    </row>
    <row r="12" spans="3:18" s="14" customFormat="1" hidden="1" x14ac:dyDescent="0.3">
      <c r="C12" s="18" t="s">
        <v>11</v>
      </c>
      <c r="D12" s="7">
        <f>IF(L3&gt;100000,D5-35000,L4)</f>
        <v>0</v>
      </c>
      <c r="E12" s="7"/>
      <c r="F12" s="18" t="s">
        <v>11</v>
      </c>
      <c r="G12" s="7">
        <f>MAX(J5,D5-35000)</f>
        <v>0</v>
      </c>
      <c r="I12" s="15"/>
      <c r="J12" s="15"/>
      <c r="L12" s="17"/>
      <c r="N12" s="15"/>
      <c r="R12" s="15"/>
    </row>
    <row r="13" spans="3:18" s="14" customFormat="1" hidden="1" x14ac:dyDescent="0.3">
      <c r="C13" s="18" t="s">
        <v>0</v>
      </c>
      <c r="D13" s="7">
        <f>D5-D12</f>
        <v>0</v>
      </c>
      <c r="E13" s="7"/>
      <c r="F13" s="18" t="s">
        <v>0</v>
      </c>
      <c r="G13" s="7">
        <f>D5-G12</f>
        <v>0</v>
      </c>
      <c r="I13" s="15"/>
      <c r="J13" s="15"/>
      <c r="L13" s="17"/>
      <c r="N13" s="15"/>
      <c r="R13" s="15"/>
    </row>
    <row r="14" spans="3:18" s="14" customFormat="1" hidden="1" x14ac:dyDescent="0.3">
      <c r="C14" s="18" t="s">
        <v>1</v>
      </c>
      <c r="D14" s="22">
        <f>D13/D11</f>
        <v>0</v>
      </c>
      <c r="E14" s="22"/>
      <c r="F14" s="18" t="s">
        <v>1</v>
      </c>
      <c r="G14" s="22">
        <f>G13/G11</f>
        <v>0</v>
      </c>
    </row>
    <row r="15" spans="3:18" s="14" customFormat="1" hidden="1" x14ac:dyDescent="0.3">
      <c r="C15" s="18"/>
      <c r="D15" s="22"/>
      <c r="E15" s="22"/>
    </row>
    <row r="16" spans="3:18" s="14" customFormat="1" hidden="1" x14ac:dyDescent="0.3">
      <c r="C16" s="18"/>
      <c r="D16" s="22"/>
      <c r="E16" s="22"/>
    </row>
    <row r="17" s="14" customFormat="1" hidden="1" x14ac:dyDescent="0.3"/>
    <row r="18" s="14" customFormat="1" x14ac:dyDescent="0.3"/>
    <row r="19" s="14" customFormat="1" x14ac:dyDescent="0.3"/>
    <row r="20" s="14" customFormat="1" x14ac:dyDescent="0.3"/>
    <row r="21" s="14" customFormat="1" x14ac:dyDescent="0.3"/>
  </sheetData>
  <scenarios current="0">
    <scenario name="Prime " locked="1" count="1" user="Author" comment="Créé par Auteur le 05/01/2021">
      <inputCells r="L3" val="100000" numFmtId="3"/>
    </scenario>
    <scenario name="impôt" locked="1" count="1" user="Author" comment="Créé par Auteur le 05/01/2021">
      <inputCells r="L4" val="49600"/>
    </scenario>
  </scenarios>
  <mergeCells count="2">
    <mergeCell ref="G1:I1"/>
    <mergeCell ref="J1:K1"/>
  </mergeCells>
  <pageMargins left="0.7" right="0.7" top="0.75" bottom="0.75" header="0.3" footer="0.3"/>
  <pageSetup paperSize="9" orientation="portrait" r:id="rId1"/>
  <ignoredErrors>
    <ignoredError sqref="D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3</xdr:col>
                    <xdr:colOff>83820</xdr:colOff>
                    <xdr:row>7</xdr:row>
                    <xdr:rowOff>15240</xdr:rowOff>
                  </from>
                  <to>
                    <xdr:col>3</xdr:col>
                    <xdr:colOff>1318260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3">
                <anchor moveWithCells="1" sizeWithCells="1">
                  <from>
                    <xdr:col>1</xdr:col>
                    <xdr:colOff>640080</xdr:colOff>
                    <xdr:row>7</xdr:row>
                    <xdr:rowOff>15240</xdr:rowOff>
                  </from>
                  <to>
                    <xdr:col>2</xdr:col>
                    <xdr:colOff>1203960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2024-01-12T10:57:22Z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1e58c1-766d-4ff4-9619-b604fc37898b_Enabled">
    <vt:lpwstr>true</vt:lpwstr>
  </property>
  <property fmtid="{D5CDD505-2E9C-101B-9397-08002B2CF9AE}" pid="3" name="MSIP_Label_9e1e58c1-766d-4ff4-9619-b604fc37898b_SetDate">
    <vt:lpwstr>2024-01-12T10:55:13Z</vt:lpwstr>
  </property>
  <property fmtid="{D5CDD505-2E9C-101B-9397-08002B2CF9AE}" pid="4" name="MSIP_Label_9e1e58c1-766d-4ff4-9619-b604fc37898b_Method">
    <vt:lpwstr>Standard</vt:lpwstr>
  </property>
  <property fmtid="{D5CDD505-2E9C-101B-9397-08002B2CF9AE}" pid="5" name="MSIP_Label_9e1e58c1-766d-4ff4-9619-b604fc37898b_Name">
    <vt:lpwstr>Internal Use</vt:lpwstr>
  </property>
  <property fmtid="{D5CDD505-2E9C-101B-9397-08002B2CF9AE}" pid="6" name="MSIP_Label_9e1e58c1-766d-4ff4-9619-b604fc37898b_SiteId">
    <vt:lpwstr>e3ff91d8-34c8-4b15-a0b4-18910a6ac575</vt:lpwstr>
  </property>
  <property fmtid="{D5CDD505-2E9C-101B-9397-08002B2CF9AE}" pid="7" name="MSIP_Label_9e1e58c1-766d-4ff4-9619-b604fc37898b_ActionId">
    <vt:lpwstr>e44469cb-117e-4457-b1fa-dbd60c3037c1</vt:lpwstr>
  </property>
  <property fmtid="{D5CDD505-2E9C-101B-9397-08002B2CF9AE}" pid="8" name="MSIP_Label_9e1e58c1-766d-4ff4-9619-b604fc37898b_ContentBits">
    <vt:lpwstr>0</vt:lpwstr>
  </property>
</Properties>
</file>