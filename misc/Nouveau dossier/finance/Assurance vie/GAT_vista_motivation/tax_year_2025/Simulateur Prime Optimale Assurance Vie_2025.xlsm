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957460C9-B318-DD5D-5CC9-C049C1E746CC}"/>
  <workbookPr filterPrivacy="1" codeName="ThisWorkbook"/>
  <xr:revisionPtr revIDLastSave="0" documentId="8_{015190D9-4B28-4BED-8EED-A710B7306F7D}" xr6:coauthVersionLast="47" xr6:coauthVersionMax="47" xr10:uidLastSave="{00000000-0000-0000-0000-000000000000}"/>
  <bookViews>
    <workbookView xWindow="3120" yWindow="3120" windowWidth="21600" windowHeight="11235" xr2:uid="{00000000-000D-0000-FFFF-FFFF0000000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1" l="1"/>
  <c r="D28" i="1" s="1"/>
  <c r="J5" i="1" l="1"/>
  <c r="I4" i="1"/>
  <c r="D6" i="1" s="1"/>
  <c r="D5" i="1" l="1"/>
  <c r="D7" i="1" s="1"/>
  <c r="J4" i="1"/>
  <c r="L4" i="1" s="1"/>
  <c r="D18" i="1" l="1"/>
  <c r="D11" i="1"/>
  <c r="D12" i="1" l="1"/>
  <c r="L5" i="1"/>
  <c r="D19" i="1"/>
  <c r="D20" i="1" s="1"/>
  <c r="D29" i="1" s="1"/>
  <c r="D13" i="1" l="1"/>
  <c r="D14" i="1" l="1"/>
  <c r="L6" i="1"/>
</calcChain>
</file>

<file path=xl/sharedStrings.xml><?xml version="1.0" encoding="utf-8"?>
<sst xmlns="http://schemas.openxmlformats.org/spreadsheetml/2006/main" count="29" uniqueCount="22">
  <si>
    <t>Gain d’impôt</t>
  </si>
  <si>
    <t>Gain d’impôt en %</t>
  </si>
  <si>
    <t>Minimum d'impôt</t>
  </si>
  <si>
    <t>Revenu annuel Brut</t>
  </si>
  <si>
    <t>Revenu imposable</t>
  </si>
  <si>
    <t>IRPP</t>
  </si>
  <si>
    <t>Revenu net imposable</t>
  </si>
  <si>
    <t xml:space="preserve">Impôt sur le revenu </t>
  </si>
  <si>
    <t>Sans ASS</t>
  </si>
  <si>
    <t>Avec ASS</t>
  </si>
  <si>
    <t>Gain d'impôt max</t>
  </si>
  <si>
    <t>Impôt après assurance vie</t>
  </si>
  <si>
    <t>Prime d'assurance vie optimale</t>
  </si>
  <si>
    <t>Prime à payer</t>
  </si>
  <si>
    <t>Versement Vista Motivation (5%)</t>
  </si>
  <si>
    <t>Autres contrats individuels</t>
  </si>
  <si>
    <t>Versement ASTREE</t>
  </si>
  <si>
    <t>Versement ZITOUNA</t>
  </si>
  <si>
    <t>Crédit 1er logement</t>
  </si>
  <si>
    <t>Total avantages fiscaux</t>
  </si>
  <si>
    <t>Crédit ABC à souscrire</t>
  </si>
  <si>
    <t>Gain d'impôt / crédit 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</si>
</sst>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"/>
    <numFmt numFmtId="165" formatCode="_-* #,##0\ &quot;DT&quot;_-;\-* #,##0\ &quot;DT&quot;_-;_-* &quot;-&quot;??\ &quot;DT&quot;_-;_-@_-"/>
  </numFmts>
  <fonts count="8" x14ac:knownFonts="1">
    <font>
      <sz val="11"/>
      <color theme="1"/>
      <name val="Calibri"/>
      <family val="2"/>
      <scheme val="minor"/>
    </font>
    <font>
      <sz val="11"/>
      <color rgb="FF041D44"/>
      <name val="Arial"/>
      <family val="2"/>
    </font>
    <font>
      <b/>
      <u/>
      <sz val="10"/>
      <color rgb="FF041D44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Arial"/>
      <family val="2"/>
    </font>
    <font>
      <sz val="11"/>
      <name val="Arial"/>
      <family val="2"/>
    </font>
    <font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27">
    <xf numFmtId="0" fontId="0" fillId="0" borderId="0" xfId="0"/>
    <xf numFmtId="0" fontId="0" fillId="2" borderId="0" xfId="0" applyFill="1" applyProtection="1">
      <protection hidden="1"/>
    </xf>
    <xf numFmtId="0" fontId="2" fillId="2" borderId="0" xfId="0" applyFont="1" applyFill="1" applyAlignment="1" applyProtection="1">
      <alignment horizontal="center" vertical="center" wrapText="1"/>
      <protection hidden="1"/>
    </xf>
    <xf numFmtId="9" fontId="0" fillId="2" borderId="0" xfId="0" applyNumberFormat="1" applyFill="1" applyProtection="1">
      <protection hidden="1"/>
    </xf>
    <xf numFmtId="0" fontId="5" fillId="2" borderId="0" xfId="0" applyFont="1" applyFill="1" applyAlignment="1" applyProtection="1">
      <alignment vertical="center" wrapText="1"/>
      <protection hidden="1"/>
    </xf>
    <xf numFmtId="3" fontId="0" fillId="2" borderId="0" xfId="0" applyNumberFormat="1" applyFill="1" applyProtection="1">
      <protection hidden="1"/>
    </xf>
    <xf numFmtId="3" fontId="5" fillId="2" borderId="0" xfId="0" applyNumberFormat="1" applyFont="1" applyFill="1" applyAlignment="1" applyProtection="1">
      <alignment horizontal="center" vertical="center" wrapText="1"/>
      <protection hidden="1"/>
    </xf>
    <xf numFmtId="164" fontId="0" fillId="2" borderId="0" xfId="0" applyNumberFormat="1" applyFill="1" applyProtection="1">
      <protection hidden="1"/>
    </xf>
    <xf numFmtId="43" fontId="0" fillId="2" borderId="0" xfId="2" applyFont="1" applyFill="1" applyProtection="1">
      <protection hidden="1"/>
    </xf>
    <xf numFmtId="0" fontId="1" fillId="2" borderId="0" xfId="0" applyFont="1" applyFill="1" applyAlignment="1" applyProtection="1">
      <alignment vertical="center" wrapText="1"/>
      <protection hidden="1"/>
    </xf>
    <xf numFmtId="3" fontId="1" fillId="2" borderId="0" xfId="0" applyNumberFormat="1" applyFont="1" applyFill="1" applyAlignment="1" applyProtection="1">
      <alignment horizontal="center" vertical="center" wrapText="1"/>
      <protection hidden="1"/>
    </xf>
    <xf numFmtId="3" fontId="4" fillId="2" borderId="0" xfId="0" applyNumberFormat="1" applyFont="1" applyFill="1" applyAlignment="1" applyProtection="1">
      <alignment horizontal="center" vertical="center" wrapText="1"/>
      <protection locked="0"/>
    </xf>
    <xf numFmtId="9" fontId="5" fillId="2" borderId="0" xfId="1" applyFont="1" applyFill="1" applyAlignment="1" applyProtection="1">
      <alignment horizontal="center" vertical="center" wrapText="1"/>
      <protection hidden="1"/>
    </xf>
    <xf numFmtId="1" fontId="0" fillId="2" borderId="0" xfId="1" applyNumberFormat="1" applyFont="1" applyFill="1" applyProtection="1">
      <protection hidden="1"/>
    </xf>
    <xf numFmtId="3" fontId="5" fillId="2" borderId="0" xfId="0" applyNumberFormat="1" applyFont="1" applyFill="1" applyAlignment="1" applyProtection="1">
      <alignment horizontal="center" vertical="center" wrapText="1"/>
      <protection locked="0"/>
    </xf>
    <xf numFmtId="3" fontId="4" fillId="2" borderId="0" xfId="0" applyNumberFormat="1" applyFont="1" applyFill="1" applyAlignment="1" applyProtection="1">
      <alignment horizontal="center" vertical="center" wrapText="1"/>
      <protection hidden="1"/>
    </xf>
    <xf numFmtId="1" fontId="0" fillId="2" borderId="0" xfId="0" applyNumberFormat="1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0" xfId="0" applyFill="1" applyProtection="1">
      <protection locked="0" hidden="1"/>
    </xf>
    <xf numFmtId="0" fontId="0" fillId="2" borderId="1" xfId="0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0" fillId="4" borderId="3" xfId="0" applyFill="1" applyBorder="1" applyProtection="1">
      <protection hidden="1"/>
    </xf>
    <xf numFmtId="0" fontId="0" fillId="2" borderId="1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4" borderId="4" xfId="0" applyFill="1" applyBorder="1" applyProtection="1">
      <protection locked="0"/>
    </xf>
    <xf numFmtId="165" fontId="7" fillId="2" borderId="0" xfId="0" applyNumberFormat="1" applyFont="1" applyFill="1" applyProtection="1">
      <protection locked="0"/>
    </xf>
    <xf numFmtId="0" fontId="0" fillId="2" borderId="0" xfId="0" applyFill="1" applyAlignment="1" applyProtection="1">
      <alignment horizontal="center"/>
      <protection hidden="1"/>
    </xf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7</xdr:row>
          <xdr:rowOff>19050</xdr:rowOff>
        </xdr:from>
        <xdr:to>
          <xdr:col>3</xdr:col>
          <xdr:colOff>1314450</xdr:colOff>
          <xdr:row>9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7</xdr:row>
          <xdr:rowOff>19050</xdr:rowOff>
        </xdr:from>
        <xdr:to>
          <xdr:col>2</xdr:col>
          <xdr:colOff>1200150</xdr:colOff>
          <xdr:row>9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Recommencer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0</xdr:col>
      <xdr:colOff>1</xdr:colOff>
      <xdr:row>0</xdr:row>
      <xdr:rowOff>1</xdr:rowOff>
    </xdr:from>
    <xdr:to>
      <xdr:col>1</xdr:col>
      <xdr:colOff>2541</xdr:colOff>
      <xdr:row>3</xdr:row>
      <xdr:rowOff>68482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635000" cy="628502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R29"/>
  <sheetViews>
    <sheetView tabSelected="1" zoomScaleNormal="100" workbookViewId="0">
      <selection activeCell="D4" sqref="D4"/>
    </sheetView>
  </sheetViews>
  <sheetFormatPr defaultColWidth="9.28515625" defaultRowHeight="15" x14ac:dyDescent="0.25"/>
  <cols>
    <col min="1" max="2" width="9.28515625" style="1"/>
    <col min="3" max="3" width="30.5703125" style="1" customWidth="1"/>
    <col min="4" max="4" width="19.28515625" style="1" customWidth="1"/>
    <col min="5" max="5" width="2.28515625" style="1" customWidth="1"/>
    <col min="6" max="6" width="25" style="1" customWidth="1"/>
    <col min="7" max="7" width="15.140625" style="1" hidden="1" customWidth="1"/>
    <col min="8" max="8" width="10.28515625" style="1" hidden="1" customWidth="1"/>
    <col min="9" max="9" width="11.7109375" style="1" hidden="1" customWidth="1"/>
    <col min="10" max="10" width="11" style="1" hidden="1" customWidth="1"/>
    <col min="11" max="11" width="31.7109375" style="1" hidden="1" customWidth="1"/>
    <col min="12" max="12" width="25.42578125" style="1" hidden="1" customWidth="1"/>
    <col min="13" max="13" width="9.28515625" style="1" customWidth="1"/>
    <col min="14" max="14" width="11.7109375" style="1" hidden="1" customWidth="1"/>
    <col min="15" max="16" width="9.28515625" style="1" hidden="1" customWidth="1"/>
    <col min="17" max="17" width="9.28515625" style="1" customWidth="1"/>
    <col min="18" max="16384" width="9.28515625" style="1"/>
  </cols>
  <sheetData>
    <row r="1" spans="1:18" x14ac:dyDescent="0.25">
      <c r="A1" s="18"/>
      <c r="B1" s="18"/>
      <c r="G1" s="26"/>
      <c r="H1" s="26"/>
      <c r="I1" s="26"/>
      <c r="J1" s="26"/>
      <c r="K1" s="26"/>
    </row>
    <row r="2" spans="1:18" x14ac:dyDescent="0.25">
      <c r="A2" s="18"/>
      <c r="B2" s="18"/>
      <c r="G2" s="17"/>
      <c r="H2" s="17"/>
      <c r="I2" s="17"/>
      <c r="J2" s="17"/>
      <c r="K2" s="17"/>
    </row>
    <row r="3" spans="1:18" x14ac:dyDescent="0.25">
      <c r="A3" s="18"/>
      <c r="B3" s="18"/>
      <c r="D3" s="2"/>
      <c r="E3" s="2"/>
      <c r="I3" s="2" t="s">
        <v>8</v>
      </c>
      <c r="J3" s="2" t="s">
        <v>9</v>
      </c>
      <c r="K3" s="4" t="s">
        <v>12</v>
      </c>
      <c r="L3" s="15">
        <v>16508.333333333332</v>
      </c>
      <c r="N3" s="3"/>
      <c r="O3" s="1" t="s">
        <v>3</v>
      </c>
      <c r="R3" s="3"/>
    </row>
    <row r="4" spans="1:18" x14ac:dyDescent="0.25">
      <c r="A4" s="18"/>
      <c r="B4" s="18"/>
      <c r="C4" s="4" t="s">
        <v>6</v>
      </c>
      <c r="D4" s="14">
        <v>0</v>
      </c>
      <c r="E4" s="6"/>
      <c r="H4" s="1" t="s">
        <v>5</v>
      </c>
      <c r="I4" s="5">
        <f>IF((D4)&lt;=5000,(D4)*0%,IF((D4)&lt;=10000,((D4)-5000)*0.15+0,IF((D4)&lt;=20000,((D4)-10000)*0.25+750,IF((D4)&lt;=30000,((D4)-20000)*0.3+3250,IF((D4)&lt;=40000,((D4)-30000)*0.33+6250,IF((D4)&lt;=50000,((D4)-40000)*0.36+9550,IF((D4)&lt;=70000,((D4)-50000)*0.38+13150,((D4)-70000)*0.4+20750)))))))</f>
        <v>0</v>
      </c>
      <c r="J4" s="5">
        <f>IF((D4-L3)&lt;=5000,(D4-L3)*0%,IF((D4-L3)&lt;=10000,((D4-L3)-5000)*0.15+0,IF((D4-L3)&lt;=20000,((D4-L3)-10000)*0.25+750,IF((D4-L3)&lt;=30000,((D4-L3)-20000)*0.3+3250,IF((D4-L3)&lt;=40000,((D4-L3)-30000)*0.33+6250,IF((D4-L3)&lt;=50000,((D4-L3)-40000)*0.36+9550,IF((D4-L3)&lt;=70000,((D4-L3)-50000)*0.38+13150,((D4-L3)-70000)*0.4+20750)))))))</f>
        <v>0</v>
      </c>
      <c r="K4" s="4" t="s">
        <v>11</v>
      </c>
      <c r="L4" s="6">
        <f>J4</f>
        <v>0</v>
      </c>
      <c r="N4" s="3"/>
      <c r="O4" s="1" t="s">
        <v>4</v>
      </c>
      <c r="R4" s="3"/>
    </row>
    <row r="5" spans="1:18" x14ac:dyDescent="0.25">
      <c r="A5" s="18"/>
      <c r="B5" s="18"/>
      <c r="C5" s="4" t="s">
        <v>7</v>
      </c>
      <c r="D5" s="6">
        <f>+I4</f>
        <v>0</v>
      </c>
      <c r="E5" s="6"/>
      <c r="I5" s="3"/>
      <c r="J5" s="5">
        <f>IF((D4-D17)&lt;=5000,(D4-D17)*0%,IF((D4-D17)&lt;=10000,((D4-D17)-5000)*0.15+0,IF((D4-D17)&lt;=20000,((D4-D17)-10000)*0.25+750,IF((D4-D17)&lt;=30000,((D4-D17)-20000)*0.3+3250,IF((D4-D17)&lt;=40000,((D4-D17)-30000)*0.33+6250,IF((D4-D17)&lt;=50000,((D4-D17)-40000)*0.36+9550,IF((D4-D17)&lt;=70000,((D4-D17)-50000)*0.38+13150,((D4-D17)-70000)*0.4+20750)))))))</f>
        <v>0</v>
      </c>
      <c r="K5" s="4" t="s">
        <v>0</v>
      </c>
      <c r="L5" s="6">
        <f>+D5-L4</f>
        <v>0</v>
      </c>
      <c r="N5" s="3"/>
      <c r="R5" s="3"/>
    </row>
    <row r="6" spans="1:18" x14ac:dyDescent="0.25">
      <c r="A6" s="18"/>
      <c r="B6" s="18"/>
      <c r="C6" s="4" t="s">
        <v>2</v>
      </c>
      <c r="D6" s="6">
        <f>+I4*0.45</f>
        <v>0</v>
      </c>
      <c r="E6" s="6"/>
      <c r="I6" s="3"/>
      <c r="J6" s="3"/>
      <c r="K6" s="4" t="s">
        <v>1</v>
      </c>
      <c r="L6" s="12">
        <f>L5/L3</f>
        <v>0</v>
      </c>
      <c r="N6" s="3"/>
      <c r="R6" s="3"/>
    </row>
    <row r="7" spans="1:18" x14ac:dyDescent="0.25">
      <c r="A7" s="18"/>
      <c r="B7" s="18"/>
      <c r="C7" s="4" t="s">
        <v>10</v>
      </c>
      <c r="D7" s="6">
        <f>+IF((D5-D6)&gt;40000,40000,D5-D6)</f>
        <v>0</v>
      </c>
      <c r="E7" s="6"/>
      <c r="I7" s="3"/>
      <c r="J7" s="8"/>
      <c r="L7" s="7"/>
      <c r="N7" s="3"/>
      <c r="R7" s="3"/>
    </row>
    <row r="8" spans="1:18" x14ac:dyDescent="0.25">
      <c r="A8" s="18"/>
      <c r="B8" s="18"/>
      <c r="C8" s="9"/>
      <c r="D8" s="10"/>
      <c r="E8" s="10"/>
      <c r="H8" s="3"/>
      <c r="I8" s="13"/>
      <c r="J8" s="8"/>
      <c r="L8" s="7"/>
      <c r="N8" s="3"/>
      <c r="R8" s="3"/>
    </row>
    <row r="9" spans="1:18" x14ac:dyDescent="0.25">
      <c r="A9" s="18"/>
      <c r="B9" s="18"/>
      <c r="C9" s="9"/>
      <c r="D9" s="10"/>
      <c r="E9" s="10"/>
      <c r="H9" s="3"/>
      <c r="I9" s="13"/>
      <c r="J9" s="8"/>
      <c r="L9" s="7"/>
      <c r="N9" s="3"/>
      <c r="R9" s="3"/>
    </row>
    <row r="10" spans="1:18" x14ac:dyDescent="0.25">
      <c r="A10" s="18"/>
      <c r="B10" s="18"/>
      <c r="C10" s="9"/>
      <c r="D10" s="10"/>
      <c r="E10" s="10"/>
      <c r="H10" s="3"/>
      <c r="I10" s="13"/>
      <c r="J10" s="8"/>
      <c r="L10" s="7"/>
      <c r="N10" s="3"/>
      <c r="R10" s="3"/>
    </row>
    <row r="11" spans="1:18" ht="28.5" x14ac:dyDescent="0.25">
      <c r="C11" s="4" t="s">
        <v>12</v>
      </c>
      <c r="D11" s="15">
        <f>+IF(L3&gt;100000,100000,L3)</f>
        <v>16508.333333333332</v>
      </c>
      <c r="E11" s="15"/>
      <c r="I11" s="13"/>
      <c r="J11" s="16"/>
      <c r="K11" s="5"/>
      <c r="N11" s="3"/>
      <c r="R11" s="3"/>
    </row>
    <row r="12" spans="1:18" x14ac:dyDescent="0.25">
      <c r="C12" s="4" t="s">
        <v>11</v>
      </c>
      <c r="D12" s="6">
        <f>IF(L3&gt;100000,D5-40000,L4)</f>
        <v>0</v>
      </c>
      <c r="E12" s="6"/>
      <c r="I12" s="3"/>
      <c r="J12" s="3"/>
      <c r="L12" s="7"/>
      <c r="N12" s="3"/>
      <c r="R12" s="3"/>
    </row>
    <row r="13" spans="1:18" x14ac:dyDescent="0.25">
      <c r="C13" s="4" t="s">
        <v>0</v>
      </c>
      <c r="D13" s="6">
        <f>D5-D12</f>
        <v>0</v>
      </c>
      <c r="E13" s="6"/>
      <c r="I13" s="3"/>
      <c r="J13" s="3"/>
      <c r="L13" s="7"/>
      <c r="N13" s="3"/>
      <c r="R13" s="3"/>
    </row>
    <row r="14" spans="1:18" x14ac:dyDescent="0.25">
      <c r="C14" s="4" t="s">
        <v>1</v>
      </c>
      <c r="D14" s="12">
        <f>D13/D11</f>
        <v>0</v>
      </c>
      <c r="E14" s="12"/>
    </row>
    <row r="15" spans="1:18" x14ac:dyDescent="0.25">
      <c r="C15" s="4"/>
      <c r="D15" s="12"/>
      <c r="E15" s="12"/>
    </row>
    <row r="16" spans="1:18" x14ac:dyDescent="0.25">
      <c r="C16" s="4"/>
      <c r="D16" s="12"/>
      <c r="E16" s="12"/>
    </row>
    <row r="17" spans="3:4" x14ac:dyDescent="0.25">
      <c r="C17" s="4" t="s">
        <v>13</v>
      </c>
      <c r="D17" s="11">
        <v>30000</v>
      </c>
    </row>
    <row r="18" spans="3:4" x14ac:dyDescent="0.25">
      <c r="C18" s="4" t="s">
        <v>11</v>
      </c>
      <c r="D18" s="6">
        <f>MAX(MAX(J5,D5-40000),D6)</f>
        <v>0</v>
      </c>
    </row>
    <row r="19" spans="3:4" x14ac:dyDescent="0.25">
      <c r="C19" s="4" t="s">
        <v>0</v>
      </c>
      <c r="D19" s="6">
        <f>D5-D18</f>
        <v>0</v>
      </c>
    </row>
    <row r="20" spans="3:4" x14ac:dyDescent="0.25">
      <c r="C20" s="4" t="s">
        <v>1</v>
      </c>
      <c r="D20" s="12">
        <f>D19/D17</f>
        <v>0</v>
      </c>
    </row>
    <row r="22" spans="3:4" x14ac:dyDescent="0.25">
      <c r="C22" s="19" t="s">
        <v>14</v>
      </c>
      <c r="D22" s="22"/>
    </row>
    <row r="23" spans="3:4" x14ac:dyDescent="0.25">
      <c r="C23" s="19" t="s">
        <v>15</v>
      </c>
      <c r="D23" s="22"/>
    </row>
    <row r="24" spans="3:4" x14ac:dyDescent="0.25">
      <c r="C24" s="19" t="s">
        <v>16</v>
      </c>
      <c r="D24" s="22"/>
    </row>
    <row r="25" spans="3:4" x14ac:dyDescent="0.25">
      <c r="C25" s="19" t="s">
        <v>17</v>
      </c>
      <c r="D25" s="22"/>
    </row>
    <row r="26" spans="3:4" x14ac:dyDescent="0.25">
      <c r="C26" s="19" t="s">
        <v>18</v>
      </c>
      <c r="D26" s="22"/>
    </row>
    <row r="27" spans="3:4" ht="15.75" thickBot="1" x14ac:dyDescent="0.3">
      <c r="C27" s="20" t="s">
        <v>19</v>
      </c>
      <c r="D27" s="23">
        <f>D22+D23+D24+D25+D26</f>
        <v>0</v>
      </c>
    </row>
    <row r="28" spans="3:4" ht="15.75" thickBot="1" x14ac:dyDescent="0.3">
      <c r="C28" s="21" t="s">
        <v>20</v>
      </c>
      <c r="D28" s="24">
        <f>D17-D27</f>
        <v>30000</v>
      </c>
    </row>
    <row r="29" spans="3:4" ht="18.75" x14ac:dyDescent="0.3">
      <c r="C29" s="1" t="s">
        <v>21</v>
      </c>
      <c r="D29" s="25">
        <f>D28*D20</f>
        <v>0</v>
      </c>
    </row>
  </sheetData>
  <sheetProtection algorithmName="SHA-512" hashValue="5ADFyhzaxBuPibp3T89SbPF0F6g0ICOux9mF0sl7UAdGJKm5YNrG/j2U1a9RpFceRosLxY02Npv3FovcJoQZ6g==" saltValue="mogIWsoypI4hQsfPdbWRzg==" spinCount="100000" sheet="1" objects="1" scenarios="1" formatCells="0" selectLockedCells="1"/>
  <protectedRanges>
    <protectedRange algorithmName="SHA-512" hashValue="NgPbod6z9zNOXISf5PnjLYTgb61ITW4LjgISeeJHQeuDBDgPG6mz/lPCkWvftnoSPHAt89wsqBe3T6BAhHzb5g==" saltValue="RAvBuNKBfqCnnWOYaW2MMg==" spinCount="100000" sqref="D22:D29" name="Plage1"/>
  </protectedRanges>
  <scenarios current="0">
    <scenario name="Prime " locked="1" count="1" user="Author" comment="Créé par Auteur le 05/01/2021">
      <inputCells r="L3" val="100000" numFmtId="3"/>
    </scenario>
    <scenario name="impôt" locked="1" count="1" user="Author" comment="Créé par Auteur le 05/01/2021">
      <inputCells r="L4" val="49600"/>
    </scenario>
  </scenarios>
  <mergeCells count="2">
    <mergeCell ref="G1:I1"/>
    <mergeCell ref="J1:K1"/>
  </mergeCells>
  <pageMargins left="0.7" right="0.7" top="0.75" bottom="0.75" header="0.3" footer="0.3"/>
  <pageSetup paperSize="9" orientation="portrait" r:id="rId1"/>
  <ignoredErrors>
    <ignoredError sqref="D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Macro2">
                <anchor moveWithCells="1" sizeWithCells="1">
                  <from>
                    <xdr:col>3</xdr:col>
                    <xdr:colOff>85725</xdr:colOff>
                    <xdr:row>7</xdr:row>
                    <xdr:rowOff>19050</xdr:rowOff>
                  </from>
                  <to>
                    <xdr:col>3</xdr:col>
                    <xdr:colOff>1314450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locked="0" defaultSize="0" print="0" autoFill="0" autoPict="0" macro="[0]!Macro3">
                <anchor moveWithCells="1" sizeWithCells="1">
                  <from>
                    <xdr:col>1</xdr:col>
                    <xdr:colOff>638175</xdr:colOff>
                    <xdr:row>7</xdr:row>
                    <xdr:rowOff>19050</xdr:rowOff>
                  </from>
                  <to>
                    <xdr:col>2</xdr:col>
                    <xdr:colOff>1200150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defaultColWidth="10.85546875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65ACACB1F1354A9102118DE7B0A5C8" ma:contentTypeVersion="10" ma:contentTypeDescription="Create a new document." ma:contentTypeScope="" ma:versionID="c78584c5c4a910604debf27311bb7108">
  <xsd:schema xmlns:xsd="http://www.w3.org/2001/XMLSchema" xmlns:xs="http://www.w3.org/2001/XMLSchema" xmlns:p="http://schemas.microsoft.com/office/2006/metadata/properties" xmlns:ns2="49cce5e4-b845-4b22-998d-5a37d6952e7a" targetNamespace="http://schemas.microsoft.com/office/2006/metadata/properties" ma:root="true" ma:fieldsID="d0651060b6baea45627d4ba4747ef80c" ns2:_="">
    <xsd:import namespace="49cce5e4-b845-4b22-998d-5a37d6952e7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cce5e4-b845-4b22-998d-5a37d6952e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3F72E6-F97E-42FB-913C-DD8F7B33EBFC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49cce5e4-b845-4b22-998d-5a37d6952e7a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72A373F-7199-444E-94AF-545EFA3B67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91B6C9E-B359-412B-9275-4041C7AFEC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cce5e4-b845-4b22-998d-5a37d6952e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2025-04-07T15:34:29Z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1e58c1-766d-4ff4-9619-b604fc37898b_Enabled">
    <vt:lpwstr>true</vt:lpwstr>
  </property>
  <property fmtid="{D5CDD505-2E9C-101B-9397-08002B2CF9AE}" pid="3" name="MSIP_Label_9e1e58c1-766d-4ff4-9619-b604fc37898b_SetDate">
    <vt:lpwstr>2025-02-06T14:34:32Z</vt:lpwstr>
  </property>
  <property fmtid="{D5CDD505-2E9C-101B-9397-08002B2CF9AE}" pid="4" name="MSIP_Label_9e1e58c1-766d-4ff4-9619-b604fc37898b_Method">
    <vt:lpwstr>Standard</vt:lpwstr>
  </property>
  <property fmtid="{D5CDD505-2E9C-101B-9397-08002B2CF9AE}" pid="5" name="MSIP_Label_9e1e58c1-766d-4ff4-9619-b604fc37898b_Name">
    <vt:lpwstr>Internal Use</vt:lpwstr>
  </property>
  <property fmtid="{D5CDD505-2E9C-101B-9397-08002B2CF9AE}" pid="6" name="MSIP_Label_9e1e58c1-766d-4ff4-9619-b604fc37898b_SiteId">
    <vt:lpwstr>e3ff91d8-34c8-4b15-a0b4-18910a6ac575</vt:lpwstr>
  </property>
  <property fmtid="{D5CDD505-2E9C-101B-9397-08002B2CF9AE}" pid="7" name="MSIP_Label_9e1e58c1-766d-4ff4-9619-b604fc37898b_ActionId">
    <vt:lpwstr>91f77f7d-f06c-440e-8b04-0251a4d33323</vt:lpwstr>
  </property>
  <property fmtid="{D5CDD505-2E9C-101B-9397-08002B2CF9AE}" pid="8" name="MSIP_Label_9e1e58c1-766d-4ff4-9619-b604fc37898b_ContentBits">
    <vt:lpwstr>0</vt:lpwstr>
  </property>
  <property fmtid="{D5CDD505-2E9C-101B-9397-08002B2CF9AE}" pid="9" name="ContentTypeId">
    <vt:lpwstr>0x0101002865ACACB1F1354A9102118DE7B0A5C8</vt:lpwstr>
  </property>
</Properties>
</file>