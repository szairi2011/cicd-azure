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628" codeName="{60716B99-48EF-4627-542C-1B4CF24DBC83}"/>
  <workbookPr codeName="ThisWorkbook" defaultThemeVersion="166925"/>
  <mc:AlternateContent xmlns:mc="http://schemas.openxmlformats.org/markup-compatibility/2006">
    <mc:Choice Requires="x15">
      <x15ac:absPath xmlns:x15ac="http://schemas.microsoft.com/office/spreadsheetml/2010/11/ac" url="C:\Users\e1079458\work\learn_allure\excel\fiscd_sit_ice_us_test_results\"/>
    </mc:Choice>
  </mc:AlternateContent>
  <xr:revisionPtr revIDLastSave="0" documentId="13_ncr:1_{731B4E1E-7829-4886-801E-DD9923DA132A}" xr6:coauthVersionLast="47" xr6:coauthVersionMax="47" xr10:uidLastSave="{00000000-0000-0000-0000-000000000000}"/>
  <bookViews>
    <workbookView xWindow="-28920" yWindow="-120" windowWidth="29040" windowHeight="15720" tabRatio="407" activeTab="2" xr2:uid="{EFFA6159-8C0D-4103-A4A1-453F4833F4C6}"/>
  </bookViews>
  <sheets>
    <sheet name="Trade Clearing BRD Requirements" sheetId="1" r:id="rId1"/>
    <sheet name="Legend" sheetId="3" r:id="rId2"/>
    <sheet name="Summary" sheetId="4" r:id="rId3"/>
    <sheet name="Sheet1" sheetId="9" r:id="rId4"/>
    <sheet name="Table 1" sheetId="6" state="hidden" r:id="rId5"/>
    <sheet name="Table 3" sheetId="7" state="hidden" r:id="rId6"/>
    <sheet name="Sheet4" sheetId="8" state="hidden" r:id="rId7"/>
  </sheets>
  <functionGroups builtInGroupCount="19"/>
  <definedNames>
    <definedName name="_xlnm._FilterDatabase" localSheetId="0" hidden="1">'Trade Clearing BRD Requirements'!$A$1:$JF$763</definedName>
  </definedNames>
  <calcPr calcId="191028"/>
  <pivotCaches>
    <pivotCache cacheId="0" r:id="rId8"/>
    <pivotCache cacheId="1" r:id="rId9"/>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11" i="9" l="1"/>
  <c r="C12" i="9"/>
  <c r="C7" i="9"/>
  <c r="C8" i="9"/>
  <c r="C3" i="9"/>
  <c r="C4" i="9"/>
  <c r="C2" i="9"/>
  <c r="C29" i="8"/>
  <c r="E29" i="8" s="1"/>
  <c r="C28" i="8"/>
  <c r="E28" i="8" s="1"/>
  <c r="C27" i="8"/>
  <c r="E27" i="8" s="1"/>
  <c r="C26" i="8"/>
  <c r="E26" i="8" s="1"/>
  <c r="C25" i="8"/>
  <c r="E25" i="8" s="1"/>
  <c r="C24" i="8"/>
  <c r="E24" i="8" s="1"/>
  <c r="C23" i="8"/>
  <c r="E23" i="8" s="1"/>
  <c r="C22" i="8"/>
  <c r="E22" i="8" s="1"/>
  <c r="C21" i="8"/>
  <c r="E21" i="8" s="1"/>
  <c r="C20" i="8"/>
  <c r="E20" i="8" s="1"/>
  <c r="C19" i="8"/>
  <c r="E19" i="8" s="1"/>
  <c r="C18" i="8"/>
  <c r="E18" i="8" s="1"/>
  <c r="C17" i="8"/>
  <c r="E17" i="8" s="1"/>
  <c r="C16" i="8"/>
  <c r="E16" i="8" s="1"/>
  <c r="C15" i="8"/>
  <c r="E15" i="8" s="1"/>
  <c r="C14" i="8"/>
  <c r="E14" i="8" s="1"/>
  <c r="C13" i="8"/>
  <c r="E13" i="8" s="1"/>
  <c r="C12" i="8"/>
  <c r="E12" i="8" s="1"/>
  <c r="C11" i="8"/>
  <c r="E11" i="8" s="1"/>
  <c r="C10" i="8"/>
  <c r="E10" i="8" s="1"/>
  <c r="C9" i="8"/>
  <c r="E9" i="8" s="1"/>
  <c r="C8" i="8"/>
  <c r="E8" i="8" s="1"/>
  <c r="C7" i="8"/>
  <c r="E7" i="8" s="1"/>
  <c r="C6" i="8"/>
  <c r="E6" i="8" s="1"/>
  <c r="C5" i="8"/>
  <c r="E5" i="8" s="1"/>
  <c r="C4" i="8"/>
  <c r="E4" i="8" s="1"/>
  <c r="C3" i="8"/>
  <c r="K3" i="4" a="1"/>
  <c r="K3" i="4" l="1"/>
  <c r="C30" i="8"/>
  <c r="E3" i="8"/>
  <c r="G28" i="4"/>
  <c r="F28" i="4"/>
  <c r="D28" i="4"/>
  <c r="C28" i="4"/>
  <c r="C27" i="4"/>
  <c r="G14" i="4"/>
  <c r="F14" i="4"/>
  <c r="D14" i="4"/>
  <c r="C14" i="4"/>
  <c r="C13" i="4"/>
  <c r="D29" i="4"/>
  <c r="G3" i="4"/>
  <c r="G4" i="4"/>
  <c r="G5" i="4"/>
  <c r="G6" i="4"/>
  <c r="G7" i="4"/>
  <c r="G8" i="4"/>
  <c r="G9" i="4"/>
  <c r="G10" i="4"/>
  <c r="G11" i="4"/>
  <c r="G12" i="4"/>
  <c r="G13" i="4"/>
  <c r="G15" i="4"/>
  <c r="G16" i="4"/>
  <c r="G17" i="4"/>
  <c r="G18" i="4"/>
  <c r="G19" i="4"/>
  <c r="G20" i="4"/>
  <c r="G21" i="4"/>
  <c r="G22" i="4"/>
  <c r="G23" i="4"/>
  <c r="G24" i="4"/>
  <c r="G25" i="4"/>
  <c r="G26" i="4"/>
  <c r="G27" i="4"/>
  <c r="G29" i="4"/>
  <c r="F3" i="4"/>
  <c r="F4" i="4"/>
  <c r="F5" i="4"/>
  <c r="F6" i="4"/>
  <c r="F7" i="4"/>
  <c r="F8" i="4"/>
  <c r="F9" i="4"/>
  <c r="F10" i="4"/>
  <c r="F11" i="4"/>
  <c r="F12" i="4"/>
  <c r="F13" i="4"/>
  <c r="F15" i="4"/>
  <c r="F16" i="4"/>
  <c r="F17" i="4"/>
  <c r="F18" i="4"/>
  <c r="F19" i="4"/>
  <c r="F20" i="4"/>
  <c r="F21" i="4"/>
  <c r="F22" i="4"/>
  <c r="F23" i="4"/>
  <c r="F24" i="4"/>
  <c r="F25" i="4"/>
  <c r="F26" i="4"/>
  <c r="F27" i="4"/>
  <c r="F29" i="4"/>
  <c r="D3" i="4"/>
  <c r="J3" i="4" s="1"/>
  <c r="D4" i="4"/>
  <c r="J4" i="4" s="1"/>
  <c r="D5" i="4"/>
  <c r="D6" i="4"/>
  <c r="J6" i="4" s="1"/>
  <c r="D7" i="4"/>
  <c r="J7" i="4" s="1"/>
  <c r="D8" i="4"/>
  <c r="J8" i="4" s="1"/>
  <c r="D9" i="4"/>
  <c r="J9" i="4" s="1"/>
  <c r="D10" i="4"/>
  <c r="J10" i="4" s="1"/>
  <c r="D11" i="4"/>
  <c r="J11" i="4" s="1"/>
  <c r="D12" i="4"/>
  <c r="J12" i="4" s="1"/>
  <c r="D13" i="4"/>
  <c r="D15" i="4"/>
  <c r="J15" i="4" s="1"/>
  <c r="D16" i="4"/>
  <c r="J16" i="4" s="1"/>
  <c r="D17" i="4"/>
  <c r="J17" i="4" s="1"/>
  <c r="D18" i="4"/>
  <c r="J18" i="4" s="1"/>
  <c r="D19" i="4"/>
  <c r="J19" i="4" s="1"/>
  <c r="D20" i="4"/>
  <c r="J20" i="4" s="1"/>
  <c r="D21" i="4"/>
  <c r="D22" i="4"/>
  <c r="J22" i="4" s="1"/>
  <c r="D23" i="4"/>
  <c r="J23" i="4" s="1"/>
  <c r="D24" i="4"/>
  <c r="J24" i="4" s="1"/>
  <c r="D25" i="4"/>
  <c r="J25" i="4" s="1"/>
  <c r="D26" i="4"/>
  <c r="J26" i="4" s="1"/>
  <c r="D27" i="4"/>
  <c r="C20" i="4"/>
  <c r="C21" i="4"/>
  <c r="C22" i="4"/>
  <c r="C23" i="4"/>
  <c r="C24" i="4"/>
  <c r="C25" i="4"/>
  <c r="C26" i="4"/>
  <c r="C29" i="4"/>
  <c r="C19" i="4"/>
  <c r="C18" i="4"/>
  <c r="C17" i="4"/>
  <c r="C16" i="4"/>
  <c r="C15" i="4"/>
  <c r="C12" i="4"/>
  <c r="C11" i="4"/>
  <c r="C10" i="4"/>
  <c r="C9" i="4"/>
  <c r="C8" i="4"/>
  <c r="C7" i="4"/>
  <c r="C6" i="4"/>
  <c r="C5" i="4"/>
  <c r="C4" i="4"/>
  <c r="C3" i="4"/>
  <c r="E28" i="4" l="1"/>
  <c r="J28" i="4"/>
  <c r="E14" i="4"/>
  <c r="J14" i="4"/>
  <c r="J21" i="4"/>
  <c r="E21" i="4"/>
  <c r="J27" i="4"/>
  <c r="E27" i="4"/>
  <c r="J5" i="4"/>
  <c r="E5" i="4"/>
  <c r="J13" i="4"/>
  <c r="E13" i="4"/>
  <c r="E24" i="4"/>
  <c r="E19" i="4"/>
  <c r="E10" i="4"/>
  <c r="E23" i="4"/>
  <c r="E18" i="4"/>
  <c r="E9" i="4"/>
  <c r="E17" i="4"/>
  <c r="E8" i="4"/>
  <c r="E16" i="4"/>
  <c r="E7" i="4"/>
  <c r="E3" i="4"/>
  <c r="E22" i="4"/>
  <c r="E15" i="4"/>
  <c r="E6" i="4"/>
  <c r="E26" i="4"/>
  <c r="E20" i="4"/>
  <c r="E12" i="4"/>
  <c r="E4" i="4"/>
  <c r="E25" i="4"/>
  <c r="E11" i="4"/>
  <c r="J29" i="4"/>
  <c r="D30" i="4"/>
  <c r="G30" i="4"/>
  <c r="F30" i="4"/>
  <c r="C30" i="4"/>
  <c r="J30" i="4" l="1"/>
  <c r="E30" i="4"/>
  <c r="Q22" i="4" a="1"/>
  <c r="Q11" i="4" a="1"/>
  <c r="Q10" i="4" a="1"/>
  <c r="K27" i="4" a="1"/>
  <c r="K13" i="4" a="1"/>
  <c r="Q3" i="4" a="1"/>
  <c r="Q17" i="4" a="1"/>
  <c r="Q23" i="4" a="1"/>
  <c r="K11" i="4" a="1"/>
  <c r="Q27" i="4" a="1"/>
  <c r="Q25" i="4" a="1"/>
  <c r="K26" i="4" a="1"/>
  <c r="Q13" i="4" a="1"/>
  <c r="Q12" i="4" a="1"/>
  <c r="K28" i="4" a="1"/>
  <c r="K20" i="4" a="1"/>
  <c r="K15" i="4" a="1"/>
  <c r="K8" i="4" a="1"/>
  <c r="K18" i="4" a="1"/>
  <c r="Q21" i="4" a="1"/>
  <c r="K25" i="4" a="1"/>
  <c r="K16" i="4" a="1"/>
  <c r="Q28" i="4" a="1"/>
  <c r="Q7" i="4" a="1"/>
  <c r="Q18" i="4" a="1"/>
  <c r="K19" i="4" a="1"/>
  <c r="Q14" i="4" a="1"/>
  <c r="K17" i="4" a="1"/>
  <c r="K5" i="4" a="1"/>
  <c r="K24" i="4" a="1"/>
  <c r="Q4" i="4" a="1"/>
  <c r="K14" i="4" a="1"/>
  <c r="K21" i="4" a="1"/>
  <c r="K22" i="4" a="1"/>
  <c r="K10" i="4" a="1"/>
  <c r="K4" i="4" a="1"/>
  <c r="K7" i="4" a="1"/>
  <c r="Q24" i="4" a="1"/>
  <c r="Q5" i="4" a="1"/>
  <c r="K23" i="4" a="1"/>
  <c r="Q6" i="4" a="1"/>
  <c r="K9" i="4" a="1"/>
  <c r="K6" i="4" a="1"/>
  <c r="Q20" i="4" a="1"/>
  <c r="K29" i="4" a="1"/>
  <c r="Q26" i="4" a="1"/>
  <c r="Q19" i="4" a="1"/>
  <c r="Q16" i="4" a="1"/>
  <c r="Q15" i="4" a="1"/>
  <c r="Q9" i="4" a="1"/>
  <c r="Q8" i="4" a="1"/>
  <c r="Q29" i="4" a="1"/>
  <c r="K12" i="4" a="1"/>
  <c r="Q12" i="4" l="1"/>
  <c r="Q3" i="4"/>
  <c r="Q21" i="4"/>
  <c r="Q18" i="4"/>
  <c r="K8" i="4"/>
  <c r="Q13" i="4"/>
  <c r="K13" i="4"/>
  <c r="Q10" i="4"/>
  <c r="Q26" i="4"/>
  <c r="Q29" i="4"/>
  <c r="K29" i="4"/>
  <c r="K6" i="4"/>
  <c r="Q6" i="4"/>
  <c r="Q23" i="4"/>
  <c r="K7" i="4"/>
  <c r="K16" i="4"/>
  <c r="Q17" i="4"/>
  <c r="K19" i="4"/>
  <c r="K5" i="4"/>
  <c r="K18" i="4"/>
  <c r="K15" i="4"/>
  <c r="K26" i="4"/>
  <c r="K27" i="4"/>
  <c r="Q11" i="4"/>
  <c r="Q16" i="4"/>
  <c r="Q8" i="4"/>
  <c r="Q20" i="4"/>
  <c r="K9" i="4"/>
  <c r="K23" i="4"/>
  <c r="Q4" i="4"/>
  <c r="K4" i="4"/>
  <c r="K24" i="4"/>
  <c r="K25" i="4"/>
  <c r="K17" i="4"/>
  <c r="Q7" i="4"/>
  <c r="K20" i="4"/>
  <c r="Q25" i="4"/>
  <c r="K11" i="4"/>
  <c r="Q22" i="4"/>
  <c r="K12" i="4"/>
  <c r="Q9" i="4"/>
  <c r="Q15" i="4"/>
  <c r="Q19" i="4"/>
  <c r="Q5" i="4"/>
  <c r="Q24" i="4"/>
  <c r="K10" i="4"/>
  <c r="K22" i="4"/>
  <c r="K21" i="4"/>
  <c r="K14" i="4"/>
  <c r="Q14" i="4"/>
  <c r="Q28" i="4"/>
  <c r="K28" i="4"/>
  <c r="Q27" i="4"/>
  <c r="P4" i="4" l="1"/>
  <c r="S4" i="4" s="1"/>
  <c r="M4" i="4"/>
  <c r="L4" i="4"/>
  <c r="M23" i="4"/>
  <c r="L23" i="4"/>
  <c r="P23" i="4"/>
  <c r="S23" i="4" s="1"/>
  <c r="L7" i="4"/>
  <c r="M7" i="4"/>
  <c r="P7" i="4"/>
  <c r="S7" i="4" s="1"/>
  <c r="L13" i="4"/>
  <c r="P13" i="4"/>
  <c r="S13" i="4" s="1"/>
  <c r="M13" i="4"/>
  <c r="P28" i="4"/>
  <c r="S28" i="4" s="1"/>
  <c r="L28" i="4"/>
  <c r="M28" i="4"/>
  <c r="P21" i="4"/>
  <c r="S21" i="4" s="1"/>
  <c r="L21" i="4"/>
  <c r="M21" i="4"/>
  <c r="M18" i="4"/>
  <c r="L18" i="4"/>
  <c r="P18" i="4"/>
  <c r="S18" i="4" s="1"/>
  <c r="L6" i="4"/>
  <c r="P6" i="4"/>
  <c r="S6" i="4" s="1"/>
  <c r="M6" i="4"/>
  <c r="P8" i="4"/>
  <c r="S8" i="4" s="1"/>
  <c r="M8" i="4"/>
  <c r="L8" i="4"/>
  <c r="L19" i="4"/>
  <c r="M19" i="4"/>
  <c r="P19" i="4"/>
  <c r="S19" i="4" s="1"/>
  <c r="P14" i="4"/>
  <c r="S14" i="4" s="1"/>
  <c r="L14" i="4"/>
  <c r="M14" i="4"/>
  <c r="L9" i="4"/>
  <c r="P9" i="4"/>
  <c r="S9" i="4" s="1"/>
  <c r="M9" i="4"/>
  <c r="P27" i="4"/>
  <c r="S27" i="4" s="1"/>
  <c r="L27" i="4"/>
  <c r="M27" i="4"/>
  <c r="P29" i="4"/>
  <c r="S29" i="4" s="1"/>
  <c r="M29" i="4"/>
  <c r="Q30" i="4"/>
  <c r="M5" i="4"/>
  <c r="P5" i="4"/>
  <c r="S5" i="4" s="1"/>
  <c r="L5" i="4"/>
  <c r="M22" i="4"/>
  <c r="P22" i="4"/>
  <c r="S22" i="4" s="1"/>
  <c r="L22" i="4"/>
  <c r="P3" i="4"/>
  <c r="M3" i="4"/>
  <c r="L3" i="4"/>
  <c r="K30" i="4"/>
  <c r="L30" i="4" s="1"/>
  <c r="L26" i="4"/>
  <c r="P26" i="4"/>
  <c r="S26" i="4" s="1"/>
  <c r="M26" i="4"/>
  <c r="L12" i="4"/>
  <c r="M12" i="4"/>
  <c r="P12" i="4"/>
  <c r="S12" i="4" s="1"/>
  <c r="L17" i="4"/>
  <c r="P17" i="4"/>
  <c r="S17" i="4" s="1"/>
  <c r="M17" i="4"/>
  <c r="P25" i="4"/>
  <c r="S25" i="4" s="1"/>
  <c r="M25" i="4"/>
  <c r="L25" i="4"/>
  <c r="M20" i="4"/>
  <c r="P20" i="4"/>
  <c r="S20" i="4" s="1"/>
  <c r="L20" i="4"/>
  <c r="P10" i="4"/>
  <c r="S10" i="4" s="1"/>
  <c r="M10" i="4"/>
  <c r="L10" i="4"/>
  <c r="P15" i="4"/>
  <c r="S15" i="4" s="1"/>
  <c r="M15" i="4"/>
  <c r="L15" i="4"/>
  <c r="P11" i="4"/>
  <c r="S11" i="4" s="1"/>
  <c r="L11" i="4"/>
  <c r="M11" i="4"/>
  <c r="P24" i="4"/>
  <c r="S24" i="4" s="1"/>
  <c r="M24" i="4"/>
  <c r="L24" i="4"/>
  <c r="M16" i="4"/>
  <c r="P16" i="4"/>
  <c r="S16" i="4" s="1"/>
  <c r="L16" i="4"/>
  <c r="R6" i="4" l="1"/>
  <c r="R5" i="4"/>
  <c r="R9" i="4"/>
  <c r="R14" i="4"/>
  <c r="M30" i="4"/>
  <c r="R26" i="4"/>
  <c r="R15" i="4"/>
  <c r="R3" i="4"/>
  <c r="P30" i="4"/>
  <c r="R30" i="4" s="1"/>
  <c r="S3" i="4"/>
  <c r="S30" i="4" s="1"/>
  <c r="R4" i="4"/>
  <c r="R13" i="4"/>
  <c r="R27" i="4"/>
  <c r="R7" i="4"/>
  <c r="R11" i="4"/>
  <c r="R12" i="4"/>
  <c r="R8" i="4"/>
  <c r="R10" i="4"/>
  <c r="T374" i="1"/>
  <c r="S374" i="1"/>
  <c r="T374" i="1" a="1"/>
  <c r="S374" i="1" a="1"/>
  <c r="S334" i="1"/>
  <c r="S334" i="1" a="1"/>
  <c r="T334" i="1"/>
  <c r="T334" i="1" a="1"/>
  <c r="S662" i="1"/>
  <c r="S662" i="1" a="1"/>
  <c r="T662" i="1"/>
  <c r="T662" i="1" a="1"/>
  <c r="S78" i="1"/>
  <c r="S78" i="1" a="1"/>
  <c r="T78" i="1"/>
  <c r="T78" i="1" a="1"/>
  <c r="T138" i="1"/>
  <c r="S138" i="1"/>
  <c r="T138" i="1" a="1"/>
  <c r="S138" i="1" a="1"/>
  <c r="T526" i="1"/>
  <c r="S526" i="1"/>
  <c r="T526" i="1" a="1"/>
  <c r="S526" i="1" a="1"/>
  <c r="T469" i="1"/>
  <c r="S469" i="1"/>
  <c r="T469" i="1" a="1"/>
  <c r="S469" i="1" a="1"/>
  <c r="T618" i="1"/>
  <c r="S618" i="1"/>
  <c r="T618" i="1" a="1"/>
  <c r="S618" i="1" a="1"/>
  <c r="T15" i="1"/>
  <c r="S15" i="1"/>
  <c r="T15" i="1" a="1"/>
  <c r="S15" i="1" a="1"/>
  <c r="T25" i="1"/>
  <c r="S25" i="1"/>
  <c r="T25" i="1" a="1"/>
  <c r="S25" i="1" a="1"/>
  <c r="S755" i="1"/>
  <c r="S755" i="1" a="1"/>
  <c r="T755" i="1"/>
  <c r="T755" i="1" a="1"/>
  <c r="S227" i="1"/>
  <c r="S227" i="1" a="1"/>
  <c r="T227" i="1"/>
  <c r="T227" i="1" a="1"/>
  <c r="S610" i="1"/>
  <c r="S610" i="1" a="1"/>
  <c r="T610" i="1"/>
  <c r="T610" i="1" a="1"/>
  <c r="T116" i="1"/>
  <c r="S116" i="1"/>
  <c r="T116" i="1" a="1"/>
  <c r="S116" i="1" a="1"/>
  <c r="T465" i="1"/>
  <c r="S465" i="1"/>
  <c r="T465" i="1" a="1"/>
  <c r="S465" i="1" a="1"/>
  <c r="T494" i="1"/>
  <c r="S494" i="1"/>
  <c r="T494" i="1" a="1"/>
  <c r="S494" i="1" a="1"/>
  <c r="T91" i="1"/>
  <c r="S91" i="1"/>
  <c r="T91" i="1" a="1"/>
  <c r="S91" i="1" a="1"/>
  <c r="T260" i="1"/>
  <c r="S260" i="1"/>
  <c r="T260" i="1" a="1"/>
  <c r="S260" i="1" a="1"/>
  <c r="T399" i="1"/>
  <c r="S399" i="1"/>
  <c r="T399" i="1" a="1"/>
  <c r="S399" i="1" a="1"/>
  <c r="T492" i="1"/>
  <c r="S492" i="1"/>
  <c r="T492" i="1" a="1"/>
  <c r="S492" i="1" a="1"/>
  <c r="T201" i="1"/>
  <c r="S201" i="1"/>
  <c r="T201" i="1" a="1"/>
  <c r="S201" i="1" a="1"/>
  <c r="S185" i="1"/>
  <c r="S185" i="1" a="1"/>
  <c r="T185" i="1"/>
  <c r="T185" i="1" a="1"/>
  <c r="T238" i="1"/>
  <c r="S238" i="1"/>
  <c r="T238" i="1" a="1"/>
  <c r="S238" i="1" a="1"/>
  <c r="T339" i="1"/>
  <c r="S339" i="1"/>
  <c r="T339" i="1" a="1"/>
  <c r="S339" i="1" a="1"/>
  <c r="T243" i="1"/>
  <c r="S243" i="1"/>
  <c r="T243" i="1" a="1"/>
  <c r="S243" i="1" a="1"/>
  <c r="T42" i="1"/>
  <c r="S42" i="1"/>
  <c r="T42" i="1" a="1"/>
  <c r="S42" i="1" a="1"/>
  <c r="S84" i="1"/>
  <c r="S84" i="1" a="1"/>
  <c r="T84" i="1"/>
  <c r="T84" i="1" a="1"/>
  <c r="S346" i="1"/>
  <c r="S346" i="1" a="1"/>
  <c r="T346" i="1"/>
  <c r="T346" i="1" a="1"/>
  <c r="S386" i="1"/>
  <c r="S386" i="1" a="1"/>
  <c r="T386" i="1"/>
  <c r="T386" i="1" a="1"/>
  <c r="T332" i="1"/>
  <c r="S332" i="1"/>
  <c r="T332" i="1" a="1"/>
  <c r="S332" i="1" a="1"/>
  <c r="T358" i="1"/>
  <c r="S358" i="1"/>
  <c r="T358" i="1" a="1"/>
  <c r="S358" i="1" a="1"/>
  <c r="T224" i="1"/>
  <c r="S224" i="1"/>
  <c r="T224" i="1" a="1"/>
  <c r="S224" i="1" a="1"/>
  <c r="S513" i="1"/>
  <c r="S513" i="1" a="1"/>
  <c r="T513" i="1"/>
  <c r="T513" i="1" a="1"/>
  <c r="S460" i="1"/>
  <c r="S460" i="1" a="1"/>
  <c r="T460" i="1"/>
  <c r="T460" i="1" a="1"/>
  <c r="S304" i="1"/>
  <c r="S304" i="1" a="1"/>
  <c r="T304" i="1"/>
  <c r="T304" i="1" a="1"/>
  <c r="S591" i="1"/>
  <c r="S591" i="1" a="1"/>
  <c r="T591" i="1"/>
  <c r="T591" i="1" a="1"/>
  <c r="T63" i="1"/>
  <c r="S63" i="1"/>
  <c r="T63" i="1" a="1"/>
  <c r="S63" i="1" a="1"/>
  <c r="S545" i="1"/>
  <c r="S545" i="1" a="1"/>
  <c r="S732" i="1"/>
  <c r="S732" i="1" a="1"/>
  <c r="T732" i="1"/>
  <c r="T732" i="1" a="1"/>
  <c r="S763" i="1"/>
  <c r="S763" i="1" a="1"/>
  <c r="T763" i="1"/>
  <c r="T763" i="1" a="1"/>
  <c r="T30" i="1"/>
  <c r="S30" i="1"/>
  <c r="T30" i="1" a="1"/>
  <c r="S30" i="1" a="1"/>
  <c r="T508" i="1"/>
  <c r="S508" i="1"/>
  <c r="T508" i="1" a="1"/>
  <c r="S508" i="1" a="1"/>
  <c r="T478" i="1"/>
  <c r="S478" i="1"/>
  <c r="T478" i="1" a="1"/>
  <c r="S478" i="1" a="1"/>
  <c r="T700" i="1"/>
  <c r="S700" i="1"/>
  <c r="T700" i="1" a="1"/>
  <c r="S700" i="1" a="1"/>
  <c r="S527" i="1"/>
  <c r="S527" i="1" a="1"/>
  <c r="T527" i="1"/>
  <c r="T527" i="1" a="1"/>
  <c r="S697" i="1"/>
  <c r="S697" i="1" a="1"/>
  <c r="T697" i="1"/>
  <c r="T697" i="1" a="1"/>
  <c r="S102" i="1"/>
  <c r="S102" i="1" a="1"/>
  <c r="T102" i="1"/>
  <c r="T102" i="1" a="1"/>
  <c r="S326" i="1"/>
  <c r="S326" i="1" a="1"/>
  <c r="T326" i="1"/>
  <c r="T326" i="1" a="1"/>
  <c r="T254" i="1"/>
  <c r="S254" i="1"/>
  <c r="T254" i="1" a="1"/>
  <c r="S254" i="1" a="1"/>
  <c r="S208" i="1"/>
  <c r="S208" i="1" a="1"/>
  <c r="T208" i="1"/>
  <c r="T208" i="1" a="1"/>
  <c r="T16" i="1"/>
  <c r="S16" i="1"/>
  <c r="T16" i="1" a="1"/>
  <c r="S16" i="1" a="1"/>
  <c r="S582" i="1"/>
  <c r="S582" i="1" a="1"/>
  <c r="T582" i="1"/>
  <c r="T582" i="1" a="1"/>
  <c r="S31" i="1"/>
  <c r="S31" i="1" a="1"/>
  <c r="T31" i="1"/>
  <c r="T31" i="1" a="1"/>
  <c r="S397" i="1"/>
  <c r="S397" i="1" a="1"/>
  <c r="T397" i="1"/>
  <c r="T397" i="1" a="1"/>
  <c r="S57" i="1"/>
  <c r="S57" i="1" a="1"/>
  <c r="T57" i="1"/>
  <c r="T57" i="1" a="1"/>
  <c r="S175" i="1"/>
  <c r="S175" i="1" a="1"/>
  <c r="T175" i="1"/>
  <c r="T175" i="1" a="1"/>
  <c r="S61" i="1"/>
  <c r="S61" i="1" a="1"/>
  <c r="T61" i="1"/>
  <c r="T61" i="1" a="1"/>
  <c r="S664" i="1"/>
  <c r="S664" i="1" a="1"/>
  <c r="T664" i="1"/>
  <c r="T664" i="1" a="1"/>
  <c r="S131" i="1"/>
  <c r="S131" i="1" a="1"/>
  <c r="T131" i="1"/>
  <c r="T131" i="1" a="1"/>
  <c r="S270" i="1"/>
  <c r="S270" i="1" a="1"/>
  <c r="T270" i="1"/>
  <c r="T270" i="1" a="1"/>
  <c r="T198" i="1"/>
  <c r="S198" i="1"/>
  <c r="T198" i="1" a="1"/>
  <c r="S198" i="1" a="1"/>
  <c r="T159" i="1"/>
  <c r="S159" i="1"/>
  <c r="T159" i="1" a="1"/>
  <c r="S159" i="1" a="1"/>
  <c r="T434" i="1"/>
  <c r="S434" i="1"/>
  <c r="T434" i="1" a="1"/>
  <c r="S434" i="1" a="1"/>
  <c r="S242" i="1"/>
  <c r="S242" i="1" a="1"/>
  <c r="T242" i="1"/>
  <c r="T242" i="1" a="1"/>
  <c r="T273" i="1"/>
  <c r="S273" i="1"/>
  <c r="T273" i="1" a="1"/>
  <c r="S273" i="1" a="1"/>
  <c r="S705" i="1"/>
  <c r="S705" i="1" a="1"/>
  <c r="T705" i="1"/>
  <c r="T705" i="1" a="1"/>
  <c r="S52" i="1"/>
  <c r="S52" i="1" a="1"/>
  <c r="T52" i="1"/>
  <c r="T52" i="1" a="1"/>
  <c r="S329" i="1"/>
  <c r="S329" i="1" a="1"/>
  <c r="T329" i="1"/>
  <c r="T329" i="1" a="1"/>
  <c r="S699" i="1"/>
  <c r="S699" i="1" a="1"/>
  <c r="T699" i="1"/>
  <c r="T699" i="1" a="1"/>
  <c r="S626" i="1"/>
  <c r="S626" i="1" a="1"/>
  <c r="T626" i="1"/>
  <c r="T626" i="1" a="1"/>
  <c r="T406" i="1"/>
  <c r="S406" i="1"/>
  <c r="T406" i="1" a="1"/>
  <c r="S406" i="1" a="1"/>
  <c r="S657" i="1"/>
  <c r="S657" i="1" a="1"/>
  <c r="T657" i="1"/>
  <c r="T657" i="1" a="1"/>
  <c r="S754" i="1"/>
  <c r="S754" i="1" a="1"/>
  <c r="T754" i="1"/>
  <c r="T754" i="1" a="1"/>
  <c r="S347" i="1"/>
  <c r="S347" i="1" a="1"/>
  <c r="T347" i="1"/>
  <c r="T347" i="1" a="1"/>
  <c r="T217" i="1"/>
  <c r="S217" i="1"/>
  <c r="T217" i="1" a="1"/>
  <c r="S217" i="1" a="1"/>
  <c r="T33" i="1"/>
  <c r="S33" i="1"/>
  <c r="T33" i="1" a="1"/>
  <c r="S33" i="1" a="1"/>
  <c r="S40" i="1"/>
  <c r="S40" i="1" a="1"/>
  <c r="T40" i="1"/>
  <c r="T40" i="1" a="1"/>
  <c r="T179" i="1"/>
  <c r="S179" i="1"/>
  <c r="T179" i="1" a="1"/>
  <c r="S179" i="1" a="1"/>
  <c r="S685" i="1"/>
  <c r="S685" i="1" a="1"/>
  <c r="T685" i="1"/>
  <c r="T685" i="1" a="1"/>
  <c r="S503" i="1"/>
  <c r="S503" i="1" a="1"/>
  <c r="T503" i="1"/>
  <c r="T503" i="1" a="1"/>
  <c r="T309" i="1"/>
  <c r="S309" i="1"/>
  <c r="T309" i="1" a="1"/>
  <c r="S309" i="1" a="1"/>
  <c r="S585" i="1"/>
  <c r="S585" i="1" a="1"/>
  <c r="T585" i="1"/>
  <c r="T585" i="1" a="1"/>
  <c r="S693" i="1"/>
  <c r="S693" i="1" a="1"/>
  <c r="T693" i="1"/>
  <c r="T693" i="1" a="1"/>
  <c r="S147" i="1"/>
  <c r="S147" i="1" a="1"/>
  <c r="T147" i="1"/>
  <c r="T147" i="1" a="1"/>
  <c r="S129" i="1"/>
  <c r="S129" i="1" a="1"/>
  <c r="T129" i="1"/>
  <c r="T129" i="1" a="1"/>
  <c r="S44" i="1"/>
  <c r="S44" i="1" a="1"/>
  <c r="T44" i="1"/>
  <c r="T44" i="1" a="1"/>
  <c r="S474" i="1"/>
  <c r="S474" i="1" a="1"/>
  <c r="T474" i="1"/>
  <c r="T474" i="1" a="1"/>
  <c r="T12" i="1"/>
  <c r="S12" i="1"/>
  <c r="T12" i="1" a="1"/>
  <c r="S12" i="1" a="1"/>
  <c r="T483" i="1"/>
  <c r="S483" i="1"/>
  <c r="T483" i="1" a="1"/>
  <c r="S483" i="1" a="1"/>
  <c r="S143" i="1"/>
  <c r="S143" i="1" a="1"/>
  <c r="T143" i="1"/>
  <c r="T143" i="1" a="1"/>
  <c r="S622" i="1"/>
  <c r="S622" i="1" a="1"/>
  <c r="T622" i="1"/>
  <c r="T622" i="1" a="1"/>
  <c r="T645" i="1"/>
  <c r="S645" i="1"/>
  <c r="T645" i="1" a="1"/>
  <c r="S645" i="1" a="1"/>
  <c r="S336" i="1"/>
  <c r="S336" i="1" a="1"/>
  <c r="T336" i="1"/>
  <c r="T336" i="1" a="1"/>
  <c r="T32" i="1"/>
  <c r="S32" i="1"/>
  <c r="T32" i="1" a="1"/>
  <c r="S32" i="1" a="1"/>
  <c r="S154" i="1"/>
  <c r="S154" i="1" a="1"/>
  <c r="T154" i="1"/>
  <c r="T154" i="1" a="1"/>
  <c r="S72" i="1"/>
  <c r="S72" i="1" a="1"/>
  <c r="T72" i="1"/>
  <c r="T72" i="1" a="1"/>
  <c r="S300" i="1"/>
  <c r="S300" i="1" a="1"/>
  <c r="T300" i="1"/>
  <c r="T300" i="1" a="1"/>
  <c r="T62" i="1"/>
  <c r="S62" i="1"/>
  <c r="T62" i="1" a="1"/>
  <c r="S62" i="1" a="1"/>
  <c r="S604" i="1"/>
  <c r="S604" i="1" a="1"/>
  <c r="T604" i="1"/>
  <c r="T604" i="1" a="1"/>
  <c r="S388" i="1"/>
  <c r="S388" i="1" a="1"/>
  <c r="T388" i="1"/>
  <c r="T388" i="1" a="1"/>
  <c r="T510" i="1"/>
  <c r="S510" i="1"/>
  <c r="T510" i="1" a="1"/>
  <c r="S510" i="1" a="1"/>
  <c r="T684" i="1"/>
  <c r="S684" i="1"/>
  <c r="T684" i="1" a="1"/>
  <c r="S684" i="1" a="1"/>
  <c r="S424" i="1"/>
  <c r="S424" i="1" a="1"/>
  <c r="T424" i="1"/>
  <c r="T424" i="1" a="1"/>
  <c r="T6" i="1"/>
  <c r="S6" i="1"/>
  <c r="T6" i="1" a="1"/>
  <c r="S6" i="1" a="1"/>
  <c r="T439" i="1"/>
  <c r="S439" i="1"/>
  <c r="T439" i="1" a="1"/>
  <c r="S439" i="1" a="1"/>
  <c r="T190" i="1"/>
  <c r="S190" i="1"/>
  <c r="T190" i="1" a="1"/>
  <c r="S190" i="1" a="1"/>
  <c r="S191" i="1"/>
  <c r="S191" i="1" a="1"/>
  <c r="T191" i="1"/>
  <c r="T191" i="1" a="1"/>
  <c r="S85" i="1"/>
  <c r="S85" i="1" a="1"/>
  <c r="T85" i="1"/>
  <c r="T85" i="1" a="1"/>
  <c r="T667" i="1"/>
  <c r="S667" i="1"/>
  <c r="T667" i="1" a="1"/>
  <c r="S667" i="1" a="1"/>
  <c r="T528" i="1"/>
  <c r="S528" i="1"/>
  <c r="T528" i="1" a="1"/>
  <c r="S528" i="1" a="1"/>
  <c r="T382" i="1"/>
  <c r="S382" i="1"/>
  <c r="T382" i="1" a="1"/>
  <c r="S382" i="1" a="1"/>
  <c r="S656" i="1"/>
  <c r="S656" i="1" a="1"/>
  <c r="T656" i="1"/>
  <c r="T656" i="1" a="1"/>
  <c r="T370" i="1"/>
  <c r="S370" i="1"/>
  <c r="T370" i="1" a="1"/>
  <c r="S370" i="1" a="1"/>
  <c r="S373" i="1"/>
  <c r="S373" i="1" a="1"/>
  <c r="T373" i="1"/>
  <c r="T373" i="1" a="1"/>
  <c r="S132" i="1"/>
  <c r="S132" i="1" a="1"/>
  <c r="T132" i="1"/>
  <c r="T132" i="1" a="1"/>
  <c r="S641" i="1"/>
  <c r="S641" i="1" a="1"/>
  <c r="T641" i="1"/>
  <c r="T641" i="1" a="1"/>
  <c r="T586" i="1"/>
  <c r="S586" i="1"/>
  <c r="T586" i="1" a="1"/>
  <c r="S586" i="1" a="1"/>
  <c r="S507" i="1"/>
  <c r="S507" i="1" a="1"/>
  <c r="T507" i="1"/>
  <c r="T507" i="1" a="1"/>
  <c r="S352" i="1"/>
  <c r="S352" i="1" a="1"/>
  <c r="T352" i="1"/>
  <c r="T352" i="1" a="1"/>
  <c r="S559" i="1"/>
  <c r="S559" i="1" a="1"/>
  <c r="T559" i="1"/>
  <c r="T559" i="1" a="1"/>
  <c r="T416" i="1"/>
  <c r="S416" i="1"/>
  <c r="T416" i="1" a="1"/>
  <c r="S416" i="1" a="1"/>
  <c r="T669" i="1"/>
  <c r="S669" i="1"/>
  <c r="T669" i="1" a="1"/>
  <c r="S669" i="1" a="1"/>
  <c r="S303" i="1"/>
  <c r="S303" i="1" a="1"/>
  <c r="T303" i="1"/>
  <c r="T303" i="1" a="1"/>
  <c r="T357" i="1"/>
  <c r="S357" i="1"/>
  <c r="T357" i="1" a="1"/>
  <c r="S357" i="1" a="1"/>
  <c r="T277" i="1"/>
  <c r="S277" i="1"/>
  <c r="T277" i="1" a="1"/>
  <c r="S277" i="1" a="1"/>
  <c r="S207" i="1"/>
  <c r="S207" i="1" a="1"/>
  <c r="T207" i="1"/>
  <c r="T207" i="1" a="1"/>
  <c r="S197" i="1"/>
  <c r="S197" i="1" a="1"/>
  <c r="T197" i="1"/>
  <c r="T197" i="1" a="1"/>
  <c r="S189" i="1"/>
  <c r="S189" i="1" a="1"/>
  <c r="T189" i="1"/>
  <c r="T189" i="1" a="1"/>
  <c r="T418" i="1"/>
  <c r="S418" i="1"/>
  <c r="T418" i="1" a="1"/>
  <c r="S418" i="1" a="1"/>
  <c r="S27" i="1"/>
  <c r="S27" i="1" a="1"/>
  <c r="T27" i="1"/>
  <c r="T27" i="1" a="1"/>
  <c r="S583" i="1"/>
  <c r="S583" i="1" a="1"/>
  <c r="T583" i="1"/>
  <c r="T583" i="1" a="1"/>
  <c r="S489" i="1"/>
  <c r="S489" i="1" a="1"/>
  <c r="T489" i="1"/>
  <c r="T489" i="1" a="1"/>
  <c r="S180" i="1"/>
  <c r="S180" i="1" a="1"/>
  <c r="T180" i="1"/>
  <c r="T180" i="1" a="1"/>
  <c r="S611" i="1"/>
  <c r="S611" i="1" a="1"/>
  <c r="T611" i="1"/>
  <c r="T611" i="1" a="1"/>
  <c r="S11" i="1"/>
  <c r="S11" i="1" a="1"/>
  <c r="T11" i="1"/>
  <c r="T11" i="1" a="1"/>
  <c r="S9" i="1"/>
  <c r="S9" i="1" a="1"/>
  <c r="T9" i="1"/>
  <c r="T9" i="1" a="1"/>
  <c r="S209" i="1"/>
  <c r="S209" i="1" a="1"/>
  <c r="T209" i="1"/>
  <c r="T209" i="1" a="1"/>
  <c r="S73" i="1"/>
  <c r="S73" i="1" a="1"/>
  <c r="T73" i="1"/>
  <c r="T73" i="1" a="1"/>
  <c r="T156" i="1"/>
  <c r="S156" i="1"/>
  <c r="T156" i="1" a="1"/>
  <c r="S156" i="1" a="1"/>
  <c r="T195" i="1"/>
  <c r="S195" i="1"/>
  <c r="T195" i="1" a="1"/>
  <c r="S195" i="1" a="1"/>
  <c r="T263" i="1"/>
  <c r="S263" i="1"/>
  <c r="T263" i="1" a="1"/>
  <c r="S263" i="1" a="1"/>
  <c r="T233" i="1"/>
  <c r="S233" i="1"/>
  <c r="T233" i="1" a="1"/>
  <c r="S233" i="1" a="1"/>
  <c r="S119" i="1"/>
  <c r="S119" i="1" a="1"/>
  <c r="T119" i="1"/>
  <c r="T119" i="1" a="1"/>
  <c r="S756" i="1"/>
  <c r="S756" i="1" a="1"/>
  <c r="T756" i="1"/>
  <c r="T756" i="1" a="1"/>
  <c r="S136" i="1"/>
  <c r="S136" i="1" a="1"/>
  <c r="T136" i="1"/>
  <c r="T136" i="1" a="1"/>
  <c r="T608" i="1"/>
  <c r="S608" i="1"/>
  <c r="T608" i="1" a="1"/>
  <c r="S608" i="1" a="1"/>
  <c r="T325" i="1"/>
  <c r="S325" i="1"/>
  <c r="T325" i="1" a="1"/>
  <c r="S325" i="1" a="1"/>
  <c r="S660" i="1"/>
  <c r="S660" i="1" a="1"/>
  <c r="S187" i="1"/>
  <c r="S187" i="1" a="1"/>
  <c r="T187" i="1"/>
  <c r="T187" i="1" a="1"/>
  <c r="S740" i="1"/>
  <c r="S740" i="1" a="1"/>
  <c r="T740" i="1"/>
  <c r="T740" i="1" a="1"/>
  <c r="S580" i="1"/>
  <c r="S580" i="1" a="1"/>
  <c r="T580" i="1"/>
  <c r="T580" i="1" a="1"/>
  <c r="S232" i="1"/>
  <c r="S232" i="1" a="1"/>
  <c r="T232" i="1"/>
  <c r="T232" i="1" a="1"/>
  <c r="S65" i="1"/>
  <c r="S65" i="1" a="1"/>
  <c r="T65" i="1"/>
  <c r="T65" i="1" a="1"/>
  <c r="T730" i="1"/>
  <c r="S730" i="1"/>
  <c r="T730" i="1" a="1"/>
  <c r="S730" i="1" a="1"/>
  <c r="T659" i="1"/>
  <c r="S659" i="1"/>
  <c r="T659" i="1" a="1"/>
  <c r="S659" i="1" a="1"/>
  <c r="T214" i="1"/>
  <c r="S214" i="1"/>
  <c r="T214" i="1" a="1"/>
  <c r="S214" i="1" a="1"/>
  <c r="T130" i="1"/>
  <c r="S130" i="1"/>
  <c r="T130" i="1" a="1"/>
  <c r="S130" i="1" a="1"/>
  <c r="T647" i="1"/>
  <c r="S647" i="1"/>
  <c r="T647" i="1" a="1"/>
  <c r="S647" i="1" a="1"/>
  <c r="S553" i="1"/>
  <c r="S553" i="1" a="1"/>
  <c r="T553" i="1"/>
  <c r="T553" i="1" a="1"/>
  <c r="T708" i="1"/>
  <c r="S708" i="1"/>
  <c r="T708" i="1" a="1"/>
  <c r="S708" i="1" a="1"/>
  <c r="S748" i="1"/>
  <c r="S748" i="1" a="1"/>
  <c r="T748" i="1"/>
  <c r="T748" i="1" a="1"/>
  <c r="S95" i="1"/>
  <c r="S95" i="1" a="1"/>
  <c r="T95" i="1"/>
  <c r="T95" i="1" a="1"/>
  <c r="T655" i="1"/>
  <c r="S655" i="1"/>
  <c r="T655" i="1" a="1"/>
  <c r="S655" i="1" a="1"/>
  <c r="S144" i="1"/>
  <c r="S144" i="1" a="1"/>
  <c r="T144" i="1"/>
  <c r="T144" i="1" a="1"/>
  <c r="S558" i="1"/>
  <c r="S558" i="1" a="1"/>
  <c r="T558" i="1"/>
  <c r="T558" i="1" a="1"/>
  <c r="T692" i="1"/>
  <c r="S692" i="1"/>
  <c r="T692" i="1" a="1"/>
  <c r="S692" i="1" a="1"/>
  <c r="S420" i="1"/>
  <c r="S420" i="1" a="1"/>
  <c r="T420" i="1"/>
  <c r="T420" i="1" a="1"/>
  <c r="S363" i="1"/>
  <c r="S363" i="1" a="1"/>
  <c r="T363" i="1"/>
  <c r="T363" i="1" a="1"/>
  <c r="S141" i="1"/>
  <c r="S141" i="1" a="1"/>
  <c r="T141" i="1"/>
  <c r="T141" i="1" a="1"/>
  <c r="T651" i="1"/>
  <c r="S651" i="1"/>
  <c r="T651" i="1" a="1"/>
  <c r="S651" i="1" a="1"/>
  <c r="T681" i="1"/>
  <c r="S681" i="1"/>
  <c r="T681" i="1" a="1"/>
  <c r="S681" i="1" a="1"/>
  <c r="T642" i="1"/>
  <c r="S642" i="1"/>
  <c r="T642" i="1" a="1"/>
  <c r="S642" i="1" a="1"/>
  <c r="S361" i="1"/>
  <c r="S361" i="1" a="1"/>
  <c r="T361" i="1"/>
  <c r="T361" i="1" a="1"/>
  <c r="T7" i="1"/>
  <c r="S7" i="1"/>
  <c r="T7" i="1" a="1"/>
  <c r="S7" i="1" a="1"/>
  <c r="S728" i="1"/>
  <c r="S728" i="1" a="1"/>
  <c r="T728" i="1"/>
  <c r="T728" i="1" a="1"/>
  <c r="T186" i="1"/>
  <c r="S186" i="1"/>
  <c r="T186" i="1" a="1"/>
  <c r="S186" i="1" a="1"/>
  <c r="T162" i="1"/>
  <c r="S162" i="1"/>
  <c r="T162" i="1" a="1"/>
  <c r="S162" i="1" a="1"/>
  <c r="S712" i="1"/>
  <c r="S712" i="1" a="1"/>
  <c r="T712" i="1"/>
  <c r="T712" i="1" a="1"/>
  <c r="T442" i="1"/>
  <c r="S442" i="1"/>
  <c r="T442" i="1" a="1"/>
  <c r="S442" i="1" a="1"/>
  <c r="T735" i="1"/>
  <c r="S735" i="1"/>
  <c r="T735" i="1" a="1"/>
  <c r="S735" i="1" a="1"/>
  <c r="S13" i="1"/>
  <c r="S13" i="1" a="1"/>
  <c r="T13" i="1"/>
  <c r="T13" i="1" a="1"/>
  <c r="S466" i="1"/>
  <c r="S466" i="1" a="1"/>
  <c r="T466" i="1"/>
  <c r="T466" i="1" a="1"/>
  <c r="T614" i="1"/>
  <c r="S614" i="1"/>
  <c r="T614" i="1" a="1"/>
  <c r="S614" i="1" a="1"/>
  <c r="T675" i="1"/>
  <c r="S675" i="1"/>
  <c r="T675" i="1" a="1"/>
  <c r="S675" i="1" a="1"/>
  <c r="S261" i="1"/>
  <c r="S261" i="1" a="1"/>
  <c r="T261" i="1"/>
  <c r="T261" i="1" a="1"/>
  <c r="S126" i="1"/>
  <c r="S126" i="1" a="1"/>
  <c r="T126" i="1"/>
  <c r="T126" i="1" a="1"/>
  <c r="S581" i="1"/>
  <c r="S581" i="1" a="1"/>
  <c r="T581" i="1"/>
  <c r="T581" i="1" a="1"/>
  <c r="T666" i="1"/>
  <c r="S666" i="1"/>
  <c r="T666" i="1" a="1"/>
  <c r="S666" i="1" a="1"/>
  <c r="S535" i="1"/>
  <c r="S535" i="1" a="1"/>
  <c r="T88" i="1"/>
  <c r="S88" i="1"/>
  <c r="T88" i="1" a="1"/>
  <c r="S88" i="1" a="1"/>
  <c r="T229" i="1"/>
  <c r="S229" i="1"/>
  <c r="T229" i="1" a="1"/>
  <c r="S229" i="1" a="1"/>
  <c r="T568" i="1"/>
  <c r="S568" i="1"/>
  <c r="T568" i="1" a="1"/>
  <c r="S568" i="1" a="1"/>
  <c r="S613" i="1"/>
  <c r="S613" i="1" a="1"/>
  <c r="T613" i="1"/>
  <c r="T613" i="1" a="1"/>
  <c r="T709" i="1"/>
  <c r="S709" i="1"/>
  <c r="T709" i="1" a="1"/>
  <c r="S709" i="1" a="1"/>
  <c r="S450" i="1"/>
  <c r="S450" i="1" a="1"/>
  <c r="T450" i="1"/>
  <c r="T450" i="1" a="1"/>
  <c r="S422" i="1"/>
  <c r="S422" i="1" a="1"/>
  <c r="T422" i="1"/>
  <c r="T422" i="1" a="1"/>
  <c r="S472" i="1"/>
  <c r="S472" i="1" a="1"/>
  <c r="T472" i="1"/>
  <c r="T472" i="1" a="1"/>
  <c r="T183" i="1"/>
  <c r="S183" i="1"/>
  <c r="T183" i="1" a="1"/>
  <c r="S183" i="1" a="1"/>
  <c r="S616" i="1"/>
  <c r="S616" i="1" a="1"/>
  <c r="T616" i="1"/>
  <c r="T616" i="1" a="1"/>
  <c r="S452" i="1"/>
  <c r="S452" i="1" a="1"/>
  <c r="T452" i="1"/>
  <c r="T452" i="1" a="1"/>
  <c r="T79" i="1"/>
  <c r="S79" i="1"/>
  <c r="T79" i="1" a="1"/>
  <c r="S79" i="1" a="1"/>
  <c r="S493" i="1"/>
  <c r="S493" i="1" a="1"/>
  <c r="T493" i="1"/>
  <c r="T493" i="1" a="1"/>
  <c r="S410" i="1"/>
  <c r="S410" i="1" a="1"/>
  <c r="T410" i="1"/>
  <c r="T410" i="1" a="1"/>
  <c r="S258" i="1"/>
  <c r="S258" i="1" a="1"/>
  <c r="T258" i="1"/>
  <c r="T258" i="1" a="1"/>
  <c r="S246" i="1"/>
  <c r="S246" i="1" a="1"/>
  <c r="T246" i="1"/>
  <c r="T246" i="1" a="1"/>
  <c r="S573" i="1"/>
  <c r="S573" i="1" a="1"/>
  <c r="T573" i="1"/>
  <c r="T573" i="1" a="1"/>
  <c r="S396" i="1"/>
  <c r="S396" i="1" a="1"/>
  <c r="T396" i="1"/>
  <c r="T396" i="1" a="1"/>
  <c r="T311" i="1"/>
  <c r="S311" i="1"/>
  <c r="T311" i="1" a="1"/>
  <c r="S311" i="1" a="1"/>
  <c r="S152" i="1"/>
  <c r="S152" i="1" a="1"/>
  <c r="T152" i="1"/>
  <c r="T152" i="1" a="1"/>
  <c r="T672" i="1"/>
  <c r="S672" i="1"/>
  <c r="T672" i="1" a="1"/>
  <c r="S672" i="1" a="1"/>
  <c r="S366" i="1"/>
  <c r="S366" i="1" a="1"/>
  <c r="T366" i="1"/>
  <c r="T366" i="1" a="1"/>
  <c r="S355" i="1"/>
  <c r="S355" i="1" a="1"/>
  <c r="T355" i="1"/>
  <c r="T355" i="1" a="1"/>
  <c r="T173" i="1"/>
  <c r="S173" i="1"/>
  <c r="T173" i="1" a="1"/>
  <c r="S173" i="1" a="1"/>
  <c r="T750" i="1"/>
  <c r="S750" i="1"/>
  <c r="T750" i="1" a="1"/>
  <c r="S750" i="1" a="1"/>
  <c r="T398" i="1"/>
  <c r="S398" i="1"/>
  <c r="T398" i="1" a="1"/>
  <c r="S398" i="1" a="1"/>
  <c r="T287" i="1"/>
  <c r="S287" i="1"/>
  <c r="T287" i="1" a="1"/>
  <c r="S287" i="1" a="1"/>
  <c r="T165" i="1"/>
  <c r="S165" i="1"/>
  <c r="T165" i="1" a="1"/>
  <c r="S165" i="1" a="1"/>
  <c r="S475" i="1"/>
  <c r="S475" i="1" a="1"/>
  <c r="T475" i="1"/>
  <c r="T475" i="1" a="1"/>
  <c r="T337" i="1"/>
  <c r="S337" i="1"/>
  <c r="T337" i="1" a="1"/>
  <c r="S337" i="1" a="1"/>
  <c r="T694" i="1"/>
  <c r="S694" i="1"/>
  <c r="T694" i="1" a="1"/>
  <c r="S694" i="1" a="1"/>
  <c r="S745" i="1"/>
  <c r="S745" i="1" a="1"/>
  <c r="T745" i="1"/>
  <c r="T745" i="1" a="1"/>
  <c r="S349" i="1"/>
  <c r="S349" i="1" a="1"/>
  <c r="T349" i="1"/>
  <c r="T349" i="1" a="1"/>
  <c r="S22" i="1"/>
  <c r="S22" i="1" a="1"/>
  <c r="T22" i="1"/>
  <c r="T22" i="1" a="1"/>
  <c r="T249" i="1"/>
  <c r="S249" i="1"/>
  <c r="T249" i="1" a="1"/>
  <c r="S249" i="1" a="1"/>
  <c r="S71" i="1"/>
  <c r="S71" i="1" a="1"/>
  <c r="T71" i="1"/>
  <c r="T71" i="1" a="1"/>
  <c r="T23" i="1"/>
  <c r="S23" i="1"/>
  <c r="T23" i="1" a="1"/>
  <c r="S23" i="1" a="1"/>
  <c r="T302" i="1"/>
  <c r="S302" i="1"/>
  <c r="T302" i="1" a="1"/>
  <c r="S302" i="1" a="1"/>
  <c r="T184" i="1"/>
  <c r="S184" i="1"/>
  <c r="T184" i="1" a="1"/>
  <c r="S184" i="1" a="1"/>
  <c r="S318" i="1"/>
  <c r="S318" i="1" a="1"/>
  <c r="T318" i="1"/>
  <c r="T318" i="1" a="1"/>
  <c r="S578" i="1"/>
  <c r="S578" i="1" a="1"/>
  <c r="T578" i="1"/>
  <c r="T578" i="1" a="1"/>
  <c r="S758" i="1"/>
  <c r="S758" i="1" a="1"/>
  <c r="T758" i="1"/>
  <c r="T758" i="1" a="1"/>
  <c r="S206" i="1"/>
  <c r="S206" i="1" a="1"/>
  <c r="T206" i="1"/>
  <c r="T206" i="1" a="1"/>
  <c r="S633" i="1"/>
  <c r="S633" i="1" a="1"/>
  <c r="T633" i="1"/>
  <c r="T633" i="1" a="1"/>
  <c r="S372" i="1"/>
  <c r="S372" i="1" a="1"/>
  <c r="T372" i="1"/>
  <c r="T372" i="1" a="1"/>
  <c r="S134" i="1"/>
  <c r="S134" i="1" a="1"/>
  <c r="T134" i="1"/>
  <c r="T134" i="1" a="1"/>
  <c r="T194" i="1"/>
  <c r="S194" i="1"/>
  <c r="T194" i="1" a="1"/>
  <c r="S194" i="1" a="1"/>
  <c r="T520" i="1"/>
  <c r="S520" i="1"/>
  <c r="T520" i="1" a="1"/>
  <c r="S520" i="1" a="1"/>
  <c r="S313" i="1"/>
  <c r="S313" i="1" a="1"/>
  <c r="T313" i="1"/>
  <c r="T313" i="1" a="1"/>
  <c r="S4" i="1"/>
  <c r="S4" i="1" a="1"/>
  <c r="T4" i="1"/>
  <c r="T4" i="1" a="1"/>
  <c r="T727" i="1"/>
  <c r="S727" i="1"/>
  <c r="T727" i="1" a="1"/>
  <c r="S727" i="1" a="1"/>
  <c r="S240" i="1"/>
  <c r="S240" i="1" a="1"/>
  <c r="T240" i="1"/>
  <c r="T240" i="1" a="1"/>
  <c r="T446" i="1"/>
  <c r="S446" i="1"/>
  <c r="T446" i="1" a="1"/>
  <c r="S446" i="1" a="1"/>
  <c r="S105" i="1"/>
  <c r="S105" i="1" a="1"/>
  <c r="T105" i="1"/>
  <c r="T105" i="1" a="1"/>
  <c r="T127" i="1"/>
  <c r="S127" i="1"/>
  <c r="T127" i="1" a="1"/>
  <c r="S127" i="1" a="1"/>
  <c r="S181" i="1"/>
  <c r="S181" i="1" a="1"/>
  <c r="T181" i="1"/>
  <c r="T181" i="1" a="1"/>
  <c r="S539" i="1"/>
  <c r="S539" i="1" a="1"/>
  <c r="T76" i="1"/>
  <c r="S76" i="1"/>
  <c r="T76" i="1" a="1"/>
  <c r="S76" i="1" a="1"/>
  <c r="T707" i="1"/>
  <c r="S707" i="1"/>
  <c r="T707" i="1" a="1"/>
  <c r="S707" i="1" a="1"/>
  <c r="T515" i="1"/>
  <c r="S515" i="1"/>
  <c r="T515" i="1" a="1"/>
  <c r="S515" i="1" a="1"/>
  <c r="T54" i="1"/>
  <c r="S54" i="1"/>
  <c r="T54" i="1" a="1"/>
  <c r="S54" i="1" a="1"/>
  <c r="S17" i="1"/>
  <c r="S17" i="1" a="1"/>
  <c r="T17" i="1"/>
  <c r="T17" i="1" a="1"/>
  <c r="S196" i="1"/>
  <c r="S196" i="1" a="1"/>
  <c r="T196" i="1"/>
  <c r="T196" i="1" a="1"/>
  <c r="S490" i="1"/>
  <c r="S490" i="1" a="1"/>
  <c r="T490" i="1"/>
  <c r="T490" i="1" a="1"/>
  <c r="T467" i="1"/>
  <c r="S467" i="1"/>
  <c r="T467" i="1" a="1"/>
  <c r="S467" i="1" a="1"/>
  <c r="S265" i="1"/>
  <c r="S265" i="1" a="1"/>
  <c r="T265" i="1"/>
  <c r="T265" i="1" a="1"/>
  <c r="S92" i="1"/>
  <c r="S92" i="1" a="1"/>
  <c r="T92" i="1"/>
  <c r="T92" i="1" a="1"/>
  <c r="S389" i="1"/>
  <c r="S389" i="1" a="1"/>
  <c r="T389" i="1"/>
  <c r="T389" i="1" a="1"/>
  <c r="T96" i="1"/>
  <c r="S96" i="1"/>
  <c r="T96" i="1" a="1"/>
  <c r="S96" i="1" a="1"/>
  <c r="T408" i="1"/>
  <c r="S408" i="1"/>
  <c r="T408" i="1" a="1"/>
  <c r="S408" i="1" a="1"/>
  <c r="S145" i="1"/>
  <c r="S145" i="1" a="1"/>
  <c r="T145" i="1"/>
  <c r="T145" i="1" a="1"/>
  <c r="S726" i="1"/>
  <c r="S726" i="1" a="1"/>
  <c r="T726" i="1"/>
  <c r="T726" i="1" a="1"/>
  <c r="T383" i="1"/>
  <c r="S383" i="1"/>
  <c r="T383" i="1" a="1"/>
  <c r="S383" i="1" a="1"/>
  <c r="T280" i="1"/>
  <c r="S280" i="1"/>
  <c r="T280" i="1" a="1"/>
  <c r="S280" i="1" a="1"/>
  <c r="T192" i="1"/>
  <c r="S192" i="1"/>
  <c r="T192" i="1" a="1"/>
  <c r="S192" i="1" a="1"/>
  <c r="T640" i="1"/>
  <c r="S640" i="1"/>
  <c r="T640" i="1" a="1"/>
  <c r="S640" i="1" a="1"/>
  <c r="T82" i="1"/>
  <c r="S82" i="1"/>
  <c r="T82" i="1" a="1"/>
  <c r="S82" i="1" a="1"/>
  <c r="S50" i="1"/>
  <c r="S50" i="1" a="1"/>
  <c r="T50" i="1"/>
  <c r="T50" i="1" a="1"/>
  <c r="T454" i="1"/>
  <c r="S454" i="1"/>
  <c r="T454" i="1" a="1"/>
  <c r="S454" i="1" a="1"/>
  <c r="S587" i="1"/>
  <c r="S587" i="1" a="1"/>
  <c r="T587" i="1"/>
  <c r="T587" i="1" a="1"/>
  <c r="S322" i="1"/>
  <c r="S322" i="1" a="1"/>
  <c r="T322" i="1"/>
  <c r="T322" i="1" a="1"/>
  <c r="S98" i="1"/>
  <c r="S98" i="1" a="1"/>
  <c r="T98" i="1"/>
  <c r="T98" i="1" a="1"/>
  <c r="S704" i="1"/>
  <c r="S704" i="1" a="1"/>
  <c r="T704" i="1"/>
  <c r="T704" i="1" a="1"/>
  <c r="T230" i="1"/>
  <c r="S230" i="1"/>
  <c r="T230" i="1" a="1"/>
  <c r="S230" i="1" a="1"/>
  <c r="S546" i="1"/>
  <c r="S546" i="1" a="1"/>
  <c r="S353" i="1"/>
  <c r="S353" i="1" a="1"/>
  <c r="T353" i="1"/>
  <c r="T353" i="1" a="1"/>
  <c r="S536" i="1"/>
  <c r="S536" i="1" a="1"/>
  <c r="T281" i="1"/>
  <c r="S281" i="1"/>
  <c r="T281" i="1" a="1"/>
  <c r="S281" i="1" a="1"/>
  <c r="S367" i="1"/>
  <c r="S367" i="1" a="1"/>
  <c r="T367" i="1"/>
  <c r="T367" i="1" a="1"/>
  <c r="S139" i="1"/>
  <c r="S139" i="1" a="1"/>
  <c r="T139" i="1"/>
  <c r="T139" i="1" a="1"/>
  <c r="S533" i="1"/>
  <c r="S533" i="1" a="1"/>
  <c r="S751" i="1"/>
  <c r="S751" i="1" a="1"/>
  <c r="T751" i="1"/>
  <c r="T751" i="1" a="1"/>
  <c r="S415" i="1"/>
  <c r="S415" i="1" a="1"/>
  <c r="T415" i="1"/>
  <c r="T415" i="1" a="1"/>
  <c r="S86" i="1"/>
  <c r="S86" i="1" a="1"/>
  <c r="T86" i="1"/>
  <c r="T86" i="1" a="1"/>
  <c r="T291" i="1"/>
  <c r="S291" i="1"/>
  <c r="T291" i="1" a="1"/>
  <c r="S291" i="1" a="1"/>
  <c r="T39" i="1"/>
  <c r="S39" i="1"/>
  <c r="T39" i="1" a="1"/>
  <c r="S39" i="1" a="1"/>
  <c r="S739" i="1"/>
  <c r="S739" i="1" a="1"/>
  <c r="S244" i="1"/>
  <c r="S244" i="1" a="1"/>
  <c r="T244" i="1"/>
  <c r="T244" i="1" a="1"/>
  <c r="T350" i="1"/>
  <c r="S350" i="1"/>
  <c r="T350" i="1" a="1"/>
  <c r="S350" i="1" a="1"/>
  <c r="S193" i="1"/>
  <c r="S193" i="1" a="1"/>
  <c r="T193" i="1"/>
  <c r="T193" i="1" a="1"/>
  <c r="T632" i="1"/>
  <c r="S632" i="1"/>
  <c r="T632" i="1" a="1"/>
  <c r="S632" i="1" a="1"/>
  <c r="T5" i="1"/>
  <c r="S5" i="1"/>
  <c r="T5" i="1" a="1"/>
  <c r="S5" i="1" a="1"/>
  <c r="T673" i="1"/>
  <c r="S673" i="1"/>
  <c r="T673" i="1" a="1"/>
  <c r="S673" i="1" a="1"/>
  <c r="T453" i="1"/>
  <c r="S453" i="1"/>
  <c r="T453" i="1" a="1"/>
  <c r="S453" i="1" a="1"/>
  <c r="T77" i="1"/>
  <c r="S77" i="1"/>
  <c r="T77" i="1" a="1"/>
  <c r="S77" i="1" a="1"/>
  <c r="S543" i="1"/>
  <c r="S543" i="1" a="1"/>
  <c r="T543" i="1"/>
  <c r="T543" i="1" a="1"/>
  <c r="S400" i="1"/>
  <c r="S400" i="1" a="1"/>
  <c r="T400" i="1"/>
  <c r="T400" i="1" a="1"/>
  <c r="T167" i="1"/>
  <c r="S167" i="1"/>
  <c r="T167" i="1" a="1"/>
  <c r="S167" i="1" a="1"/>
  <c r="S356" i="1"/>
  <c r="S356" i="1" a="1"/>
  <c r="T356" i="1"/>
  <c r="T356" i="1" a="1"/>
  <c r="S222" i="1"/>
  <c r="S222" i="1" a="1"/>
  <c r="T222" i="1"/>
  <c r="T222" i="1" a="1"/>
  <c r="S404" i="1"/>
  <c r="S404" i="1" a="1"/>
  <c r="T404" i="1"/>
  <c r="T404" i="1" a="1"/>
  <c r="T213" i="1"/>
  <c r="S213" i="1"/>
  <c r="T213" i="1" a="1"/>
  <c r="S213" i="1" a="1"/>
  <c r="S267" i="1"/>
  <c r="S267" i="1" a="1"/>
  <c r="T267" i="1"/>
  <c r="T267" i="1" a="1"/>
  <c r="S253" i="1"/>
  <c r="S253" i="1" a="1"/>
  <c r="T253" i="1"/>
  <c r="T253" i="1" a="1"/>
  <c r="T419" i="1"/>
  <c r="S419" i="1"/>
  <c r="T419" i="1" a="1"/>
  <c r="S419" i="1" a="1"/>
  <c r="S46" i="1"/>
  <c r="S46" i="1" a="1"/>
  <c r="T46" i="1"/>
  <c r="T46" i="1" a="1"/>
  <c r="T133" i="1"/>
  <c r="S133" i="1"/>
  <c r="T133" i="1" a="1"/>
  <c r="S133" i="1" a="1"/>
  <c r="S519" i="1"/>
  <c r="S519" i="1" a="1"/>
  <c r="T519" i="1"/>
  <c r="T519" i="1" a="1"/>
  <c r="S577" i="1"/>
  <c r="S577" i="1" a="1"/>
  <c r="T577" i="1"/>
  <c r="T577" i="1" a="1"/>
  <c r="S624" i="1"/>
  <c r="S624" i="1" a="1"/>
  <c r="T624" i="1"/>
  <c r="T624" i="1" a="1"/>
  <c r="S537" i="1"/>
  <c r="S537" i="1" a="1"/>
  <c r="T279" i="1"/>
  <c r="S279" i="1"/>
  <c r="T279" i="1" a="1"/>
  <c r="S279" i="1" a="1"/>
  <c r="S451" i="1"/>
  <c r="S451" i="1" a="1"/>
  <c r="T451" i="1"/>
  <c r="T451" i="1" a="1"/>
  <c r="S547" i="1"/>
  <c r="S547" i="1" a="1"/>
  <c r="T3" i="1"/>
  <c r="S3" i="1"/>
  <c r="T3" i="1" a="1"/>
  <c r="S3" i="1" a="1"/>
  <c r="T58" i="1"/>
  <c r="S58" i="1"/>
  <c r="T58" i="1" a="1"/>
  <c r="S58" i="1" a="1"/>
  <c r="S36" i="1"/>
  <c r="S36" i="1" a="1"/>
  <c r="T36" i="1"/>
  <c r="T36" i="1" a="1"/>
  <c r="S563" i="1"/>
  <c r="S563" i="1" a="1"/>
  <c r="T563" i="1"/>
  <c r="T563" i="1" a="1"/>
  <c r="T630" i="1"/>
  <c r="S630" i="1"/>
  <c r="T630" i="1" a="1"/>
  <c r="S630" i="1" a="1"/>
  <c r="T572" i="1"/>
  <c r="S572" i="1"/>
  <c r="T572" i="1" a="1"/>
  <c r="S572" i="1" a="1"/>
  <c r="S275" i="1"/>
  <c r="S275" i="1" a="1"/>
  <c r="T275" i="1"/>
  <c r="T275" i="1" a="1"/>
  <c r="S670" i="1"/>
  <c r="S670" i="1" a="1"/>
  <c r="T670" i="1"/>
  <c r="T670" i="1" a="1"/>
  <c r="S551" i="1"/>
  <c r="S551" i="1" a="1"/>
  <c r="T724" i="1"/>
  <c r="S724" i="1"/>
  <c r="T724" i="1" a="1"/>
  <c r="S724" i="1" a="1"/>
  <c r="T441" i="1"/>
  <c r="S441" i="1"/>
  <c r="T441" i="1" a="1"/>
  <c r="S441" i="1" a="1"/>
  <c r="T459" i="1"/>
  <c r="S459" i="1"/>
  <c r="T459" i="1" a="1"/>
  <c r="S459" i="1" a="1"/>
  <c r="S228" i="1"/>
  <c r="S228" i="1" a="1"/>
  <c r="T228" i="1"/>
  <c r="T228" i="1" a="1"/>
  <c r="T625" i="1"/>
  <c r="S625" i="1"/>
  <c r="T625" i="1" a="1"/>
  <c r="S625" i="1" a="1"/>
  <c r="T271" i="1"/>
  <c r="S271" i="1"/>
  <c r="T271" i="1" a="1"/>
  <c r="S271" i="1" a="1"/>
  <c r="T654" i="1"/>
  <c r="S654" i="1"/>
  <c r="T654" i="1" a="1"/>
  <c r="S654" i="1" a="1"/>
  <c r="T565" i="1"/>
  <c r="S565" i="1"/>
  <c r="T565" i="1" a="1"/>
  <c r="S565" i="1" a="1"/>
  <c r="S70" i="1"/>
  <c r="S70" i="1" a="1"/>
  <c r="T70" i="1"/>
  <c r="T70" i="1" a="1"/>
  <c r="T518" i="1"/>
  <c r="S518" i="1"/>
  <c r="T518" i="1" a="1"/>
  <c r="S518" i="1" a="1"/>
  <c r="S335" i="1"/>
  <c r="S335" i="1" a="1"/>
  <c r="T335" i="1"/>
  <c r="T335" i="1" a="1"/>
  <c r="T241" i="1"/>
  <c r="S241" i="1"/>
  <c r="T241" i="1" a="1"/>
  <c r="S241" i="1" a="1"/>
  <c r="S433" i="1"/>
  <c r="S433" i="1" a="1"/>
  <c r="T433" i="1"/>
  <c r="T433" i="1" a="1"/>
  <c r="T100" i="1"/>
  <c r="S100" i="1"/>
  <c r="T100" i="1" a="1"/>
  <c r="S100" i="1" a="1"/>
  <c r="T621" i="1"/>
  <c r="S621" i="1"/>
  <c r="T621" i="1" a="1"/>
  <c r="S621" i="1" a="1"/>
  <c r="S231" i="1"/>
  <c r="S231" i="1" a="1"/>
  <c r="T231" i="1"/>
  <c r="T231" i="1" a="1"/>
  <c r="S430" i="1"/>
  <c r="S430" i="1" a="1"/>
  <c r="T430" i="1"/>
  <c r="T430" i="1" a="1"/>
  <c r="S204" i="1"/>
  <c r="S204" i="1" a="1"/>
  <c r="T204" i="1"/>
  <c r="T204" i="1" a="1"/>
  <c r="S579" i="1"/>
  <c r="S579" i="1" a="1"/>
  <c r="T579" i="1"/>
  <c r="T579" i="1" a="1"/>
  <c r="T211" i="1"/>
  <c r="S211" i="1"/>
  <c r="T211" i="1" a="1"/>
  <c r="S211" i="1" a="1"/>
  <c r="S512" i="1"/>
  <c r="S512" i="1" a="1"/>
  <c r="T512" i="1"/>
  <c r="T512" i="1" a="1"/>
  <c r="S142" i="1"/>
  <c r="S142" i="1" a="1"/>
  <c r="T142" i="1"/>
  <c r="T142" i="1" a="1"/>
  <c r="T487" i="1"/>
  <c r="S487" i="1"/>
  <c r="T487" i="1" a="1"/>
  <c r="S487" i="1" a="1"/>
  <c r="T612" i="1"/>
  <c r="S612" i="1"/>
  <c r="T612" i="1" a="1"/>
  <c r="S612" i="1" a="1"/>
  <c r="S584" i="1"/>
  <c r="S584" i="1" a="1"/>
  <c r="T584" i="1"/>
  <c r="T584" i="1" a="1"/>
  <c r="S158" i="1"/>
  <c r="S158" i="1" a="1"/>
  <c r="T158" i="1"/>
  <c r="T158" i="1" a="1"/>
  <c r="S534" i="1"/>
  <c r="S534" i="1" a="1"/>
  <c r="T500" i="1"/>
  <c r="S500" i="1"/>
  <c r="T500" i="1" a="1"/>
  <c r="S500" i="1" a="1"/>
  <c r="S738" i="1"/>
  <c r="S738" i="1" a="1"/>
  <c r="S471" i="1"/>
  <c r="S471" i="1" a="1"/>
  <c r="T471" i="1"/>
  <c r="T471" i="1" a="1"/>
  <c r="S149" i="1"/>
  <c r="S149" i="1" a="1"/>
  <c r="T149" i="1"/>
  <c r="T149" i="1" a="1"/>
  <c r="S343" i="1"/>
  <c r="S343" i="1" a="1"/>
  <c r="T343" i="1"/>
  <c r="T343" i="1" a="1"/>
  <c r="S236" i="1"/>
  <c r="S236" i="1" a="1"/>
  <c r="T236" i="1"/>
  <c r="T236" i="1" a="1"/>
  <c r="S550" i="1"/>
  <c r="S550" i="1" a="1"/>
  <c r="S108" i="1"/>
  <c r="S108" i="1" a="1"/>
  <c r="T108" i="1"/>
  <c r="T108" i="1" a="1"/>
  <c r="S294" i="1"/>
  <c r="S294" i="1" a="1"/>
  <c r="T294" i="1"/>
  <c r="T294" i="1" a="1"/>
  <c r="S544" i="1"/>
  <c r="S544" i="1" a="1"/>
  <c r="S718" i="1"/>
  <c r="S718" i="1" a="1"/>
  <c r="T718" i="1"/>
  <c r="T718" i="1" a="1"/>
  <c r="S202" i="1"/>
  <c r="S202" i="1" a="1"/>
  <c r="T202" i="1"/>
  <c r="T202" i="1" a="1"/>
  <c r="T403" i="1"/>
  <c r="S403" i="1"/>
  <c r="T403" i="1" a="1"/>
  <c r="S403" i="1" a="1"/>
  <c r="T393" i="1"/>
  <c r="S393" i="1"/>
  <c r="T393" i="1" a="1"/>
  <c r="S393" i="1" a="1"/>
  <c r="T97" i="1"/>
  <c r="S97" i="1"/>
  <c r="T97" i="1" a="1"/>
  <c r="S97" i="1" a="1"/>
  <c r="S429" i="1"/>
  <c r="S429" i="1" a="1"/>
  <c r="T429" i="1"/>
  <c r="T429" i="1" a="1"/>
  <c r="S295" i="1"/>
  <c r="S295" i="1" a="1"/>
  <c r="T295" i="1"/>
  <c r="T295" i="1" a="1"/>
  <c r="T364" i="1"/>
  <c r="S364" i="1"/>
  <c r="T364" i="1" a="1"/>
  <c r="S364" i="1" a="1"/>
  <c r="S722" i="1"/>
  <c r="S722" i="1" a="1"/>
  <c r="T722" i="1"/>
  <c r="T722" i="1" a="1"/>
  <c r="S504" i="1"/>
  <c r="S504" i="1" a="1"/>
  <c r="T504" i="1"/>
  <c r="T504" i="1" a="1"/>
  <c r="T394" i="1"/>
  <c r="S394" i="1"/>
  <c r="T394" i="1" a="1"/>
  <c r="S394" i="1" a="1"/>
  <c r="S671" i="1"/>
  <c r="S671" i="1" a="1"/>
  <c r="T671" i="1"/>
  <c r="T671" i="1" a="1"/>
  <c r="S532" i="1"/>
  <c r="S532" i="1" a="1"/>
  <c r="T522" i="1"/>
  <c r="S522" i="1"/>
  <c r="T522" i="1" a="1"/>
  <c r="S522" i="1" a="1"/>
  <c r="S109" i="1"/>
  <c r="S109" i="1" a="1"/>
  <c r="T109" i="1"/>
  <c r="T109" i="1" a="1"/>
  <c r="S296" i="1"/>
  <c r="S296" i="1" a="1"/>
  <c r="T296" i="1"/>
  <c r="T296" i="1" a="1"/>
  <c r="S66" i="1"/>
  <c r="S66" i="1" a="1"/>
  <c r="T66" i="1"/>
  <c r="T66" i="1" a="1"/>
  <c r="S43" i="1"/>
  <c r="S43" i="1" a="1"/>
  <c r="T43" i="1"/>
  <c r="T43" i="1" a="1"/>
  <c r="T216" i="1"/>
  <c r="S216" i="1"/>
  <c r="T216" i="1" a="1"/>
  <c r="S216" i="1" a="1"/>
  <c r="S68" i="1"/>
  <c r="S68" i="1" a="1"/>
  <c r="T68" i="1"/>
  <c r="T68" i="1" a="1"/>
  <c r="T259" i="1"/>
  <c r="S259" i="1"/>
  <c r="T259" i="1" a="1"/>
  <c r="S259" i="1" a="1"/>
  <c r="T104" i="1"/>
  <c r="S104" i="1"/>
  <c r="T104" i="1" a="1"/>
  <c r="S104" i="1" a="1"/>
  <c r="T411" i="1"/>
  <c r="S411" i="1"/>
  <c r="T411" i="1" a="1"/>
  <c r="S411" i="1" a="1"/>
  <c r="T458" i="1"/>
  <c r="S458" i="1"/>
  <c r="T458" i="1" a="1"/>
  <c r="S458" i="1" a="1"/>
  <c r="T164" i="1"/>
  <c r="S164" i="1"/>
  <c r="T164" i="1" a="1"/>
  <c r="S164" i="1" a="1"/>
  <c r="T627" i="1"/>
  <c r="S627" i="1"/>
  <c r="T627" i="1" a="1"/>
  <c r="S627" i="1" a="1"/>
  <c r="S256" i="1"/>
  <c r="S256" i="1" a="1"/>
  <c r="T256" i="1"/>
  <c r="T256" i="1" a="1"/>
  <c r="S682" i="1"/>
  <c r="S682" i="1" a="1"/>
  <c r="T682" i="1"/>
  <c r="T682" i="1" a="1"/>
  <c r="S257" i="1"/>
  <c r="S257" i="1" a="1"/>
  <c r="T257" i="1"/>
  <c r="T257" i="1" a="1"/>
  <c r="S542" i="1"/>
  <c r="S542" i="1" a="1"/>
  <c r="T542" i="1"/>
  <c r="T542" i="1" a="1"/>
  <c r="T378" i="1"/>
  <c r="S378" i="1"/>
  <c r="T378" i="1" a="1"/>
  <c r="S378" i="1" a="1"/>
  <c r="S38" i="1"/>
  <c r="S38" i="1" a="1"/>
  <c r="T38" i="1"/>
  <c r="T38" i="1" a="1"/>
  <c r="T282" i="1"/>
  <c r="S282" i="1"/>
  <c r="T282" i="1" a="1"/>
  <c r="S282" i="1" a="1"/>
  <c r="S369" i="1"/>
  <c r="S369" i="1" a="1"/>
  <c r="T369" i="1"/>
  <c r="T369" i="1" a="1"/>
  <c r="S226" i="1"/>
  <c r="S226" i="1" a="1"/>
  <c r="T226" i="1"/>
  <c r="T226" i="1" a="1"/>
  <c r="T628" i="1"/>
  <c r="S628" i="1"/>
  <c r="T628" i="1" a="1"/>
  <c r="S628" i="1" a="1"/>
  <c r="S169" i="1"/>
  <c r="S169" i="1" a="1"/>
  <c r="T169" i="1"/>
  <c r="T169" i="1" a="1"/>
  <c r="T476" i="1"/>
  <c r="S476" i="1"/>
  <c r="T476" i="1" a="1"/>
  <c r="S476" i="1" a="1"/>
  <c r="S125" i="1"/>
  <c r="S125" i="1" a="1"/>
  <c r="T125" i="1"/>
  <c r="T125" i="1" a="1"/>
  <c r="S747" i="1"/>
  <c r="S747" i="1" a="1"/>
  <c r="T747" i="1"/>
  <c r="T747" i="1" a="1"/>
  <c r="T55" i="1"/>
  <c r="S55" i="1"/>
  <c r="T55" i="1" a="1"/>
  <c r="S55" i="1" a="1"/>
  <c r="S473" i="1"/>
  <c r="S473" i="1" a="1"/>
  <c r="T473" i="1"/>
  <c r="T473" i="1" a="1"/>
  <c r="S237" i="1"/>
  <c r="S237" i="1" a="1"/>
  <c r="T237" i="1"/>
  <c r="T237" i="1" a="1"/>
  <c r="S590" i="1"/>
  <c r="S590" i="1" a="1"/>
  <c r="T590" i="1"/>
  <c r="T590" i="1" a="1"/>
  <c r="S8" i="1"/>
  <c r="S8" i="1" a="1"/>
  <c r="T8" i="1"/>
  <c r="T8" i="1" a="1"/>
  <c r="T677" i="1"/>
  <c r="S677" i="1"/>
  <c r="T677" i="1" a="1"/>
  <c r="S677" i="1" a="1"/>
  <c r="S438" i="1"/>
  <c r="S438" i="1" a="1"/>
  <c r="T438" i="1"/>
  <c r="T438" i="1" a="1"/>
  <c r="S251" i="1"/>
  <c r="S251" i="1" a="1"/>
  <c r="T251" i="1"/>
  <c r="T251" i="1" a="1"/>
  <c r="T120" i="1"/>
  <c r="S120" i="1"/>
  <c r="T120" i="1" a="1"/>
  <c r="S120" i="1" a="1"/>
  <c r="T379" i="1"/>
  <c r="S379" i="1"/>
  <c r="T379" i="1" a="1"/>
  <c r="S379" i="1" a="1"/>
  <c r="T340" i="1"/>
  <c r="S340" i="1"/>
  <c r="T340" i="1" a="1"/>
  <c r="S340" i="1" a="1"/>
  <c r="S341" i="1"/>
  <c r="S341" i="1" a="1"/>
  <c r="T341" i="1"/>
  <c r="T341" i="1" a="1"/>
  <c r="S345" i="1"/>
  <c r="S345" i="1" a="1"/>
  <c r="T345" i="1"/>
  <c r="T345" i="1" a="1"/>
  <c r="S371" i="1"/>
  <c r="S371" i="1" a="1"/>
  <c r="T371" i="1"/>
  <c r="T371" i="1" a="1"/>
  <c r="S317" i="1"/>
  <c r="S317" i="1" a="1"/>
  <c r="T317" i="1"/>
  <c r="T317" i="1" a="1"/>
  <c r="S235" i="1"/>
  <c r="S235" i="1" a="1"/>
  <c r="T235" i="1"/>
  <c r="T235" i="1" a="1"/>
  <c r="T715" i="1"/>
  <c r="S715" i="1"/>
  <c r="T715" i="1" a="1"/>
  <c r="S715" i="1" a="1"/>
  <c r="S365" i="1"/>
  <c r="S365" i="1" a="1"/>
  <c r="T365" i="1"/>
  <c r="T365" i="1" a="1"/>
  <c r="T264" i="1"/>
  <c r="S264" i="1"/>
  <c r="T264" i="1" a="1"/>
  <c r="S264" i="1" a="1"/>
  <c r="S734" i="1"/>
  <c r="S734" i="1" a="1"/>
  <c r="T734" i="1"/>
  <c r="T734" i="1" a="1"/>
  <c r="T376" i="1"/>
  <c r="S376" i="1"/>
  <c r="T376" i="1" a="1"/>
  <c r="S376" i="1" a="1"/>
  <c r="T360" i="1"/>
  <c r="S360" i="1"/>
  <c r="T360" i="1" a="1"/>
  <c r="S360" i="1" a="1"/>
  <c r="T381" i="1"/>
  <c r="S381" i="1"/>
  <c r="T381" i="1" a="1"/>
  <c r="S381" i="1" a="1"/>
  <c r="S59" i="1"/>
  <c r="S59" i="1" a="1"/>
  <c r="T59" i="1"/>
  <c r="T59" i="1" a="1"/>
  <c r="S359" i="1"/>
  <c r="S359" i="1" a="1"/>
  <c r="T359" i="1"/>
  <c r="T359" i="1" a="1"/>
  <c r="S711" i="1"/>
  <c r="S711" i="1" a="1"/>
  <c r="T711" i="1"/>
  <c r="T711" i="1" a="1"/>
  <c r="S315" i="1"/>
  <c r="S315" i="1" a="1"/>
  <c r="T315" i="1"/>
  <c r="T315" i="1" a="1"/>
  <c r="T723" i="1"/>
  <c r="S723" i="1"/>
  <c r="T723" i="1" a="1"/>
  <c r="S723" i="1" a="1"/>
  <c r="S310" i="1"/>
  <c r="S310" i="1" a="1"/>
  <c r="T310" i="1"/>
  <c r="T310" i="1" a="1"/>
  <c r="S307" i="1"/>
  <c r="S307" i="1" a="1"/>
  <c r="T307" i="1"/>
  <c r="T307" i="1" a="1"/>
  <c r="T103" i="1"/>
  <c r="S103" i="1"/>
  <c r="T103" i="1" a="1"/>
  <c r="S103" i="1" a="1"/>
  <c r="T320" i="1"/>
  <c r="S320" i="1"/>
  <c r="T320" i="1" a="1"/>
  <c r="S320" i="1" a="1"/>
  <c r="T289" i="1"/>
  <c r="S289" i="1"/>
  <c r="T289" i="1" a="1"/>
  <c r="S289" i="1" a="1"/>
  <c r="S391" i="1"/>
  <c r="S391" i="1" a="1"/>
  <c r="T391" i="1"/>
  <c r="T391" i="1" a="1"/>
  <c r="T617" i="1"/>
  <c r="S617" i="1"/>
  <c r="T617" i="1" a="1"/>
  <c r="S617" i="1" a="1"/>
  <c r="T733" i="1"/>
  <c r="S733" i="1"/>
  <c r="T733" i="1" a="1"/>
  <c r="S733" i="1" a="1"/>
  <c r="S530" i="1"/>
  <c r="S530" i="1" a="1"/>
  <c r="T436" i="1"/>
  <c r="S436" i="1"/>
  <c r="T436" i="1" a="1"/>
  <c r="S436" i="1" a="1"/>
  <c r="S629" i="1"/>
  <c r="S629" i="1" a="1"/>
  <c r="T629" i="1"/>
  <c r="T629" i="1" a="1"/>
  <c r="T541" i="1"/>
  <c r="S541" i="1"/>
  <c r="T541" i="1" a="1"/>
  <c r="S541" i="1" a="1"/>
  <c r="S435" i="1"/>
  <c r="S435" i="1" a="1"/>
  <c r="T435" i="1"/>
  <c r="T435" i="1" a="1"/>
  <c r="S402" i="1"/>
  <c r="S402" i="1" a="1"/>
  <c r="T402" i="1"/>
  <c r="T402" i="1" a="1"/>
  <c r="T172" i="1"/>
  <c r="S172" i="1"/>
  <c r="T172" i="1" a="1"/>
  <c r="S172" i="1" a="1"/>
  <c r="S301" i="1"/>
  <c r="S301" i="1" a="1"/>
  <c r="T301" i="1"/>
  <c r="T301" i="1" a="1"/>
  <c r="T421" i="1"/>
  <c r="S421" i="1"/>
  <c r="T421" i="1" a="1"/>
  <c r="S421" i="1" a="1"/>
  <c r="T151" i="1"/>
  <c r="S151" i="1"/>
  <c r="T151" i="1" a="1"/>
  <c r="S151" i="1" a="1"/>
  <c r="T117" i="1"/>
  <c r="S117" i="1"/>
  <c r="T117" i="1" a="1"/>
  <c r="S117" i="1" a="1"/>
  <c r="S182" i="1"/>
  <c r="S182" i="1" a="1"/>
  <c r="T182" i="1"/>
  <c r="T182" i="1" a="1"/>
  <c r="T605" i="1"/>
  <c r="S605" i="1"/>
  <c r="T605" i="1" a="1"/>
  <c r="S605" i="1" a="1"/>
  <c r="T395" i="1"/>
  <c r="S395" i="1"/>
  <c r="T395" i="1" a="1"/>
  <c r="S395" i="1" a="1"/>
  <c r="S597" i="1"/>
  <c r="S597" i="1" a="1"/>
  <c r="T597" i="1"/>
  <c r="T597" i="1" a="1"/>
  <c r="S729" i="1"/>
  <c r="S729" i="1" a="1"/>
  <c r="T729" i="1"/>
  <c r="T729" i="1" a="1"/>
  <c r="T609" i="1"/>
  <c r="S609" i="1"/>
  <c r="T609" i="1" a="1"/>
  <c r="S609" i="1" a="1"/>
  <c r="T368" i="1"/>
  <c r="S368" i="1"/>
  <c r="T368" i="1" a="1"/>
  <c r="S368" i="1" a="1"/>
  <c r="T511" i="1"/>
  <c r="S511" i="1"/>
  <c r="T511" i="1" a="1"/>
  <c r="S511" i="1" a="1"/>
  <c r="S443" i="1"/>
  <c r="S443" i="1" a="1"/>
  <c r="T443" i="1"/>
  <c r="T443" i="1" a="1"/>
  <c r="T342" i="1"/>
  <c r="S342" i="1"/>
  <c r="T342" i="1" a="1"/>
  <c r="S342" i="1" a="1"/>
  <c r="S299" i="1"/>
  <c r="S299" i="1" a="1"/>
  <c r="T299" i="1"/>
  <c r="T299" i="1" a="1"/>
  <c r="S482" i="1"/>
  <c r="S482" i="1" a="1"/>
  <c r="T482" i="1"/>
  <c r="T482" i="1" a="1"/>
  <c r="T714" i="1"/>
  <c r="S714" i="1"/>
  <c r="T714" i="1" a="1"/>
  <c r="S714" i="1" a="1"/>
  <c r="T331" i="1"/>
  <c r="S331" i="1"/>
  <c r="T331" i="1" a="1"/>
  <c r="S331" i="1" a="1"/>
  <c r="T696" i="1"/>
  <c r="S696" i="1"/>
  <c r="T696" i="1" a="1"/>
  <c r="S696" i="1" a="1"/>
  <c r="S377" i="1"/>
  <c r="S377" i="1" a="1"/>
  <c r="T377" i="1"/>
  <c r="T377" i="1" a="1"/>
  <c r="S10" i="1"/>
  <c r="S10" i="1" a="1"/>
  <c r="T10" i="1"/>
  <c r="T10" i="1" a="1"/>
  <c r="T457" i="1"/>
  <c r="S457" i="1"/>
  <c r="T457" i="1" a="1"/>
  <c r="S457" i="1" a="1"/>
  <c r="S333" i="1"/>
  <c r="S333" i="1" a="1"/>
  <c r="T333" i="1"/>
  <c r="T333" i="1" a="1"/>
  <c r="S481" i="1"/>
  <c r="S481" i="1" a="1"/>
  <c r="T481" i="1"/>
  <c r="T481" i="1" a="1"/>
  <c r="T390" i="1"/>
  <c r="S390" i="1"/>
  <c r="T390" i="1" a="1"/>
  <c r="S390" i="1" a="1"/>
  <c r="T431" i="1"/>
  <c r="S431" i="1"/>
  <c r="T431" i="1" a="1"/>
  <c r="S431" i="1" a="1"/>
  <c r="S599" i="1"/>
  <c r="S599" i="1" a="1"/>
  <c r="T599" i="1"/>
  <c r="T599" i="1" a="1"/>
  <c r="S18" i="1"/>
  <c r="S18" i="1" a="1"/>
  <c r="T18" i="1"/>
  <c r="T18" i="1" a="1"/>
  <c r="S717" i="1"/>
  <c r="S717" i="1" a="1"/>
  <c r="T717" i="1"/>
  <c r="T717" i="1" a="1"/>
  <c r="S215" i="1"/>
  <c r="S215" i="1" a="1"/>
  <c r="T215" i="1"/>
  <c r="T215" i="1" a="1"/>
  <c r="T566" i="1"/>
  <c r="S566" i="1"/>
  <c r="T566" i="1" a="1"/>
  <c r="S566" i="1" a="1"/>
  <c r="T344" i="1"/>
  <c r="S344" i="1"/>
  <c r="T344" i="1" a="1"/>
  <c r="S344" i="1" a="1"/>
  <c r="S327" i="1"/>
  <c r="S327" i="1" a="1"/>
  <c r="T327" i="1"/>
  <c r="T327" i="1" a="1"/>
  <c r="T199" i="1"/>
  <c r="S199" i="1"/>
  <c r="T199" i="1" a="1"/>
  <c r="S199" i="1" a="1"/>
  <c r="S94" i="1"/>
  <c r="S94" i="1" a="1"/>
  <c r="T94" i="1"/>
  <c r="T94" i="1" a="1"/>
  <c r="S449" i="1"/>
  <c r="S449" i="1" a="1"/>
  <c r="T449" i="1"/>
  <c r="T449" i="1" a="1"/>
  <c r="T637" i="1"/>
  <c r="S637" i="1"/>
  <c r="T637" i="1" a="1"/>
  <c r="S637" i="1" a="1"/>
  <c r="T41" i="1"/>
  <c r="S41" i="1"/>
  <c r="T41" i="1" a="1"/>
  <c r="S41" i="1" a="1"/>
  <c r="T150" i="1"/>
  <c r="S150" i="1"/>
  <c r="T150" i="1" a="1"/>
  <c r="S150" i="1" a="1"/>
  <c r="S114" i="1"/>
  <c r="S114" i="1" a="1"/>
  <c r="T114" i="1"/>
  <c r="T114" i="1" a="1"/>
  <c r="S113" i="1"/>
  <c r="S113" i="1" a="1"/>
  <c r="T113" i="1"/>
  <c r="T113" i="1" a="1"/>
  <c r="S498" i="1"/>
  <c r="S498" i="1" a="1"/>
  <c r="T498" i="1"/>
  <c r="T498" i="1" a="1"/>
  <c r="S218" i="1"/>
  <c r="S218" i="1" a="1"/>
  <c r="T218" i="1"/>
  <c r="T218" i="1" a="1"/>
  <c r="S316" i="1"/>
  <c r="S316" i="1" a="1"/>
  <c r="T316" i="1"/>
  <c r="T316" i="1" a="1"/>
  <c r="S51" i="1"/>
  <c r="S51" i="1" a="1"/>
  <c r="T51" i="1"/>
  <c r="T51" i="1" a="1"/>
  <c r="S689" i="1"/>
  <c r="S689" i="1" a="1"/>
  <c r="T689" i="1"/>
  <c r="T689" i="1" a="1"/>
  <c r="T135" i="1"/>
  <c r="S135" i="1"/>
  <c r="T135" i="1" a="1"/>
  <c r="S135" i="1" a="1"/>
  <c r="T445" i="1"/>
  <c r="S445" i="1"/>
  <c r="T445" i="1" a="1"/>
  <c r="S445" i="1" a="1"/>
  <c r="S432" i="1"/>
  <c r="S432" i="1" a="1"/>
  <c r="T432" i="1"/>
  <c r="T432" i="1" a="1"/>
  <c r="T278" i="1"/>
  <c r="S278" i="1"/>
  <c r="T278" i="1" a="1"/>
  <c r="S278" i="1" a="1"/>
  <c r="T607" i="1"/>
  <c r="S607" i="1"/>
  <c r="T607" i="1" a="1"/>
  <c r="S607" i="1" a="1"/>
  <c r="S549" i="1"/>
  <c r="S549" i="1" a="1"/>
  <c r="S69" i="1"/>
  <c r="S69" i="1" a="1"/>
  <c r="T69" i="1"/>
  <c r="T69" i="1" a="1"/>
  <c r="T762" i="1"/>
  <c r="S762" i="1"/>
  <c r="T762" i="1" a="1"/>
  <c r="S762" i="1" a="1"/>
  <c r="T170" i="1"/>
  <c r="S170" i="1"/>
  <c r="T170" i="1" a="1"/>
  <c r="S170" i="1" a="1"/>
  <c r="T636" i="1"/>
  <c r="S636" i="1"/>
  <c r="T636" i="1" a="1"/>
  <c r="S636" i="1" a="1"/>
  <c r="S111" i="1"/>
  <c r="S111" i="1" a="1"/>
  <c r="T111" i="1"/>
  <c r="T111" i="1" a="1"/>
  <c r="S668" i="1"/>
  <c r="S668" i="1" a="1"/>
  <c r="T668" i="1"/>
  <c r="T668" i="1" a="1"/>
  <c r="S380" i="1"/>
  <c r="S380" i="1" a="1"/>
  <c r="T380" i="1"/>
  <c r="T380" i="1" a="1"/>
  <c r="T529" i="1"/>
  <c r="S529" i="1"/>
  <c r="T529" i="1" a="1"/>
  <c r="S529" i="1" a="1"/>
  <c r="T462" i="1"/>
  <c r="S462" i="1"/>
  <c r="T462" i="1" a="1"/>
  <c r="S462" i="1" a="1"/>
  <c r="T168" i="1"/>
  <c r="S168" i="1"/>
  <c r="T168" i="1" a="1"/>
  <c r="S168" i="1" a="1"/>
  <c r="S223" i="1"/>
  <c r="S223" i="1" a="1"/>
  <c r="T223" i="1"/>
  <c r="T223" i="1" a="1"/>
  <c r="S93" i="1"/>
  <c r="S93" i="1" a="1"/>
  <c r="T93" i="1"/>
  <c r="T93" i="1" a="1"/>
  <c r="T589" i="1"/>
  <c r="S589" i="1"/>
  <c r="T589" i="1" a="1"/>
  <c r="S589" i="1" a="1"/>
  <c r="S615" i="1"/>
  <c r="S615" i="1" a="1"/>
  <c r="T615" i="1"/>
  <c r="T615" i="1" a="1"/>
  <c r="T298" i="1"/>
  <c r="S298" i="1"/>
  <c r="T298" i="1" a="1"/>
  <c r="S298" i="1" a="1"/>
  <c r="S124" i="1"/>
  <c r="S124" i="1" a="1"/>
  <c r="T124" i="1"/>
  <c r="T124" i="1" a="1"/>
  <c r="S468" i="1"/>
  <c r="S468" i="1" a="1"/>
  <c r="T468" i="1"/>
  <c r="T468" i="1" a="1"/>
  <c r="S176" i="1"/>
  <c r="S176" i="1" a="1"/>
  <c r="T176" i="1"/>
  <c r="T176" i="1" a="1"/>
  <c r="S588" i="1"/>
  <c r="S588" i="1" a="1"/>
  <c r="T588" i="1"/>
  <c r="T588" i="1" a="1"/>
  <c r="S683" i="1"/>
  <c r="S683" i="1" a="1"/>
  <c r="T683" i="1"/>
  <c r="T683" i="1" a="1"/>
  <c r="S115" i="1"/>
  <c r="S115" i="1" a="1"/>
  <c r="T115" i="1"/>
  <c r="T115" i="1" a="1"/>
  <c r="T324" i="1"/>
  <c r="S324" i="1"/>
  <c r="T324" i="1" a="1"/>
  <c r="S324" i="1" a="1"/>
  <c r="T60" i="1"/>
  <c r="S60" i="1"/>
  <c r="T60" i="1" a="1"/>
  <c r="S60" i="1" a="1"/>
  <c r="S514" i="1"/>
  <c r="S514" i="1" a="1"/>
  <c r="T514" i="1"/>
  <c r="T514" i="1" a="1"/>
  <c r="S305" i="1"/>
  <c r="S305" i="1" a="1"/>
  <c r="T305" i="1"/>
  <c r="T305" i="1" a="1"/>
  <c r="T456" i="1"/>
  <c r="S456" i="1"/>
  <c r="T456" i="1" a="1"/>
  <c r="S456" i="1" a="1"/>
  <c r="T567" i="1"/>
  <c r="S567" i="1"/>
  <c r="T567" i="1" a="1"/>
  <c r="S567" i="1" a="1"/>
  <c r="T412" i="1"/>
  <c r="S412" i="1"/>
  <c r="T412" i="1" a="1"/>
  <c r="S412" i="1" a="1"/>
  <c r="S695" i="1"/>
  <c r="S695" i="1" a="1"/>
  <c r="T695" i="1"/>
  <c r="T695" i="1" a="1"/>
  <c r="T286" i="1"/>
  <c r="S286" i="1"/>
  <c r="T286" i="1" a="1"/>
  <c r="S286" i="1" a="1"/>
  <c r="T477" i="1"/>
  <c r="S477" i="1"/>
  <c r="T477" i="1" a="1"/>
  <c r="S477" i="1" a="1"/>
  <c r="T523" i="1"/>
  <c r="S523" i="1"/>
  <c r="T523" i="1" a="1"/>
  <c r="S523" i="1" a="1"/>
  <c r="S601" i="1"/>
  <c r="S601" i="1" a="1"/>
  <c r="T601" i="1"/>
  <c r="T601" i="1" a="1"/>
  <c r="T557" i="1"/>
  <c r="S557" i="1"/>
  <c r="T557" i="1" a="1"/>
  <c r="S557" i="1" a="1"/>
  <c r="S485" i="1"/>
  <c r="S485" i="1" a="1"/>
  <c r="T485" i="1"/>
  <c r="T485" i="1" a="1"/>
  <c r="S137" i="1"/>
  <c r="S137" i="1" a="1"/>
  <c r="T137" i="1"/>
  <c r="T137" i="1" a="1"/>
  <c r="T554" i="1"/>
  <c r="S554" i="1"/>
  <c r="T554" i="1" a="1"/>
  <c r="S554" i="1" a="1"/>
  <c r="S99" i="1"/>
  <c r="S99" i="1" a="1"/>
  <c r="T99" i="1"/>
  <c r="T99" i="1" a="1"/>
  <c r="S268" i="1"/>
  <c r="S268" i="1" a="1"/>
  <c r="T268" i="1"/>
  <c r="T268" i="1" a="1"/>
  <c r="T37" i="1"/>
  <c r="S37" i="1"/>
  <c r="T37" i="1" a="1"/>
  <c r="S37" i="1" a="1"/>
  <c r="S595" i="1"/>
  <c r="S595" i="1" a="1"/>
  <c r="T595" i="1"/>
  <c r="T595" i="1" a="1"/>
  <c r="S648" i="1"/>
  <c r="S648" i="1" a="1"/>
  <c r="T648" i="1"/>
  <c r="T648" i="1" a="1"/>
  <c r="T461" i="1"/>
  <c r="S461" i="1"/>
  <c r="T461" i="1" a="1"/>
  <c r="S461" i="1" a="1"/>
  <c r="S247" i="1"/>
  <c r="S247" i="1" a="1"/>
  <c r="T247" i="1"/>
  <c r="T247" i="1" a="1"/>
  <c r="S239" i="1"/>
  <c r="S239" i="1" a="1"/>
  <c r="T239" i="1"/>
  <c r="T239" i="1" a="1"/>
  <c r="S753" i="1"/>
  <c r="S753" i="1" a="1"/>
  <c r="T753" i="1"/>
  <c r="T753" i="1" a="1"/>
  <c r="S698" i="1"/>
  <c r="S698" i="1" a="1"/>
  <c r="T698" i="1"/>
  <c r="T698" i="1" a="1"/>
  <c r="S631" i="1"/>
  <c r="S631" i="1" a="1"/>
  <c r="T631" i="1"/>
  <c r="T631" i="1" a="1"/>
  <c r="S288" i="1"/>
  <c r="S288" i="1" a="1"/>
  <c r="T288" i="1"/>
  <c r="T288" i="1" a="1"/>
  <c r="T34" i="1"/>
  <c r="S34" i="1"/>
  <c r="T34" i="1" a="1"/>
  <c r="S34" i="1" a="1"/>
  <c r="S252" i="1"/>
  <c r="S252" i="1" a="1"/>
  <c r="T252" i="1"/>
  <c r="T252" i="1" a="1"/>
  <c r="S354" i="1"/>
  <c r="S354" i="1" a="1"/>
  <c r="T354" i="1"/>
  <c r="T354" i="1" a="1"/>
  <c r="T746" i="1"/>
  <c r="S746" i="1"/>
  <c r="T746" i="1" a="1"/>
  <c r="S746" i="1" a="1"/>
  <c r="S45" i="1"/>
  <c r="S45" i="1" a="1"/>
  <c r="T45" i="1"/>
  <c r="T45" i="1" a="1"/>
  <c r="T101" i="1"/>
  <c r="S101" i="1"/>
  <c r="T101" i="1" a="1"/>
  <c r="S101" i="1" a="1"/>
  <c r="T2" i="1"/>
  <c r="S2" i="1"/>
  <c r="T2" i="1" a="1"/>
  <c r="S2" i="1" a="1"/>
  <c r="S643" i="1"/>
  <c r="S643" i="1" a="1"/>
  <c r="T643" i="1"/>
  <c r="T643" i="1" a="1"/>
  <c r="S480" i="1"/>
  <c r="S480" i="1" a="1"/>
  <c r="T480" i="1"/>
  <c r="T480" i="1" a="1"/>
  <c r="T330" i="1"/>
  <c r="S330" i="1"/>
  <c r="T330" i="1" a="1"/>
  <c r="S330" i="1" a="1"/>
  <c r="T555" i="1"/>
  <c r="S555" i="1"/>
  <c r="T555" i="1" a="1"/>
  <c r="S555" i="1" a="1"/>
  <c r="T749" i="1"/>
  <c r="S749" i="1"/>
  <c r="T749" i="1" a="1"/>
  <c r="S749" i="1" a="1"/>
  <c r="T521" i="1"/>
  <c r="S521" i="1"/>
  <c r="T521" i="1" a="1"/>
  <c r="S521" i="1" a="1"/>
  <c r="S123" i="1"/>
  <c r="S123" i="1" a="1"/>
  <c r="T123" i="1"/>
  <c r="T123" i="1" a="1"/>
  <c r="S639" i="1"/>
  <c r="S639" i="1" a="1"/>
  <c r="T639" i="1"/>
  <c r="T639" i="1" a="1"/>
  <c r="S146" i="1"/>
  <c r="S146" i="1" a="1"/>
  <c r="T146" i="1"/>
  <c r="T146" i="1" a="1"/>
  <c r="T122" i="1"/>
  <c r="S122" i="1"/>
  <c r="T122" i="1" a="1"/>
  <c r="S122" i="1" a="1"/>
  <c r="T561" i="1"/>
  <c r="S561" i="1"/>
  <c r="T561" i="1" a="1"/>
  <c r="S561" i="1" a="1"/>
  <c r="S81" i="1"/>
  <c r="S81" i="1" a="1"/>
  <c r="T81" i="1"/>
  <c r="T81" i="1" a="1"/>
  <c r="T701" i="1"/>
  <c r="S701" i="1"/>
  <c r="T701" i="1" a="1"/>
  <c r="S701" i="1" a="1"/>
  <c r="S574" i="1"/>
  <c r="S574" i="1" a="1"/>
  <c r="T574" i="1"/>
  <c r="T574" i="1" a="1"/>
  <c r="T661" i="1"/>
  <c r="S661" i="1"/>
  <c r="T661" i="1" a="1"/>
  <c r="S661" i="1" a="1"/>
  <c r="S506" i="1"/>
  <c r="S506" i="1" a="1"/>
  <c r="T506" i="1"/>
  <c r="T506" i="1" a="1"/>
  <c r="T392" i="1"/>
  <c r="S392" i="1"/>
  <c r="T392" i="1" a="1"/>
  <c r="S392" i="1" a="1"/>
  <c r="S269" i="1"/>
  <c r="S269" i="1" a="1"/>
  <c r="T269" i="1"/>
  <c r="T269" i="1" a="1"/>
  <c r="T744" i="1"/>
  <c r="S744" i="1"/>
  <c r="T744" i="1" a="1"/>
  <c r="S744" i="1" a="1"/>
  <c r="T245" i="1"/>
  <c r="S245" i="1"/>
  <c r="T245" i="1" a="1"/>
  <c r="S245" i="1" a="1"/>
  <c r="S602" i="1"/>
  <c r="S602" i="1" a="1"/>
  <c r="T602" i="1"/>
  <c r="T602" i="1" a="1"/>
  <c r="S405" i="1"/>
  <c r="S405" i="1" a="1"/>
  <c r="T405" i="1"/>
  <c r="T405" i="1" a="1"/>
  <c r="T658" i="1"/>
  <c r="S658" i="1"/>
  <c r="T658" i="1" a="1"/>
  <c r="S658" i="1" a="1"/>
  <c r="T663" i="1"/>
  <c r="S663" i="1"/>
  <c r="T663" i="1" a="1"/>
  <c r="S663" i="1" a="1"/>
  <c r="T80" i="1"/>
  <c r="S80" i="1"/>
  <c r="T80" i="1" a="1"/>
  <c r="S80" i="1" a="1"/>
  <c r="S741" i="1"/>
  <c r="S741" i="1" a="1"/>
  <c r="T741" i="1"/>
  <c r="T741" i="1" a="1"/>
  <c r="T112" i="1"/>
  <c r="S112" i="1"/>
  <c r="T112" i="1" a="1"/>
  <c r="S112" i="1" a="1"/>
  <c r="S24" i="1"/>
  <c r="S24" i="1" a="1"/>
  <c r="T24" i="1"/>
  <c r="T24" i="1" a="1"/>
  <c r="T562" i="1"/>
  <c r="S562" i="1"/>
  <c r="T562" i="1" a="1"/>
  <c r="S562" i="1" a="1"/>
  <c r="T14" i="1"/>
  <c r="S14" i="1"/>
  <c r="T14" i="1" a="1"/>
  <c r="S14" i="1" a="1"/>
  <c r="S463" i="1"/>
  <c r="S463" i="1" a="1"/>
  <c r="T463" i="1"/>
  <c r="T463" i="1" a="1"/>
  <c r="S593" i="1"/>
  <c r="S593" i="1" a="1"/>
  <c r="T593" i="1"/>
  <c r="T593" i="1" a="1"/>
  <c r="T274" i="1"/>
  <c r="S274" i="1"/>
  <c r="T274" i="1" a="1"/>
  <c r="S274" i="1" a="1"/>
  <c r="S384" i="1"/>
  <c r="S384" i="1" a="1"/>
  <c r="T384" i="1"/>
  <c r="T384" i="1" a="1"/>
  <c r="T444" i="1"/>
  <c r="S444" i="1"/>
  <c r="T444" i="1" a="1"/>
  <c r="S444" i="1" a="1"/>
  <c r="S306" i="1"/>
  <c r="S306" i="1" a="1"/>
  <c r="T306" i="1"/>
  <c r="T306" i="1" a="1"/>
  <c r="T687" i="1"/>
  <c r="S687" i="1"/>
  <c r="T687" i="1" a="1"/>
  <c r="S687" i="1" a="1"/>
  <c r="T64" i="1"/>
  <c r="S64" i="1"/>
  <c r="T64" i="1" a="1"/>
  <c r="S64" i="1" a="1"/>
  <c r="S375" i="1"/>
  <c r="S375" i="1" a="1"/>
  <c r="T375" i="1"/>
  <c r="T375" i="1" a="1"/>
  <c r="T496" i="1"/>
  <c r="S496" i="1"/>
  <c r="T496" i="1" a="1"/>
  <c r="S496" i="1" a="1"/>
  <c r="T516" i="1"/>
  <c r="S516" i="1"/>
  <c r="T516" i="1" a="1"/>
  <c r="S516" i="1" a="1"/>
  <c r="T635" i="1"/>
  <c r="S635" i="1"/>
  <c r="T635" i="1" a="1"/>
  <c r="S635" i="1" a="1"/>
  <c r="T19" i="1"/>
  <c r="S19" i="1"/>
  <c r="T19" i="1" a="1"/>
  <c r="S19" i="1" a="1"/>
  <c r="S220" i="1"/>
  <c r="S220" i="1" a="1"/>
  <c r="T220" i="1"/>
  <c r="T220" i="1" a="1"/>
  <c r="T110" i="1"/>
  <c r="S110" i="1"/>
  <c r="T110" i="1" a="1"/>
  <c r="S110" i="1" a="1"/>
  <c r="T571" i="1"/>
  <c r="S571" i="1"/>
  <c r="T571" i="1" a="1"/>
  <c r="S571" i="1" a="1"/>
  <c r="T464" i="1"/>
  <c r="S464" i="1"/>
  <c r="T464" i="1" a="1"/>
  <c r="S464" i="1" a="1"/>
  <c r="S407" i="1"/>
  <c r="S407" i="1" a="1"/>
  <c r="T407" i="1"/>
  <c r="T407" i="1" a="1"/>
  <c r="T338" i="1"/>
  <c r="S338" i="1"/>
  <c r="T338" i="1" a="1"/>
  <c r="S338" i="1" a="1"/>
  <c r="T592" i="1"/>
  <c r="S592" i="1"/>
  <c r="T592" i="1" a="1"/>
  <c r="S592" i="1" a="1"/>
  <c r="T437" i="1"/>
  <c r="S437" i="1"/>
  <c r="T437" i="1" a="1"/>
  <c r="S437" i="1" a="1"/>
  <c r="S160" i="1"/>
  <c r="S160" i="1" a="1"/>
  <c r="T160" i="1"/>
  <c r="T160" i="1" a="1"/>
  <c r="T720" i="1"/>
  <c r="S720" i="1"/>
  <c r="T720" i="1" a="1"/>
  <c r="S720" i="1" a="1"/>
  <c r="S285" i="1"/>
  <c r="S285" i="1" a="1"/>
  <c r="T285" i="1"/>
  <c r="T285" i="1" a="1"/>
  <c r="T564" i="1"/>
  <c r="S564" i="1"/>
  <c r="T564" i="1" a="1"/>
  <c r="S564" i="1" a="1"/>
  <c r="T272" i="1"/>
  <c r="S272" i="1"/>
  <c r="T272" i="1" a="1"/>
  <c r="S272" i="1" a="1"/>
  <c r="T163" i="1"/>
  <c r="S163" i="1"/>
  <c r="T163" i="1" a="1"/>
  <c r="S163" i="1" a="1"/>
  <c r="T678" i="1"/>
  <c r="S678" i="1"/>
  <c r="T678" i="1" a="1"/>
  <c r="S678" i="1" a="1"/>
  <c r="T283" i="1"/>
  <c r="S283" i="1"/>
  <c r="T283" i="1" a="1"/>
  <c r="S283" i="1" a="1"/>
  <c r="S760" i="1"/>
  <c r="S760" i="1" a="1"/>
  <c r="T760" i="1"/>
  <c r="T760" i="1" a="1"/>
  <c r="S538" i="1"/>
  <c r="S538" i="1" a="1"/>
  <c r="T266" i="1"/>
  <c r="S266" i="1"/>
  <c r="T266" i="1" a="1"/>
  <c r="S266" i="1" a="1"/>
  <c r="T598" i="1"/>
  <c r="S598" i="1"/>
  <c r="T598" i="1" a="1"/>
  <c r="S598" i="1" a="1"/>
  <c r="T743" i="1"/>
  <c r="S743" i="1"/>
  <c r="T743" i="1" a="1"/>
  <c r="S743" i="1" a="1"/>
  <c r="T107" i="1"/>
  <c r="S107" i="1"/>
  <c r="T107" i="1" a="1"/>
  <c r="S107" i="1" a="1"/>
  <c r="T623" i="1"/>
  <c r="S623" i="1"/>
  <c r="T623" i="1" a="1"/>
  <c r="S623" i="1" a="1"/>
  <c r="S484" i="1"/>
  <c r="S484" i="1" a="1"/>
  <c r="T484" i="1"/>
  <c r="T484" i="1" a="1"/>
  <c r="S74" i="1"/>
  <c r="S74" i="1" a="1"/>
  <c r="T74" i="1"/>
  <c r="T74" i="1" a="1"/>
  <c r="S690" i="1"/>
  <c r="S690" i="1" a="1"/>
  <c r="T690" i="1"/>
  <c r="T690" i="1" a="1"/>
  <c r="T248" i="1"/>
  <c r="S248" i="1"/>
  <c r="T248" i="1" a="1"/>
  <c r="S248" i="1" a="1"/>
  <c r="S200" i="1"/>
  <c r="S200" i="1" a="1"/>
  <c r="T200" i="1"/>
  <c r="T200" i="1" a="1"/>
  <c r="S308" i="1"/>
  <c r="S308" i="1" a="1"/>
  <c r="T308" i="1"/>
  <c r="T308" i="1" a="1"/>
  <c r="T21" i="1"/>
  <c r="S21" i="1"/>
  <c r="T21" i="1" a="1"/>
  <c r="S21" i="1" a="1"/>
  <c r="T731" i="1"/>
  <c r="S731" i="1"/>
  <c r="T731" i="1" a="1"/>
  <c r="S731" i="1" a="1"/>
  <c r="T719" i="1"/>
  <c r="S719" i="1"/>
  <c r="T719" i="1" a="1"/>
  <c r="S719" i="1" a="1"/>
  <c r="T725" i="1"/>
  <c r="S725" i="1"/>
  <c r="T725" i="1" a="1"/>
  <c r="S725" i="1" a="1"/>
  <c r="T417" i="1"/>
  <c r="S417" i="1"/>
  <c r="T417" i="1" a="1"/>
  <c r="S417" i="1" a="1"/>
  <c r="S362" i="1"/>
  <c r="S362" i="1" a="1"/>
  <c r="T362" i="1"/>
  <c r="T362" i="1" a="1"/>
  <c r="T447" i="1"/>
  <c r="S447" i="1"/>
  <c r="T447" i="1" a="1"/>
  <c r="S447" i="1" a="1"/>
  <c r="S702" i="1"/>
  <c r="S702" i="1" a="1"/>
  <c r="T702" i="1"/>
  <c r="T702" i="1" a="1"/>
  <c r="S517" i="1"/>
  <c r="S517" i="1" a="1"/>
  <c r="T517" i="1"/>
  <c r="T517" i="1" a="1"/>
  <c r="S48" i="1"/>
  <c r="S48" i="1" a="1"/>
  <c r="T48" i="1"/>
  <c r="T48" i="1" a="1"/>
  <c r="T219" i="1"/>
  <c r="S219" i="1"/>
  <c r="T219" i="1" a="1"/>
  <c r="S219" i="1" a="1"/>
  <c r="T603" i="1"/>
  <c r="S603" i="1"/>
  <c r="T603" i="1" a="1"/>
  <c r="S603" i="1" a="1"/>
  <c r="S205" i="1"/>
  <c r="S205" i="1" a="1"/>
  <c r="T205" i="1"/>
  <c r="T205" i="1" a="1"/>
  <c r="T713" i="1"/>
  <c r="S713" i="1"/>
  <c r="T713" i="1" a="1"/>
  <c r="S713" i="1" a="1"/>
  <c r="T576" i="1"/>
  <c r="S576" i="1"/>
  <c r="T576" i="1" a="1"/>
  <c r="S576" i="1" a="1"/>
  <c r="T759" i="1"/>
  <c r="S759" i="1"/>
  <c r="T759" i="1" a="1"/>
  <c r="S759" i="1" a="1"/>
  <c r="S290" i="1"/>
  <c r="S290" i="1" a="1"/>
  <c r="T290" i="1"/>
  <c r="T290" i="1" a="1"/>
  <c r="T575" i="1"/>
  <c r="S575" i="1"/>
  <c r="T575" i="1" a="1"/>
  <c r="S575" i="1" a="1"/>
  <c r="S188" i="1"/>
  <c r="S188" i="1" a="1"/>
  <c r="T188" i="1"/>
  <c r="T188" i="1" a="1"/>
  <c r="T203" i="1"/>
  <c r="S203" i="1"/>
  <c r="T203" i="1" a="1"/>
  <c r="S203" i="1" a="1"/>
  <c r="T155" i="1"/>
  <c r="S155" i="1"/>
  <c r="T155" i="1" a="1"/>
  <c r="S155" i="1" a="1"/>
  <c r="T212" i="1"/>
  <c r="S212" i="1"/>
  <c r="T212" i="1" a="1"/>
  <c r="S212" i="1" a="1"/>
  <c r="S255" i="1"/>
  <c r="S255" i="1" a="1"/>
  <c r="T255" i="1"/>
  <c r="T255" i="1" a="1"/>
  <c r="S177" i="1"/>
  <c r="S177" i="1" a="1"/>
  <c r="T177" i="1"/>
  <c r="T177" i="1" a="1"/>
  <c r="T524" i="1"/>
  <c r="S524" i="1"/>
  <c r="T524" i="1" a="1"/>
  <c r="S524" i="1" a="1"/>
  <c r="S488" i="1"/>
  <c r="S488" i="1" a="1"/>
  <c r="T488" i="1"/>
  <c r="T488" i="1" a="1"/>
  <c r="T688" i="1"/>
  <c r="S688" i="1"/>
  <c r="T688" i="1" a="1"/>
  <c r="S688" i="1" a="1"/>
  <c r="S757" i="1"/>
  <c r="S757" i="1" a="1"/>
  <c r="T757" i="1"/>
  <c r="T757" i="1" a="1"/>
  <c r="T569" i="1"/>
  <c r="S569" i="1"/>
  <c r="T569" i="1" a="1"/>
  <c r="S569" i="1" a="1"/>
  <c r="T284" i="1"/>
  <c r="S284" i="1"/>
  <c r="T284" i="1" a="1"/>
  <c r="S284" i="1" a="1"/>
  <c r="T742" i="1"/>
  <c r="S742" i="1"/>
  <c r="T742" i="1" a="1"/>
  <c r="S742" i="1" a="1"/>
  <c r="S479" i="1"/>
  <c r="S479" i="1" a="1"/>
  <c r="T479" i="1"/>
  <c r="T479" i="1" a="1"/>
  <c r="T505" i="1"/>
  <c r="S505" i="1"/>
  <c r="T505" i="1" a="1"/>
  <c r="S505" i="1" a="1"/>
  <c r="T20" i="1"/>
  <c r="S20" i="1"/>
  <c r="T20" i="1" a="1"/>
  <c r="S20" i="1" a="1"/>
  <c r="S737" i="1"/>
  <c r="S737" i="1" a="1"/>
  <c r="T619" i="1"/>
  <c r="S619" i="1"/>
  <c r="T619" i="1" a="1"/>
  <c r="S619" i="1" a="1"/>
  <c r="S556" i="1"/>
  <c r="S556" i="1" a="1"/>
  <c r="T556" i="1"/>
  <c r="T556" i="1" a="1"/>
  <c r="T210" i="1"/>
  <c r="S210" i="1"/>
  <c r="T210" i="1" a="1"/>
  <c r="S210" i="1" a="1"/>
  <c r="T161" i="1"/>
  <c r="S161" i="1"/>
  <c r="T161" i="1" a="1"/>
  <c r="S161" i="1" a="1"/>
  <c r="T387" i="1"/>
  <c r="S387" i="1"/>
  <c r="T387" i="1" a="1"/>
  <c r="S387" i="1" a="1"/>
  <c r="S319" i="1"/>
  <c r="S319" i="1" a="1"/>
  <c r="T319" i="1"/>
  <c r="T319" i="1" a="1"/>
  <c r="T292" i="1"/>
  <c r="S292" i="1"/>
  <c r="T292" i="1" a="1"/>
  <c r="S292" i="1" a="1"/>
  <c r="T153" i="1"/>
  <c r="S153" i="1"/>
  <c r="T153" i="1" a="1"/>
  <c r="S153" i="1" a="1"/>
  <c r="T646" i="1"/>
  <c r="S646" i="1"/>
  <c r="T646" i="1" a="1"/>
  <c r="S646" i="1" a="1"/>
  <c r="T448" i="1"/>
  <c r="S448" i="1"/>
  <c r="T448" i="1" a="1"/>
  <c r="S448" i="1" a="1"/>
  <c r="S321" i="1"/>
  <c r="S321" i="1" a="1"/>
  <c r="T321" i="1"/>
  <c r="T321" i="1" a="1"/>
  <c r="S118" i="1"/>
  <c r="S118" i="1" a="1"/>
  <c r="T118" i="1"/>
  <c r="T118" i="1" a="1"/>
  <c r="S276" i="1"/>
  <c r="S276" i="1" a="1"/>
  <c r="T276" i="1"/>
  <c r="T276" i="1" a="1"/>
  <c r="T53" i="1"/>
  <c r="S53" i="1"/>
  <c r="T53" i="1" a="1"/>
  <c r="S53" i="1" a="1"/>
  <c r="T348" i="1"/>
  <c r="S348" i="1"/>
  <c r="T348" i="1" a="1"/>
  <c r="S348" i="1" a="1"/>
  <c r="T140" i="1"/>
  <c r="S140" i="1"/>
  <c r="T140" i="1" a="1"/>
  <c r="S140" i="1" a="1"/>
  <c r="S499" i="1"/>
  <c r="S499" i="1" a="1"/>
  <c r="T499" i="1"/>
  <c r="T499" i="1" a="1"/>
  <c r="S650" i="1"/>
  <c r="S650" i="1" a="1"/>
  <c r="T650" i="1"/>
  <c r="T650" i="1" a="1"/>
  <c r="T89" i="1"/>
  <c r="S89" i="1"/>
  <c r="T89" i="1" a="1"/>
  <c r="S89" i="1" a="1"/>
  <c r="T653" i="1"/>
  <c r="S653" i="1"/>
  <c r="T653" i="1" a="1"/>
  <c r="S653" i="1" a="1"/>
  <c r="S75" i="1"/>
  <c r="S75" i="1" a="1"/>
  <c r="T75" i="1"/>
  <c r="T75" i="1" a="1"/>
  <c r="T178" i="1"/>
  <c r="S178" i="1"/>
  <c r="T178" i="1" a="1"/>
  <c r="S178" i="1" a="1"/>
  <c r="S531" i="1"/>
  <c r="S531" i="1" a="1"/>
  <c r="S710" i="1"/>
  <c r="S710" i="1" a="1"/>
  <c r="T710" i="1"/>
  <c r="T710" i="1" a="1"/>
  <c r="T56" i="1"/>
  <c r="S56" i="1"/>
  <c r="T56" i="1" a="1"/>
  <c r="S56" i="1" a="1"/>
  <c r="S428" i="1"/>
  <c r="S428" i="1" a="1"/>
  <c r="T428" i="1"/>
  <c r="T428" i="1" a="1"/>
  <c r="T35" i="1"/>
  <c r="S35" i="1"/>
  <c r="T35" i="1" a="1"/>
  <c r="S35" i="1" a="1"/>
  <c r="S525" i="1"/>
  <c r="S525" i="1" a="1"/>
  <c r="T525" i="1"/>
  <c r="T525" i="1" a="1"/>
  <c r="S455" i="1"/>
  <c r="S455" i="1" a="1"/>
  <c r="T455" i="1"/>
  <c r="T455" i="1" a="1"/>
  <c r="T106" i="1"/>
  <c r="S106" i="1"/>
  <c r="T106" i="1" a="1"/>
  <c r="S106" i="1" a="1"/>
  <c r="T426" i="1"/>
  <c r="S426" i="1"/>
  <c r="T426" i="1" a="1"/>
  <c r="S426" i="1" a="1"/>
  <c r="T752" i="1"/>
  <c r="S752" i="1"/>
  <c r="T752" i="1" a="1"/>
  <c r="S752" i="1" a="1"/>
  <c r="S413" i="1"/>
  <c r="S413" i="1" a="1"/>
  <c r="T413" i="1"/>
  <c r="T413" i="1" a="1"/>
  <c r="T606" i="1"/>
  <c r="S606" i="1"/>
  <c r="T606" i="1" a="1"/>
  <c r="S606" i="1" a="1"/>
  <c r="S427" i="1"/>
  <c r="S427" i="1" a="1"/>
  <c r="T427" i="1"/>
  <c r="T427" i="1" a="1"/>
  <c r="T691" i="1"/>
  <c r="S691" i="1"/>
  <c r="T691" i="1" a="1"/>
  <c r="S691" i="1" a="1"/>
  <c r="S385" i="1"/>
  <c r="S385" i="1" a="1"/>
  <c r="T385" i="1"/>
  <c r="T385" i="1" a="1"/>
  <c r="S686" i="1"/>
  <c r="S686" i="1" a="1"/>
  <c r="T686" i="1"/>
  <c r="T686" i="1" a="1"/>
  <c r="S440" i="1"/>
  <c r="S440" i="1" a="1"/>
  <c r="T440" i="1"/>
  <c r="T440" i="1" a="1"/>
  <c r="S157" i="1"/>
  <c r="S157" i="1" a="1"/>
  <c r="T157" i="1"/>
  <c r="T157" i="1" a="1"/>
  <c r="T323" i="1"/>
  <c r="S323" i="1"/>
  <c r="T323" i="1" a="1"/>
  <c r="S323" i="1" a="1"/>
  <c r="T171" i="1"/>
  <c r="S171" i="1"/>
  <c r="T171" i="1" a="1"/>
  <c r="S171" i="1" a="1"/>
  <c r="T414" i="1"/>
  <c r="S414" i="1"/>
  <c r="T414" i="1" a="1"/>
  <c r="S414" i="1" a="1"/>
  <c r="T87" i="1"/>
  <c r="S87" i="1"/>
  <c r="T87" i="1" a="1"/>
  <c r="S87" i="1" a="1"/>
  <c r="S26" i="1"/>
  <c r="S26" i="1" a="1"/>
  <c r="T26" i="1"/>
  <c r="T26" i="1" a="1"/>
  <c r="S736" i="1"/>
  <c r="S736" i="1" a="1"/>
  <c r="T49" i="1"/>
  <c r="S49" i="1"/>
  <c r="T49" i="1" a="1"/>
  <c r="S49" i="1" a="1"/>
  <c r="T680" i="1"/>
  <c r="S680" i="1"/>
  <c r="T680" i="1" a="1"/>
  <c r="S680" i="1" a="1"/>
  <c r="T328" i="1"/>
  <c r="S328" i="1"/>
  <c r="T328" i="1" a="1"/>
  <c r="S328" i="1" a="1"/>
  <c r="T83" i="1"/>
  <c r="S83" i="1"/>
  <c r="T83" i="1" a="1"/>
  <c r="S83" i="1" a="1"/>
  <c r="T634" i="1"/>
  <c r="S634" i="1"/>
  <c r="T634" i="1" a="1"/>
  <c r="S634" i="1" a="1"/>
  <c r="T90" i="1"/>
  <c r="S90" i="1"/>
  <c r="T90" i="1" a="1"/>
  <c r="S90" i="1" a="1"/>
  <c r="T594" i="1"/>
  <c r="S594" i="1"/>
  <c r="T594" i="1" a="1"/>
  <c r="S594" i="1" a="1"/>
  <c r="T638" i="1"/>
  <c r="S638" i="1"/>
  <c r="T638" i="1" a="1"/>
  <c r="S638" i="1" a="1"/>
  <c r="T560" i="1"/>
  <c r="S560" i="1"/>
  <c r="T560" i="1" a="1"/>
  <c r="S560" i="1" a="1"/>
  <c r="T676" i="1"/>
  <c r="S676" i="1"/>
  <c r="T676" i="1" a="1"/>
  <c r="S676" i="1" a="1"/>
  <c r="T314" i="1"/>
  <c r="S314" i="1"/>
  <c r="T314" i="1" a="1"/>
  <c r="S314" i="1" a="1"/>
  <c r="T28" i="1"/>
  <c r="S28" i="1"/>
  <c r="T28" i="1" a="1"/>
  <c r="S28" i="1" a="1"/>
  <c r="S674" i="1"/>
  <c r="S674" i="1" a="1"/>
  <c r="T674" i="1"/>
  <c r="T674" i="1" a="1"/>
  <c r="T552" i="1"/>
  <c r="S552" i="1"/>
  <c r="T552" i="1" a="1"/>
  <c r="S552" i="1" a="1"/>
  <c r="S665" i="1"/>
  <c r="S665" i="1" a="1"/>
  <c r="T665" i="1"/>
  <c r="T665" i="1" a="1"/>
  <c r="T29" i="1"/>
  <c r="S29" i="1"/>
  <c r="T29" i="1" a="1"/>
  <c r="S29" i="1" a="1"/>
  <c r="T166" i="1"/>
  <c r="S166" i="1"/>
  <c r="T166" i="1" a="1"/>
  <c r="S166" i="1" a="1"/>
  <c r="S262" i="1"/>
  <c r="S262" i="1" a="1"/>
  <c r="T262" i="1"/>
  <c r="T262" i="1" a="1"/>
  <c r="T652" i="1"/>
  <c r="S652" i="1"/>
  <c r="T652" i="1" a="1"/>
  <c r="S652" i="1" a="1"/>
  <c r="T67" i="1"/>
  <c r="S67" i="1"/>
  <c r="T67" i="1" a="1"/>
  <c r="S67" i="1" a="1"/>
  <c r="S47" i="1"/>
  <c r="S47" i="1" a="1"/>
  <c r="T47" i="1"/>
  <c r="T47" i="1" a="1"/>
  <c r="T221" i="1"/>
  <c r="S221" i="1"/>
  <c r="T221" i="1" a="1"/>
  <c r="S221" i="1" a="1"/>
  <c r="S423" i="1"/>
  <c r="S423" i="1" a="1"/>
  <c r="T423" i="1"/>
  <c r="T423" i="1" a="1"/>
  <c r="T174" i="1"/>
  <c r="S174" i="1"/>
  <c r="T174" i="1" a="1"/>
  <c r="S174" i="1" a="1"/>
  <c r="S491" i="1"/>
  <c r="S491" i="1" a="1"/>
  <c r="T491" i="1"/>
  <c r="T491" i="1" a="1"/>
  <c r="S495" i="1"/>
  <c r="S495" i="1" a="1"/>
  <c r="T495" i="1"/>
  <c r="T495" i="1" a="1"/>
  <c r="S470" i="1"/>
  <c r="S470" i="1" a="1"/>
  <c r="T470" i="1"/>
  <c r="T470" i="1" a="1"/>
  <c r="S351" i="1"/>
  <c r="S351" i="1" a="1"/>
  <c r="T351" i="1"/>
  <c r="T351" i="1" a="1"/>
  <c r="S644" i="1"/>
  <c r="S644" i="1" a="1"/>
  <c r="T644" i="1"/>
  <c r="T644" i="1" a="1"/>
  <c r="T250" i="1"/>
  <c r="S250" i="1"/>
  <c r="T250" i="1" a="1"/>
  <c r="S250" i="1" a="1"/>
  <c r="T401" i="1"/>
  <c r="S401" i="1"/>
  <c r="T401" i="1" a="1"/>
  <c r="S401" i="1" a="1"/>
  <c r="T716" i="1"/>
  <c r="S716" i="1"/>
  <c r="T716" i="1" a="1"/>
  <c r="S716" i="1" a="1"/>
  <c r="T148" i="1"/>
  <c r="S148" i="1"/>
  <c r="T148" i="1" a="1"/>
  <c r="S148" i="1" a="1"/>
  <c r="S312" i="1"/>
  <c r="S312" i="1" a="1"/>
  <c r="T312" i="1"/>
  <c r="T312" i="1" a="1"/>
  <c r="T501" i="1"/>
  <c r="S501" i="1"/>
  <c r="T501" i="1" a="1"/>
  <c r="S501" i="1" a="1"/>
  <c r="S234" i="1"/>
  <c r="S234" i="1" a="1"/>
  <c r="T234" i="1"/>
  <c r="T234" i="1" a="1"/>
  <c r="T225" i="1"/>
  <c r="S225" i="1"/>
  <c r="T225" i="1" a="1"/>
  <c r="S225" i="1" a="1"/>
  <c r="T596" i="1"/>
  <c r="S596" i="1"/>
  <c r="T596" i="1" a="1"/>
  <c r="S596" i="1" a="1"/>
  <c r="T570" i="1"/>
  <c r="S570" i="1"/>
  <c r="T570" i="1" a="1"/>
  <c r="S570" i="1" a="1"/>
  <c r="S297" i="1"/>
  <c r="S297" i="1" a="1"/>
  <c r="T297" i="1"/>
  <c r="T297" i="1" a="1"/>
  <c r="S540" i="1"/>
  <c r="S540" i="1" a="1"/>
  <c r="T706" i="1"/>
  <c r="S706" i="1"/>
  <c r="T706" i="1" a="1"/>
  <c r="S706" i="1" a="1"/>
  <c r="T502" i="1"/>
  <c r="S502" i="1"/>
  <c r="T502" i="1" a="1"/>
  <c r="S502" i="1" a="1"/>
  <c r="T128" i="1"/>
  <c r="S128" i="1"/>
  <c r="T128" i="1" a="1"/>
  <c r="S128" i="1" a="1"/>
  <c r="T679" i="1"/>
  <c r="S679" i="1"/>
  <c r="T679" i="1" a="1"/>
  <c r="S679" i="1" a="1"/>
  <c r="T409" i="1"/>
  <c r="S409" i="1"/>
  <c r="T409" i="1" a="1"/>
  <c r="S409" i="1" a="1"/>
  <c r="T761" i="1"/>
  <c r="S761" i="1"/>
  <c r="T761" i="1" a="1"/>
  <c r="S761" i="1" a="1"/>
  <c r="T425" i="1"/>
  <c r="S425" i="1"/>
  <c r="T425" i="1" a="1"/>
  <c r="S425" i="1" a="1"/>
  <c r="T600" i="1"/>
  <c r="S600" i="1"/>
  <c r="T600" i="1" a="1"/>
  <c r="S600" i="1" a="1"/>
  <c r="S548" i="1"/>
  <c r="S548" i="1" a="1"/>
  <c r="T509" i="1"/>
  <c r="S509" i="1"/>
  <c r="T509" i="1" a="1"/>
  <c r="S509" i="1" a="1"/>
  <c r="S649" i="1"/>
  <c r="S649" i="1" a="1"/>
  <c r="T649" i="1"/>
  <c r="T649" i="1" a="1"/>
  <c r="T121" i="1"/>
  <c r="S121" i="1"/>
  <c r="T121" i="1" a="1"/>
  <c r="S121" i="1" a="1"/>
  <c r="S620" i="1"/>
  <c r="S620" i="1" a="1"/>
  <c r="T620" i="1"/>
  <c r="T620" i="1" a="1"/>
  <c r="T703" i="1"/>
  <c r="S703" i="1"/>
  <c r="T703" i="1" a="1"/>
  <c r="S703" i="1" a="1"/>
  <c r="S293" i="1"/>
  <c r="S293" i="1" a="1"/>
  <c r="T293" i="1"/>
  <c r="T293" i="1" a="1"/>
  <c r="T497" i="1"/>
  <c r="S497" i="1"/>
  <c r="T497" i="1" a="1"/>
  <c r="S497" i="1" a="1"/>
  <c r="T486" i="1"/>
  <c r="S486" i="1"/>
  <c r="T486" i="1" a="1"/>
  <c r="S486" i="1" a="1"/>
  <c r="T721" i="1"/>
  <c r="S721" i="1"/>
  <c r="T721" i="1" a="1"/>
  <c r="S721" i="1" a="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<sst xmlns="http://schemas.openxmlformats.org/spreadsheetml/2006/main" count="32124" uniqueCount="3205">
  <si>
    <t>Test Case Name</t>
  </si>
  <si>
    <t>Scenario Description</t>
  </si>
  <si>
    <t>Feature</t>
  </si>
  <si>
    <t>OCC</t>
  </si>
  <si>
    <t>NYMEX</t>
  </si>
  <si>
    <t>COMEX</t>
  </si>
  <si>
    <t>CBOT</t>
  </si>
  <si>
    <t>CME</t>
  </si>
  <si>
    <t xml:space="preserve">  Eurex </t>
  </si>
  <si>
    <t xml:space="preserve">  MEFF</t>
  </si>
  <si>
    <t xml:space="preserve">  NOMX</t>
  </si>
  <si>
    <t xml:space="preserve">  IDEM</t>
  </si>
  <si>
    <t xml:space="preserve">  MONEP</t>
  </si>
  <si>
    <t xml:space="preserve">  MATIF</t>
  </si>
  <si>
    <t>BUS -FIS CD -TC-CLR-01-A</t>
  </si>
  <si>
    <t>Creation of a Clearing Instruction from a Trade using the Unmatched Screen in the UI</t>
  </si>
  <si>
    <t>1.	Trade Clearing Screen
2.	Trade/CI Unmatched Tile
3.	Select Trade to allocate
4.	Select New Clearing Instruction
5.	All of the properties with an Asterisk should be prepopulated with matching the trade details.
6.	Pls confirm Exchange
7.	Counterparty
8.	CCP
9.	Processing Firm
10.	Trader
11.	Exec Account Ref
12.	Source System
13.	Trade Date
14.	Execution Time
15.	Clearing Date
16.	Instrument Type
17.	Clearing Code
18.	Maturity
19.	Buy/Sell
20.	Quantity
21.	Price
22.	Enter Account
23.	Account Owner
24.	CTI Code
25.	Select Save</t>
  </si>
  <si>
    <t>Clearing Instruction</t>
  </si>
  <si>
    <t>NON E2E CLEARING</t>
  </si>
  <si>
    <t>Yes</t>
  </si>
  <si>
    <t>BUS -FIS CD -TC-CLR-01-B</t>
  </si>
  <si>
    <t xml:space="preserve">Create a Clearing Instruction from Trade Using The Split Screen </t>
  </si>
  <si>
    <t>Create a Clearing Instruction from Trade Using The Split Screen, where you will have a cleared trade and matched CI</t>
  </si>
  <si>
    <t>1.	Trade Clearing Screen
2.	Select Trade to allocate                       
3.	Select the split option
4.	Enter Quantity                         
5.	Allocate Trade Details
6.	Enter Account Owner                       
7.	Enter Account 
8.	CTI Code
9.	Select Add at bottom of screen 
10.	Enter Quantity 
11.	Allocate Trade Details
12.	Enter Account Owner
13.	Enter Account 
14.	CTI Code
15.	Select Add at bottom of screen 
16.	Select Save</t>
  </si>
  <si>
    <t>Split</t>
  </si>
  <si>
    <t>E2E-CLEARING</t>
  </si>
  <si>
    <t>BUS -FIS CD -TC-CLR-02</t>
  </si>
  <si>
    <t>Create a Clearing Instruction from Trade - with all trade details auto populated on CI</t>
  </si>
  <si>
    <t>Test to ensure that an order can be created from a ticket with all trade details auto populated on CI</t>
  </si>
  <si>
    <t>BUS -FIS CD -TC-CLR-02-A</t>
  </si>
  <si>
    <t>Create a Clearing Instruction from Trade - edit clearing details</t>
  </si>
  <si>
    <t>Test to ensure that an order can be created from a ticket with option to edit order details within the UI</t>
  </si>
  <si>
    <t>N</t>
  </si>
  <si>
    <t>BUS -FIS CD -TC-CLR-03</t>
  </si>
  <si>
    <t>Create a Clearing Instruction - using Clearing Instruction entry screen</t>
  </si>
  <si>
    <t>Test to ensure that an order can be created by entering details to order entry screen in the UI</t>
  </si>
  <si>
    <t>1. Trade Management
2. Unmatched Full Service
3. Wrote down trade details of random trade
4. Went to Matched Clearing Instruction - Clicked New
5. Added Processing Firm, Trade Date, Instrument Type, Clearing Code, Maturity, Buy/Sell, Qty, Price, Account Owner, Account
6. Saved it
7. Went into Trade/CI Unmatched
8. Force Matched the Exchange Line and Allocation
9. Checked the trade was in Cleared and the Allocation was in the Matched Clearing Instruction</t>
  </si>
  <si>
    <t>Full Service</t>
  </si>
  <si>
    <t>BUS -FIS CD -TC-CLR-05-A</t>
  </si>
  <si>
    <t xml:space="preserve">1. Referential
2. Rule Viewer
3. New
4. CCP 
5. Exchange
6. Trade "Exec Account Ref"- find any top day account
7. Bypass Action
8. Destination Any give up account
9. Save
10. Find trade on Unmatched screen
11. Resubmit for matching </t>
  </si>
  <si>
    <t>BUS -FIS CD -TC-CLR-06</t>
  </si>
  <si>
    <t>Copy a Clearing Instruction</t>
  </si>
  <si>
    <t>Test to ensure that a new Clearing Instruction can be created by copying an existing Clearing Instruction</t>
  </si>
  <si>
    <t>1. Trade Management
2. Trade Clearing 
3. Grab Clearing Instruction - Unmatched
4. Clone
5. Save</t>
  </si>
  <si>
    <t>BUS -FIS CD -TC-CLR-07</t>
  </si>
  <si>
    <t>Clearing Instruction aggregation</t>
  </si>
  <si>
    <t>Test to ensure that orders with same trade economics are aggregated in the Clearing GUI</t>
  </si>
  <si>
    <t>1.Trade Clearing
2.Unmatched CIs
3.Check to make sure you don’t have a lot of identical CIs which should’ve condensed down                                                                                                      
4. Users have to make sure Clearing Instructions are aggregating                                    
5. Check there are no  tasks regarding "Unable to update Clearing instructions"</t>
  </si>
  <si>
    <t>BUS -FIS CD -TC-CLR-08</t>
  </si>
  <si>
    <t>Edit/Update Clearing Instruction</t>
  </si>
  <si>
    <t>Test to ensure that Clearing Instructions can be edited and updated from the Clearing GUI</t>
  </si>
  <si>
    <t>BUS -FIS CD -TC-CLR-09-A</t>
  </si>
  <si>
    <t>Paste account list -Copy and Paste into the Clearing Instruction entry screen</t>
  </si>
  <si>
    <t>Ensure that an account/qty/price list can be copied and pasted into the Clearing Instruction entry screen</t>
  </si>
  <si>
    <t xml:space="preserve">1. Select Hamburger Menu
2. Trade Management
3. Trade Clearing
4. Click on Unmatched Trade/CI
5. Select Trade with a quantity greater than 1
6. Open sample template
7. Enter split details in excel template
8. Paste split details from excel spreadsheet into Split table on right had panel
9. Should say 100% allocated in right hand panel
10. Select 'Save'
11. Depending on split performed check trades have cleared in FS cleared tile or Give Up tiles
                                                                            </t>
  </si>
  <si>
    <t>TCWB</t>
  </si>
  <si>
    <t>UI-CLEARING</t>
  </si>
  <si>
    <t>BUS -FIS CD -TC-CLR-09-B</t>
  </si>
  <si>
    <t xml:space="preserve">Paste account list - Upload a manually created CSV (using Excel) for the splits </t>
  </si>
  <si>
    <t>Test to ensure that an account/quantity list can be copied and pasted into the order entry screen by uploading a manually created csv (using notepad or Excel) for the splits</t>
  </si>
  <si>
    <t>BUS -FIS CD -TC-CLR-10</t>
  </si>
  <si>
    <t>Delete Clearing Instruction</t>
  </si>
  <si>
    <t>Test to ensure a Clearing Instruction can be deleted from the clearing GUI</t>
  </si>
  <si>
    <t>BUS -FIS CD -TC-CLR-100</t>
  </si>
  <si>
    <t>NVAP</t>
  </si>
  <si>
    <t>BUS -FIS CD -TC-CLR-101</t>
  </si>
  <si>
    <t>BUS -FIS CD -TC-CLR-102</t>
  </si>
  <si>
    <t>BUS -FIS CD -TC-CLR-103</t>
  </si>
  <si>
    <t>BUS -FIS CD -TC-CLR-104</t>
  </si>
  <si>
    <t>Ensure that NVAP group give-in can be partially cleared on a give-up account.</t>
  </si>
  <si>
    <t>BUS -FIS CD -TC-CLR-105</t>
  </si>
  <si>
    <t>Ensure that NVAP group give-in can be partially cleared on a house account.</t>
  </si>
  <si>
    <t>BUS -FIS CD -TC-CLR-106</t>
  </si>
  <si>
    <t>Ensure that NVAP group give-in can be partially cleared on a customer account.</t>
  </si>
  <si>
    <t>BUS -FIS CD -TC-CLR-107</t>
  </si>
  <si>
    <t>Ensure that NVAP group give-in can be partially cleared on a self give-up account.</t>
  </si>
  <si>
    <t>BUS -FIS CD -TC-CLR-108</t>
  </si>
  <si>
    <t>Ensure that NVAP group give-in can be partially cleared on mixed accounts.</t>
  </si>
  <si>
    <t>BUS -FIS CD -TC-CLR-109</t>
  </si>
  <si>
    <t>Ensure that NVAP group Trade can be fully allocated on a give-up account.</t>
  </si>
  <si>
    <t>BUS -FIS CD -TC-CLR-11</t>
  </si>
  <si>
    <t>Test to ensure that a Clearing Instruction can be partially deleted in case of an aggregated CI</t>
  </si>
  <si>
    <t>BUS -FIS CD -TC-CLR-110</t>
  </si>
  <si>
    <t>Ensure that NVAP group Trade can be fully allocated on a house account.</t>
  </si>
  <si>
    <t>BUS -FIS CD -TC-CLR-111</t>
  </si>
  <si>
    <t>Ensure that NVAP group Trade can be fully allocated on a customer account.</t>
  </si>
  <si>
    <t>BUS -FIS CD -TC-CLR-112</t>
  </si>
  <si>
    <t>BUS -FIS CD -TC-CLR-113</t>
  </si>
  <si>
    <t>BUS -FIS CD -TC-CLR-114</t>
  </si>
  <si>
    <t>BUS -FIS CD -TC-CLR-115</t>
  </si>
  <si>
    <t>BUS -FIS CD -TC-CLR-116</t>
  </si>
  <si>
    <t>Ensure that NVAP group Floor can be partially cleared on a give-up account.</t>
  </si>
  <si>
    <t>BUS -FIS CD -TC-CLR-117</t>
  </si>
  <si>
    <t>Ensure that NVAP group Floor can be partially cleared on a house account.</t>
  </si>
  <si>
    <t>BUS -FIS CD -TC-CLR-118</t>
  </si>
  <si>
    <t>Ensure that NVAP group Floor can be partially cleared on a customer account.</t>
  </si>
  <si>
    <t>BUS -FIS CD -TC-CLR-119</t>
  </si>
  <si>
    <t>Ensure that NVAP group Floor can be partially cleared on a self give-up account.</t>
  </si>
  <si>
    <t>BUS -FIS CD -TC-CLR-12</t>
  </si>
  <si>
    <t xml:space="preserve">Test to ensure that a view of all the failed Clearing Instructions are available in the Clearing GUI with the reason of failure </t>
  </si>
  <si>
    <t>BUS -FIS CD -TC-CLR-120</t>
  </si>
  <si>
    <t>Ensure that NVAP group Floor can be partially cleared on mixed accounts.</t>
  </si>
  <si>
    <t>BUS -FIS CD -TC-CLR-121</t>
  </si>
  <si>
    <t>Ensure that SLED trades can be marked as NVAP.</t>
  </si>
  <si>
    <t>1.	Go to Trade/CI Unmatched_x000D_
2.	Select 1 Buy trade_x000D_
3.	Select APS Wizard_x000D_
4.	Check the NAVP Box_x000D_
5.	Select all trades with the same 'Order ID' to add to your NVAP Group_x000D_
6.	Create Group ID Name  (ALL CAPS &amp; 6 Characters or less)_x000D_
7.	Select Save and Send (to CCP)_x000D_
8.     Review confirmation box with notional value and select OK_x000D_
9.     Select 1 Sell trade_x000D_
10.   Select APS Wizard_x000D_
11.	Check the NAVP Box_x000D_
12.	Select all trades with the same 'Order ID' as the buy side to add to your NVAP Group_x000D_
13.	Create Group ID Name  (ALL CAPS &amp; 6 Characters or less)_x000D_
14.	Select Save and Send (to CCP)_x000D_
15.   Review confirmation box with notional value and select OK_x000D_
16.	Go to Trade/CI Unmatched_x000D_
17.	Select NAVP trade (Group Indicator N)_x000D_
18.  Check you have marked Spread trades as a NVAP</t>
  </si>
  <si>
    <t>BUS -FIS CD -TC-CLR-122</t>
  </si>
  <si>
    <t>Ensure that Spreads can be marked as NVAP.</t>
  </si>
  <si>
    <t>BUS -FIS CD -TC-CLR-123</t>
  </si>
  <si>
    <t>Ensure that floors pre-marked for NVAP are processed and cleared successfully.</t>
  </si>
  <si>
    <t>No</t>
  </si>
  <si>
    <t>BUS -FIS CD -TC-CLR-124</t>
  </si>
  <si>
    <t>Ensure that a NVAP give-in can be cancel cleared.</t>
  </si>
  <si>
    <t>BUS -FIS CD -TC-CLR-125</t>
  </si>
  <si>
    <t>Ensure that a NVAP give-up trade can be cancel cleared.</t>
  </si>
  <si>
    <t>BUS -FIS CD -TC-CLR-126</t>
  </si>
  <si>
    <t>Ensure that NVAP floors/give-ins given up and taken up by the counterparty can be successfully reversed.</t>
  </si>
  <si>
    <t>BUS -FIS CD -TC-CLR-127</t>
  </si>
  <si>
    <t>Ensure that NVAP floors/give-ins given up and taken up by the counterparty can be successfully reversed externally.</t>
  </si>
  <si>
    <t>BUS -FIS CD -TC-CLR-128</t>
  </si>
  <si>
    <t>Ensure that both legs of full-service SLED trade are cleared with same accounts successfully.</t>
  </si>
  <si>
    <t>BUS -FIS CD -TC-CLR-129</t>
  </si>
  <si>
    <t>Ensure that both legs of full-service SLED trade are cleared with different accounts successfully.</t>
  </si>
  <si>
    <t>BUS -FIS CD -TC-CLR-13</t>
  </si>
  <si>
    <t>Test to ensure that all the WAIT Clearing Instructions are in the Clearing GUI with the appropriate comment indicating that the account is missing</t>
  </si>
  <si>
    <t>1. If you have Task raised under the clearing instruction widget
2. Select to see what the issues are with missing static.  
3. Select any regarding an account not set up 
4. Check the bottom of the screen to see the resolutions
5. Decide which one will fix the issue, add account, update or add alias, reallocate or etc.</t>
  </si>
  <si>
    <t>BUS -FIS CD -TC-CLR-130</t>
  </si>
  <si>
    <t>Ensure that both legs of give-in SLED trade are cleared with different accounts successfully.</t>
  </si>
  <si>
    <t>BUS -FIS CD -TC-CLR-131</t>
  </si>
  <si>
    <t>Ensure that both legs can be successfully averaged .</t>
  </si>
  <si>
    <t>BUS -FIS CD -TC-CLR-132</t>
  </si>
  <si>
    <t>Mix Split Allocate Electronic Spread Trades</t>
  </si>
  <si>
    <t>BUS -FIS CD -TC-CLR-133</t>
  </si>
  <si>
    <t>Ensure that price change can be done from Clearing GUI on SLED trades.</t>
  </si>
  <si>
    <t>BUS -FIS CD -TC-CLR-134</t>
  </si>
  <si>
    <t>Allocate Temporary Price Trade (TAS)</t>
  </si>
  <si>
    <t>BUS -FIS CD -TC-CLR-135</t>
  </si>
  <si>
    <t>Allocate a TAS Block Trade</t>
  </si>
  <si>
    <t>BUS -FIS CD -TC-CLR-136</t>
  </si>
  <si>
    <t>Allocate a TAS Spread Trade</t>
  </si>
  <si>
    <t>BUS -FIS CD -TC-CLR-137</t>
  </si>
  <si>
    <t>Ensure that TAM final price trades can be cleared successfully.</t>
  </si>
  <si>
    <t>BUS -FIS CD -TC-CLR-138</t>
  </si>
  <si>
    <t>Ensure that BTIC final price trades can be cleared successfully.</t>
  </si>
  <si>
    <t>BUS -FIS CD -TC-CLR-139</t>
  </si>
  <si>
    <t>Ensure that TACO final price trades can be cleared successfully.</t>
  </si>
  <si>
    <t>BUS -FIS CD -TC-CLR-14</t>
  </si>
  <si>
    <t>Resubmit failed Clearing Instructions</t>
  </si>
  <si>
    <t>Test to ensure that failed Clearing Instructions can be resubmitted after performing the relevant static updates</t>
  </si>
  <si>
    <t>1.Check Tasks
2.Find one for a destination ref or Account
3.Add Alias or Account
4.Make sure the trade clears using the CI</t>
  </si>
  <si>
    <t>BUS -FIS CD -TC-CLR-140</t>
  </si>
  <si>
    <t>Allocate a Block Trade</t>
  </si>
  <si>
    <t xml:space="preserve">1. Trade Clearing
2. FS Unmatched
3. Split
4. You can split the trade as many times you'd like, below are account examples 
5. Save
6. Check GU Pending/FS Cleared/CI Matched
Please note the Trade type can only be viewed on the Trade and it updated from BLK to BLK, OFFSETALLOC for the GUs.                                              </t>
  </si>
  <si>
    <t>BUS -FIS CD -TC-CLR-141</t>
  </si>
  <si>
    <t>BUS -FIS CD -TC-CLR-142</t>
  </si>
  <si>
    <t>1.Trade Clearing
2.FS Cleared
3.Trade Type = EFP
4. Validate internal system for EFP indication</t>
  </si>
  <si>
    <t>BUS -FIS CD -TC-CLR-143</t>
  </si>
  <si>
    <t>BUS -FIS CD -TC-CLR-144</t>
  </si>
  <si>
    <t>BUS -FIS CD -TC-CLR-145</t>
  </si>
  <si>
    <t>Ensure that a Clearport trade is cleared successfully with a proper venue indicator.</t>
  </si>
  <si>
    <t>BUS -FIS CD -TC-CLR-146</t>
  </si>
  <si>
    <t>BUS -FIS CD -TC-CLR-147</t>
  </si>
  <si>
    <t>BUS -FIS CD -TC-CLR-148</t>
  </si>
  <si>
    <t xml:space="preserve">Match a Clearing Instruction with Execution Method </t>
  </si>
  <si>
    <t xml:space="preserve">1. Trade Clearing
2. Matched CIs
3. Check column – Commission Description
4. Make sure some of the CIs have this populated(you can also click on the CI, Click the down arrow, select other , and you will see the commission description there)
5. Log into Internal systems to determine Commission has loaded onto trade.                                            </t>
  </si>
  <si>
    <t>BUS -FIS CD -TC-CLR-149</t>
  </si>
  <si>
    <t>Validate Source System details on a Clearing Instruction</t>
  </si>
  <si>
    <t xml:space="preserve">1. Trade Clearing
2. Matched CIs
3. Check column – Commission Source System
4. Make sure some of the CIs have this populated
                                                                   </t>
  </si>
  <si>
    <t>BUS -FIS CD -TC-CLR-149-A</t>
  </si>
  <si>
    <t>Validate Execution time details on a Clearing Instruction</t>
  </si>
  <si>
    <t>BUS -FIS CD -TC-CLR-15</t>
  </si>
  <si>
    <t>Resubmit Wait Clearing Instructions</t>
  </si>
  <si>
    <t>Test to ensure that WAIT Clearing Instructions can be resubmitted after performing required static updates</t>
  </si>
  <si>
    <t>BUS -FIS CD -TC-CLR-150</t>
  </si>
  <si>
    <t xml:space="preserve">1. Trade Management
2. Trade Clearing
3. Click on Full Service Cleared Trades Tile
4. View in middle panel
5. Click Hamburger
6. Export to CSV
7. Open excel Trade File generated in bottom left hand corner                                                       8. View 'Execution Time' field and 'Time Created' field                                                                        9. Late session trades will be after 20:00 in the Execution time and should have the previous day’s trade date whilst the time created should be top day and represents the clearing date  </t>
  </si>
  <si>
    <t>CSV Export</t>
  </si>
  <si>
    <t>BUS -FIS CD -TC-CLR-150-A</t>
  </si>
  <si>
    <t>Late session trades executed on the day before an Exchange Clearing Holiday should clear on the next Exchange Clearing day</t>
  </si>
  <si>
    <t>Test to ensure that T+1 trades after an Exchange Holiday should not be viewed in FIS CD on T day but are clearing on the next Exchange clearing day in FIS CD UI (i.e. traded on late session on 27/11/19 for clearing on 29/11/19 - Thanksgiving Holiday)</t>
  </si>
  <si>
    <t xml:space="preserve">1.Trade Management
2.Trade Clearing
3.Click on Full Service Cleared Trades Tile
4.View in middle panel
5.Click Hamburger
6.Export to CSV
7.Open excel Trade File generated in bottom left hand corner 8. View 'Execution Time' field and 'Time Created' field 9. Late session trades will be after 20:00 in the Execution time and should have the previous day trade date whilst the time created should be top day and represents the clearing date </t>
  </si>
  <si>
    <t>BUS -FIS CD -TC-CLR-151</t>
  </si>
  <si>
    <t xml:space="preserve">T+N </t>
  </si>
  <si>
    <t>BUS -FIS CD -TC-CLR-151-A</t>
  </si>
  <si>
    <t>Clear a T+n (Historical) FS Allocation from UNMATCHED</t>
  </si>
  <si>
    <t>BUS -FIS CD -TC-CLR-151-B</t>
  </si>
  <si>
    <t>BUS -FIS CD -TC-CLR-151-C</t>
  </si>
  <si>
    <t>BUS -FIS CD -TC-CLR-151-D</t>
  </si>
  <si>
    <t>1. From Hamburger Menu choose Trade Management then Trade Clearing                                                                            
2. Change Work board view from Top Day to T+n 
3. Go to Full Service Unmatched Tile
4. Select one trade in the middle panel
5. Click on Split Button
6. Add quantity for the first Destination Instruction
7. Under Give-Up Details input the Destination Instruction
8. Click Add button at bottom left of screen                                                                     
9. Repeat steps 6 - 8 until all splits are done and total quantity has been allocated                                                            
10. Hit save button on bottom left of screen                                                                        
11. you will have to manually force match the trade with the CI 
12.Trade will go into Clearing in Progress then go into Give Up Pending status, unless GU firm auto accepts in UAT.                                                                          
13. Validate trades appear as expected on internal systems</t>
  </si>
  <si>
    <t>BUS -FIS CD -TC-CLR-151-E</t>
  </si>
  <si>
    <t>BUS -FIS CD -TC-CLR-152</t>
  </si>
  <si>
    <t>BUS -FIS CD -TC-CLR-153</t>
  </si>
  <si>
    <t>SGX</t>
  </si>
  <si>
    <t>BUS -FIS CD -TC-CLR-154</t>
  </si>
  <si>
    <t>Ensure that trades can be given-up to MOS using a MOS account</t>
  </si>
  <si>
    <t>BUS -FIS CD -TC-CLR-155</t>
  </si>
  <si>
    <t>Ensure that SLED MOS trades can be successfully cleared .</t>
  </si>
  <si>
    <t>Account Update of top day trade on Exchange</t>
  </si>
  <si>
    <t>BUS -FIS CD -TC-CLR-157</t>
  </si>
  <si>
    <t>Account Update of T+n (Historical) trade on Exchange</t>
  </si>
  <si>
    <t>BUS -FIS CD -TC-CLR-158</t>
  </si>
  <si>
    <t>Price scaling converter</t>
  </si>
  <si>
    <t>Test to ensure CBT financial products prices are converted to decimal or 32nd format ??</t>
  </si>
  <si>
    <t xml:space="preserve">PRICE SCALING </t>
  </si>
  <si>
    <t>BUS -FIS CD -TC-CLR-158-A</t>
  </si>
  <si>
    <t>Price scaling converter option premium</t>
  </si>
  <si>
    <t xml:space="preserve">Test to ensure CBT financial products option price are converted to decimal or 32nd or 64th format </t>
  </si>
  <si>
    <t>BUS -FIS CD -TC-CLR-159</t>
  </si>
  <si>
    <t>Strike scaling converter</t>
  </si>
  <si>
    <t>Ensure that strike converter is converting the strike price of option as per the formula ??</t>
  </si>
  <si>
    <t>BUS -FIS CD -TC-CLR-160</t>
  </si>
  <si>
    <t>Ensure that a Give-in trade can be given up</t>
  </si>
  <si>
    <t>BUS -FIS CD -TC-CLR-161</t>
  </si>
  <si>
    <t>Ensure that a trade can be marked as give-up.</t>
  </si>
  <si>
    <t>BUS -FIS CD -TC-CLR-162</t>
  </si>
  <si>
    <t>Ensure that a trade can be successfully given-up to a self Give-up account</t>
  </si>
  <si>
    <t>BUS -FIS CD -TC-CLR-164</t>
  </si>
  <si>
    <t>Allocate A Weekly Options trades</t>
  </si>
  <si>
    <t>BUS -FIS CD -TC-CLR-165</t>
  </si>
  <si>
    <t>Daily Options Clearing</t>
  </si>
  <si>
    <t>Ensure that Daily expiry option trade can be successfully cleared</t>
  </si>
  <si>
    <t>BUS -FIS CD -TC-CLR-166</t>
  </si>
  <si>
    <t>Ensure that actual expiry date is displayed in the clearing GUI for Weekly and Daily options and stored in the database</t>
  </si>
  <si>
    <t>1.  Allocate a flexible option_x000D_
2.  confirm that the maturity date field is populated_x000D_
3.  Validate in FISCD</t>
  </si>
  <si>
    <t>BUS -FIS CD -TC-CLR-167</t>
  </si>
  <si>
    <t>Test to support custom matching criteria's defined in the Clearing Instruction which will take precedence over Standard / Default matching criteria's</t>
  </si>
  <si>
    <t xml:space="preserve">MATCHING SET </t>
  </si>
  <si>
    <t>BUS -FIS CD -TC-CLR-168-A</t>
  </si>
  <si>
    <t xml:space="preserve">1. Referential
2. Matching Sets
3. Click on SELFEXECUTED_TRADE_MATCHING
4. Click the view button
5. This should bring up the matching set based on Client Order ID vs Client Order ID
6. Click Close button to close view
**** We will need to work with DEV to have these rules set up     </t>
  </si>
  <si>
    <t>Matching Set</t>
  </si>
  <si>
    <t>BUS -FIS CD -TC-CLR-168-B</t>
  </si>
  <si>
    <t>Test to setup dynamic matching criteria at account level based on a set of conditions stored in the trade Clearing GUI</t>
  </si>
  <si>
    <t>BUS -FIS CD -TC-CLR-169</t>
  </si>
  <si>
    <t xml:space="preserve">Ensure that allocations processed via the 'Allocation Strategy' reflect the strategy used. </t>
  </si>
  <si>
    <t>BUS -FIS CD -TC-CLR-169-B</t>
  </si>
  <si>
    <t>BUS -FIS CD -TC-CLR-17</t>
  </si>
  <si>
    <t>BUS -FIS CD -TC-CLR-170</t>
  </si>
  <si>
    <t>Ability to average Clearing Instructions/Clearing instruction automatically</t>
  </si>
  <si>
    <t>N/A</t>
  </si>
  <si>
    <t>APS-CI</t>
  </si>
  <si>
    <t>BUS -FIS CD -TC-CLR-171</t>
  </si>
  <si>
    <t>APS</t>
  </si>
  <si>
    <t>BUS -FIS CD -TC-CLR-172</t>
  </si>
  <si>
    <t>BUS -FIS CD -TC-CLR-173</t>
  </si>
  <si>
    <t>Clearing - Remove trade from NVAP group</t>
  </si>
  <si>
    <t>BUS -FIS CD -TC-CLR-174</t>
  </si>
  <si>
    <t>Ability to remove a trade from NVAP group</t>
  </si>
  <si>
    <t>BUS -FIS CD -TC-CLR-175</t>
  </si>
  <si>
    <t>BUS -FIS CD -TC-CLR-176</t>
  </si>
  <si>
    <t>Ability to cancel clear and reverse the NVAP Give-in</t>
  </si>
  <si>
    <t>BUS -FIS CD -TC-CLR-177</t>
  </si>
  <si>
    <t>BUS -FIS CD -TC-CLR-178</t>
  </si>
  <si>
    <t>BACK OFFICE FEED</t>
  </si>
  <si>
    <t>BUS -FIS CD -TC-CLR-178-A</t>
  </si>
  <si>
    <t>BUS -FIS CD -TC-CLR-179</t>
  </si>
  <si>
    <t xml:space="preserve">Test the display of trade clearing warnings and errors in the Clearing GUI </t>
  </si>
  <si>
    <t>Task</t>
  </si>
  <si>
    <t>BUS -FIS CD -TC-CLR-18</t>
  </si>
  <si>
    <t>BUS -FIS CD -TC-CLR-180</t>
  </si>
  <si>
    <t>BUS -FIS CD -TC-CLR-181</t>
  </si>
  <si>
    <t>BUS -FIS CD -TC-CLR-182</t>
  </si>
  <si>
    <t>Manually average a FS trade to new APS group</t>
  </si>
  <si>
    <t>BUS -FIS CD -TC-CLR-183</t>
  </si>
  <si>
    <t>Manually average a FS trade to existing APS group</t>
  </si>
  <si>
    <t>BUS -FIS CD -TC-CLR-184</t>
  </si>
  <si>
    <t>Manually average a Give-in trade to new APS group</t>
  </si>
  <si>
    <t>BUS -FIS CD -TC-CLR-185</t>
  </si>
  <si>
    <t>Manually average a Give-in trade to existing APS group</t>
  </si>
  <si>
    <t>BUS -FIS CD -TC-CLR-186</t>
  </si>
  <si>
    <t>Average a FS trade to new APS group using APS account</t>
  </si>
  <si>
    <t>BUS -FIS CD -TC-CLR-187</t>
  </si>
  <si>
    <t>Average a FS trade to existing APS group using APS account</t>
  </si>
  <si>
    <t>BUS -FIS CD -TC-CLR-19</t>
  </si>
  <si>
    <t>Test to ensure that a  trade can be cleared using an order created by bypass matching rule</t>
  </si>
  <si>
    <t>BUS -FIS CD -TC-CLR-190-A</t>
  </si>
  <si>
    <t>Trade / Clearing instruction Tile counts should tie back to middle panel views</t>
  </si>
  <si>
    <t>BUS -FIS CD -TC-CLR-190-B</t>
  </si>
  <si>
    <t>Validate Full Service Tile counts and middle panel totals</t>
  </si>
  <si>
    <t>Full Service Tile counts should tie back to middle panel views</t>
  </si>
  <si>
    <t>BUS -FIS CD -TC-CLR-190-C</t>
  </si>
  <si>
    <t>Validate Give Up Tile counts and middle panel totals</t>
  </si>
  <si>
    <t>Give Up Tile counts should tie back to middle panel views</t>
  </si>
  <si>
    <t>BUS -FIS CD -TC-CLR-190-D</t>
  </si>
  <si>
    <t>Validate Give In Tile counts and middle panel totals</t>
  </si>
  <si>
    <t>Give In Tile counts should tie back to middle panel views</t>
  </si>
  <si>
    <t>BUS -FIS CD -TC-CLR-190-E</t>
  </si>
  <si>
    <t>Validate Clearing Instruction Tile counts and middle panel totals</t>
  </si>
  <si>
    <t>Clearing Instruction Tile counts should tie back to middle panel views</t>
  </si>
  <si>
    <t>BUS -FIS CD -TC-CLR-191</t>
  </si>
  <si>
    <t>Latency Check - Throughout Testing Cycle</t>
  </si>
  <si>
    <t>The FIS CD UI should have minimum latency when performing Clearing or Static related activities</t>
  </si>
  <si>
    <t>1. Check to see if there are any delays when allocating , or any lag when opening a new tile                                        2. Check View Audit function on trades drilling into previous trades to ensure no lag</t>
  </si>
  <si>
    <t>TCG</t>
  </si>
  <si>
    <t>BUS -FIS CD -TC-CLR-192</t>
  </si>
  <si>
    <t>Filter with APS Wizard</t>
  </si>
  <si>
    <t>Validate that the APS Wizard filters work correctly and show the valid data</t>
  </si>
  <si>
    <t xml:space="preserve">1. Trade Management
2. Trade Clearing 
3. Select one trade
4. Select APS Wizard
5. Check to see if candidates are correct
6. Select the Execution Account Ref
7. Check to see if that filter is removed and the options are as expected
8. Check other filters for expected results
</t>
  </si>
  <si>
    <t>BUS -FIS CD -TC-CLR-193</t>
  </si>
  <si>
    <t>Viewing and Clearing of Notification messages within the Gui</t>
  </si>
  <si>
    <t>Resolution of Notification messages in the FIS CD UI</t>
  </si>
  <si>
    <t xml:space="preserve">1. Login
2. Click on 'Notifications' in top right hand corner of screen
3. Individual 'Notifications' will now be loaded and displayed in the Gui Panel
4. Check the counter in the 'Notifications' screen equals the counter in the top right of the system
5. Highlight the Notification message you wish to resolve
6. Click on 'Mark as Read' button on the bottom of the page
7. System will confirm a 'successful' message                                                                                    8. Hit the refresh button in the panel next to the count totals                 9. Notification will disappear and count total will reduce           </t>
  </si>
  <si>
    <t>BUS -FIS CD -TC-CLR-193-A</t>
  </si>
  <si>
    <t>Exporting Notifications into Excel</t>
  </si>
  <si>
    <t>Ability to export the Notification messages into an Excel spreadsheet - Notifications exported should be equal to the Notification Counter</t>
  </si>
  <si>
    <t>1. Login
2. Click on 'Notifications' in top right hand corner of screen
3. Individual 'Notifications' will now be loaded and displayed in the Gui Panel
4. Check the counter in the 'Notifications' screen equals the counter in the top right of the system
5. Click Hamburger
6. Export to CSV
7. Open excel File generated in bottom left hand corner                                                       8. Validate total Notification lines in CSV equal Total Notifications shown in the Notifications screen and the 'Notifications' total in the top right of the system</t>
  </si>
  <si>
    <t>BUS -FIS CD -TC-CLR-194</t>
  </si>
  <si>
    <t>Viewing and resolution of Clearing Tasks within the Gui</t>
  </si>
  <si>
    <t>Resolution of Task messages in the FIS CD UI</t>
  </si>
  <si>
    <t>1. Trade Management                                                
2. Trade Clearing
3. Under Trade / CI Unmatched click on Tasks
4. Check the counter in the 'Tasks' screen equals the number of tasks under the Trade / CI Unmatched Counter
5. Highlight 'Clearing' task you wish to resolve
6. At the bottom of the panel you will be given options of how to resolve the Task
7. Click on the appropriate option required to resolve the task                                                                                                                          8. Confirmation will appear of 'Action Completed'                                                             9. Hit the refresh button on Top right next to task counter in the screen                                                                                                                                             10. If the task has been resolved by the corrective action then the counter will drop by that number</t>
  </si>
  <si>
    <t>BUS -FIS CD -TC-CLR-194-A</t>
  </si>
  <si>
    <t>Exporting Clearing Tasks into Excel</t>
  </si>
  <si>
    <t>Ability to export the Task errors into an Excel spreadsheet - Tasks exported should be equal to the Task Counter</t>
  </si>
  <si>
    <t>1. Login
2. Click on 'Tasks' in top right hand corner of screen
3. Individual 'Tasks' will now be loaded and displayed in the Gui Panel
4. Check the counter in the 'Tasks' screen equals the counter in the top right of the system
5. Click Hamburger
6. Export to CSV
7. Open excel File generated in bottom left hand corner                                                       8. Validate total Task lines in CSV equal Total tasks shown in the Task screen and the 'Tasks' total in the top right of the system</t>
  </si>
  <si>
    <t>BUS -FIS CD -TC-CLR-195</t>
  </si>
  <si>
    <t>Trade Clearing Dashboard - Widget counter</t>
  </si>
  <si>
    <t>Dashboard in FIS CD UI should display all widgets and counters covering Trades and Clearing Instruction statuses</t>
  </si>
  <si>
    <t xml:space="preserve">1. Dashboard
2. Status on ICE US 
3. Expand Dashboard view
5. Check The following Widget Counters Are Available: Trade / CI; Full Service; Give-Up; Give-In; Clearing Instruction                                                                                                                 6. Tiles should change real time as trade statuses change                                                </t>
  </si>
  <si>
    <t>UI-TCG</t>
  </si>
  <si>
    <t>BUS -FIS CD -TC-CLR-196-A</t>
  </si>
  <si>
    <t>FIS CD screens to display &gt; 1000 record</t>
  </si>
  <si>
    <t>The ability to browse all records in FIS CD screen</t>
  </si>
  <si>
    <t>BUS -FIS CD -TC-CLR-196-B</t>
  </si>
  <si>
    <t>Screen Export - Export data over 1,000 lines from Trade Clearing Middle Panels</t>
  </si>
  <si>
    <t>Exported data into csv file should include all trades and not be limited to just 1,000 lines of data visible in the Middle Panels</t>
  </si>
  <si>
    <t>1. Trade Management
2. Trades
3. Left Hand Drop Down change from Top Day to T+n
4. Check the counter in the top right of the system has more than 1,000 trades
5. Click Hamburger
6. Export to CSV
7. Open excel Trade File generated in bottom left hand corner                                                       8. Validate total Trade lines in CSV equal Total trades shown in the top right of the screen</t>
  </si>
  <si>
    <t>BUS -FIS CD -TC-CLR-20</t>
  </si>
  <si>
    <t>BUS -FIS CD -TC-CLR-201</t>
  </si>
  <si>
    <t>Expand or collapse right/left panel automatically in TC UI workboard</t>
  </si>
  <si>
    <t xml:space="preserve">1. Trade Management
2. Trade Clearing 
3. Select F10 to have all views open
4. Select the Trade / CI Unmatched
5. Select a trade
6. Select the allocate or give up option
7. See if the right panel automatically opens once selected
8. If so allocate a trade to any account or destination instruction
</t>
  </si>
  <si>
    <t>BUS -FIS CD -TC-CLR-203</t>
  </si>
  <si>
    <t>FIS CD Trade Audit</t>
  </si>
  <si>
    <t>1.	Trade Clearing
2.	Match a Trade with a CI
3.	Once the Trade is Cleared and CI is Matched, then go to Matched CI
4.	Update the Account/Clearing Instruction
5.	Make sure the Trade Updates
6.	Then click on the CI or Trade
7.	In the right panel click audit trail
8.	Check and make sure audit trail is correct/available to view</t>
  </si>
  <si>
    <t>BUS -FIS CD -TC-CLR-203-A</t>
  </si>
  <si>
    <t>Archive - View trade data over 5 days old in Gui Archive</t>
  </si>
  <si>
    <t>1. Click on the E number drop down in top right hand corner
2. Select 'Settings'
3. Under Archive click on 'Show Archive Data' Yes
4. Click Apply
5. Click on Yes to confirm
6. Trade Management
7. Trades
8. Enter the date range
9. Apply
10. Data should be pulled back to view  within the Gui screen
11. Click on Hamburger Icon
12. Export to CSV
13. Open CSV file in bottom left of the screen
14. Ensure all line items from Archive are within the CSV file</t>
  </si>
  <si>
    <t>BUS -FIS CD -TC-CLR-204</t>
  </si>
  <si>
    <t>Ensure that ISA/RC full service business is visible in FIS CD</t>
  </si>
  <si>
    <t>missing steps</t>
  </si>
  <si>
    <t>BUS -FIS CD -TC-CLR-205</t>
  </si>
  <si>
    <t>Ensure that ISA/RC full service business can be cleared to Internal Accounts</t>
  </si>
  <si>
    <t>BUS -FIS CD -TC-CLR-206</t>
  </si>
  <si>
    <t>Ensure that ISA/RC full service business can be given up to external FCM's</t>
  </si>
  <si>
    <t>BUS -FIS CD -TC-CLR-207</t>
  </si>
  <si>
    <t xml:space="preserve">Ensure that ISA/RC full service business can be unmatched/cancelled </t>
  </si>
  <si>
    <t>BUS -FIS CD -TC-CLR-208</t>
  </si>
  <si>
    <t>Ensure that ISA/RC give in business is visible in FIS CD</t>
  </si>
  <si>
    <t>BUS -FIS CD -TC-CLR-209</t>
  </si>
  <si>
    <t>Ensure that ISA/RC give in business can be cleared to Internal Accounts</t>
  </si>
  <si>
    <t>BUS -FIS CD -TC-CLR-21</t>
  </si>
  <si>
    <t>Allocate Full Service trades to a Cleared Customer Account</t>
  </si>
  <si>
    <t>BUS -FIS CD -TC-CLR-210</t>
  </si>
  <si>
    <t>Ensure that ISA/RC give in business can be given up to external FCM's</t>
  </si>
  <si>
    <t>BUS -FIS CD -TC-CLR-211</t>
  </si>
  <si>
    <t xml:space="preserve">Ensure that ISA/RC give in business can be unmatched/cancelled </t>
  </si>
  <si>
    <t>BUS -FIS CD -TC-CLR-212</t>
  </si>
  <si>
    <t>Ensure that NCM full service business is visible in FIS CD</t>
  </si>
  <si>
    <t>BUS -FIS CD -TC-CLR-213</t>
  </si>
  <si>
    <t>Ensure that NCM full service business can be cleared to Internal Accounts</t>
  </si>
  <si>
    <t>BUS -FIS CD -TC-CLR-214</t>
  </si>
  <si>
    <t xml:space="preserve">Ensure that NCM full service business can be unmatched/cancelled </t>
  </si>
  <si>
    <t>BUS -FIS CD -TC-CLR-215</t>
  </si>
  <si>
    <t>Ensure that NCM give in business is visible in FIS CD</t>
  </si>
  <si>
    <t>BUS -FIS CD -TC-CLR-216</t>
  </si>
  <si>
    <t>Ensure that NCM give in business can be cleared to Internal Accounts</t>
  </si>
  <si>
    <t>BUS -FIS CD -TC-CLR-217</t>
  </si>
  <si>
    <t xml:space="preserve">Ensure that NCM give in business can be unmatched/cancelled </t>
  </si>
  <si>
    <t>BUS -FIS CD -TC-CLR-218</t>
  </si>
  <si>
    <t>Ability to clear to an Indirect account type in FIS CD</t>
  </si>
  <si>
    <t>BUS -FIS CD -TC-CLR-219</t>
  </si>
  <si>
    <t>Ability to unmatch trades from an Indirect account type in FIS CD</t>
  </si>
  <si>
    <t>BUS -FIS CD -TC-CLR-22</t>
  </si>
  <si>
    <t>Allocate a give in trade to a Cleared House Account</t>
  </si>
  <si>
    <t>BUS -FIS CD -TC-CLR-220</t>
  </si>
  <si>
    <t>Ability to clear to an Client account types in FIS CD</t>
  </si>
  <si>
    <t>BUS -FIS CD -TC-CLR-221</t>
  </si>
  <si>
    <t>Ability to unmatch trades from a Client account type in FIS CD</t>
  </si>
  <si>
    <t>BUS -FIS CD -TC-CLR-222</t>
  </si>
  <si>
    <t>Ability to clear to an Affiliate account types in FIS CD</t>
  </si>
  <si>
    <t>BUS -FIS CD -TC-CLR-223</t>
  </si>
  <si>
    <t>BUS -FIS CD -TC-CLR-224</t>
  </si>
  <si>
    <t>Ability to clear to a House account types in FIS CD</t>
  </si>
  <si>
    <t>BUS -FIS CD -TC-CLR-225</t>
  </si>
  <si>
    <t>Ability to unmatch trades from a House account type in FIS CD</t>
  </si>
  <si>
    <t>BUS -FIS CD -TC-CLR-226</t>
  </si>
  <si>
    <t>Ability to clear to an Indirect, Client, Affiliate, House account type simultaneously in FIS CD</t>
  </si>
  <si>
    <t>BUS -FIS CD -TC-CLR-227</t>
  </si>
  <si>
    <t>Ability to unmatch trades from an Indirect, Client, Affiliate, House account type simultaneously in FIS CD</t>
  </si>
  <si>
    <t>BUS -FIS CD -TC-CLR-228</t>
  </si>
  <si>
    <t>Ability to clear give in trades directly to the ISA</t>
  </si>
  <si>
    <t>BUS -FIS CD -TC-CLR-229</t>
  </si>
  <si>
    <t>BUS -FIS CD -TC-CLR-23</t>
  </si>
  <si>
    <t>Allocate a give in trade to a Cleared Customer Account</t>
  </si>
  <si>
    <t>BUS -FIS CD -TC-CLR-230</t>
  </si>
  <si>
    <t>BUS -FIS CD -TC-CLR-231</t>
  </si>
  <si>
    <t>BUS -FIS CD -TC-CLR-232</t>
  </si>
  <si>
    <t>BUS -FIS CD -TC-CLR-233</t>
  </si>
  <si>
    <t>BUS -FIS CD -TC-CLR-234</t>
  </si>
  <si>
    <t>Ability to clear full service T+ trades in FIS CD</t>
  </si>
  <si>
    <t>BUS -FIS CD -TC-CLR-235</t>
  </si>
  <si>
    <t>BUS -FIS CD -TC-CLR-236</t>
  </si>
  <si>
    <t>Ability to clear give in T+ trades in FIS CD</t>
  </si>
  <si>
    <t>BUS -FIS CD -TC-CLR-237</t>
  </si>
  <si>
    <t>Ability to unmatch give in T+ trades in FIS CD</t>
  </si>
  <si>
    <t>BUS -FIS CD -TC-CLR-238</t>
  </si>
  <si>
    <t>BUS -FIS CD -TC-CLR-239</t>
  </si>
  <si>
    <t xml:space="preserve">1. Trade Management
2. Trade Clearing
3. Click on Trade/CI Unmatched
4. In Middle Panel click on 'Hamburger'
5. Click on Export To Csv
6. Open Csv export file in bottom left corner
7. View data in excel - line count in excel should tie back to Trade / CI Unmatched tile count when middle step 3 was followed
</t>
  </si>
  <si>
    <t>BUS -FIS CD -TC-CLR-24</t>
  </si>
  <si>
    <t>BUS -FIS CD -TC-CLR-240</t>
  </si>
  <si>
    <t>Ability to perform positions transfers in FIS CD</t>
  </si>
  <si>
    <t>BUS -FIS CD -TC-CLR-241</t>
  </si>
  <si>
    <t>Ability to demerge trades from an already CCP submitted group</t>
  </si>
  <si>
    <t>BUS -FIS CD -TC-CLR-242</t>
  </si>
  <si>
    <t>BUS -FIS CD -TC-CLR-243</t>
  </si>
  <si>
    <t>BUS -FIS CD -TC-CLR-244</t>
  </si>
  <si>
    <t>BUS -FIS CD -TC-CLR-245</t>
  </si>
  <si>
    <t>BUS -FIS CD -TC-CLR-246</t>
  </si>
  <si>
    <t>BUS -FIS CD -TC-CLR-247</t>
  </si>
  <si>
    <t>BUS -FIS CD -TC-CLR-248</t>
  </si>
  <si>
    <t>BUS -FIS CD -TC-CLR-249</t>
  </si>
  <si>
    <t>BUS -FIS CD -TC-CLR-25</t>
  </si>
  <si>
    <t>BUS -FIS CD -TC-CLR-251</t>
  </si>
  <si>
    <t>BUS -FIS CD -TC-CLR-253</t>
  </si>
  <si>
    <t>BUS -FIS CD -TC-CLR-254</t>
  </si>
  <si>
    <t>BUS -FIS CD -TC-CLR-255</t>
  </si>
  <si>
    <t>BUS -FIS CD -TC-CLR-256</t>
  </si>
  <si>
    <t>BUS -FIS CD -TC-CLR-257</t>
  </si>
  <si>
    <t>BUS -FIS CD -TC-CLR-258</t>
  </si>
  <si>
    <t>BUS -FIS CD -TC-CLR-259</t>
  </si>
  <si>
    <t>BUS -FIS CD -TC-CLR-26</t>
  </si>
  <si>
    <t>Allocate a Full Service trade to a Give Up Account</t>
  </si>
  <si>
    <t>BUS -FIS CD -TC-CLR-260</t>
  </si>
  <si>
    <t>Check if FIS CD is able to distinguish IFEU and IFED products</t>
  </si>
  <si>
    <t>BUS -FIS CD -TC-CLR-261</t>
  </si>
  <si>
    <t>BUS -FIS CD -TC-CLR-262</t>
  </si>
  <si>
    <t>Capability of marking trades as Open/Close via FIS CD</t>
  </si>
  <si>
    <t>BUS -FIS CD -TC-CLR-263</t>
  </si>
  <si>
    <t>Capability of re-writing open/close flag via FIS CD</t>
  </si>
  <si>
    <t>BUS -FIS CD -TC-CLR-264</t>
  </si>
  <si>
    <t>BUS -FIS CD -TC-CLR-265</t>
  </si>
  <si>
    <t>BUS -FIS CD -TC-CLR-266</t>
  </si>
  <si>
    <t>BUS -FIS CD -TC-CLR-267</t>
  </si>
  <si>
    <t>Ability to see trades executed by the clients with DMA access</t>
  </si>
  <si>
    <t>BUS -FIS CD -TC-CLR-268</t>
  </si>
  <si>
    <t>Ability to clear trades executed by the clients with DMA access</t>
  </si>
  <si>
    <t>BUS -FIS CD -TC-CLR-269</t>
  </si>
  <si>
    <t>Ability to unmatch trades executed by the clients with DMA access</t>
  </si>
  <si>
    <t>BUS -FIS CD -TC-CLR-27</t>
  </si>
  <si>
    <t>Allocate Multiple Full Service trades to a single Customer Account</t>
  </si>
  <si>
    <t>BUS -FIS CD -TC-CLR-270</t>
  </si>
  <si>
    <t>BUS -FIS CD -TC-CLR-271</t>
  </si>
  <si>
    <t>BUS -FIS CD -TC-CLR-272</t>
  </si>
  <si>
    <t>BUS -FIS CD -TC-CLR-273</t>
  </si>
  <si>
    <t>BUS -FIS CD -TC-CLR-274</t>
  </si>
  <si>
    <t>Capability of clearing give ins on T+</t>
  </si>
  <si>
    <t>BUS -FIS CD -TC-CLR-275</t>
  </si>
  <si>
    <t>Capability of performing crosses vs client on T+</t>
  </si>
  <si>
    <t>BUS -FIS CD -TC-CLR-276</t>
  </si>
  <si>
    <t>Capability of reversing give ins on T+</t>
  </si>
  <si>
    <t>BUS -FIS CD -TC-CLR-277</t>
  </si>
  <si>
    <t>Capability of reversing crosses vs client on T+</t>
  </si>
  <si>
    <t>BUS -FIS CD -TC-CLR-278</t>
  </si>
  <si>
    <t>BUS -FIS CD -TC-CLR-279</t>
  </si>
  <si>
    <t>BUS -FIS CD -TC-CLR-27-A</t>
  </si>
  <si>
    <t>BUS -FIS CD -TC-CLR-28</t>
  </si>
  <si>
    <t>Split Allocate Give In trades to Multiple Customer Accounts</t>
  </si>
  <si>
    <t>BUS -FIS CD -TC-CLR-280</t>
  </si>
  <si>
    <t>BUS -FIS CD -TC-CLR-281</t>
  </si>
  <si>
    <t>BUS -FIS CD -TC-CLR-282</t>
  </si>
  <si>
    <t xml:space="preserve">Capability of clearing/booking normal trade type </t>
  </si>
  <si>
    <t>BUS -FIS CD -TC-CLR-283</t>
  </si>
  <si>
    <t xml:space="preserve">Capability of clearing/booking give up clearer trade type </t>
  </si>
  <si>
    <t>BUS -FIS CD -TC-CLR-284</t>
  </si>
  <si>
    <t xml:space="preserve">Capability of clearing/booking exception trade type </t>
  </si>
  <si>
    <t>BUS -FIS CD -TC-CLR-285</t>
  </si>
  <si>
    <t xml:space="preserve">Capability of clearing/booking give up executor trade type </t>
  </si>
  <si>
    <t>BUS -FIS CD -TC-CLR-286</t>
  </si>
  <si>
    <t xml:space="preserve">Capability of clearing/booking reversal trade type </t>
  </si>
  <si>
    <t>BUS -FIS CD -TC-CLR-287</t>
  </si>
  <si>
    <t>BUS -FIS CD -TC-CLR-288</t>
  </si>
  <si>
    <t>capability of clearing a futures trade</t>
  </si>
  <si>
    <t>BUS -FIS CD -TC-CLR-289</t>
  </si>
  <si>
    <t>Capability of unmatching a futures trade</t>
  </si>
  <si>
    <t>BUS -FIS CD -TC-CLR-29</t>
  </si>
  <si>
    <t>Split Allocate Full Service Trade</t>
  </si>
  <si>
    <t>BUS -FIS CD -TC-CLR-290</t>
  </si>
  <si>
    <t>Capability of clearing an options trade</t>
  </si>
  <si>
    <t>BUS -FIS CD -TC-CLR-291</t>
  </si>
  <si>
    <t>Capability of unmatching an options trade</t>
  </si>
  <si>
    <t>BUS -FIS CD -TC-CLR-292</t>
  </si>
  <si>
    <t>Capability of booking various LME time codes</t>
  </si>
  <si>
    <t>BUS -FIS CD -TC-CLR-293</t>
  </si>
  <si>
    <t>BUS -FIS CD -TC-CLR-294</t>
  </si>
  <si>
    <t>BUS -FIS CD -TC-CLR-295</t>
  </si>
  <si>
    <t>BUS -FIS CD -TC-CLR-296</t>
  </si>
  <si>
    <t>Capability of booking carry trades</t>
  </si>
  <si>
    <t>BUS -FIS CD -TC-CLR-297</t>
  </si>
  <si>
    <t>Capability of unmatching carry trades</t>
  </si>
  <si>
    <t>BUS -FIS CD -TC-CLR-298</t>
  </si>
  <si>
    <t>Capability of processing SVN on Options</t>
  </si>
  <si>
    <t>BUS -FIS CD -TC-CLR-299</t>
  </si>
  <si>
    <t>Capability of clearing European Style Options</t>
  </si>
  <si>
    <t>BUS -FIS CD -TC-CLR-30</t>
  </si>
  <si>
    <t>Split Allocate Full Service trade to Destination Instruction</t>
  </si>
  <si>
    <t>BUS -FIS CD -TC-CLR-300</t>
  </si>
  <si>
    <t>Capability of unmatching European style Options</t>
  </si>
  <si>
    <t>BUS -FIS CD -TC-CLR-301</t>
  </si>
  <si>
    <t>Capability of clearing American Style Options</t>
  </si>
  <si>
    <t>BUS -FIS CD -TC-CLR-302</t>
  </si>
  <si>
    <t>Capability of unmatching American Style Options</t>
  </si>
  <si>
    <t>BUS -FIS CD -TC-CLR-303</t>
  </si>
  <si>
    <t>Capability of clearing Corporate Actioned Options</t>
  </si>
  <si>
    <t>BUS -FIS CD -TC-CLR-304</t>
  </si>
  <si>
    <t>Capability of unmatching Corporate Actioned Options</t>
  </si>
  <si>
    <t>Clearing - Daily prompt structure on options</t>
  </si>
  <si>
    <t>BUS -FIS CD -TC-CLR-305</t>
  </si>
  <si>
    <t>BUS -FIS CD -TC-CLR-306</t>
  </si>
  <si>
    <t>Clearing - CMTA Trades</t>
  </si>
  <si>
    <t>BUS -FIS CD -TC-CLR-307</t>
  </si>
  <si>
    <t>Clearing - Account level static set ups by Exchange</t>
  </si>
  <si>
    <t>BUS -FIS CD -TC-CLR-309</t>
  </si>
  <si>
    <t>Overdue rules based on the Local Exchange closing time for products for which cut-off is approaching</t>
  </si>
  <si>
    <t>BUS -FIS CD -TC-CLR-31</t>
  </si>
  <si>
    <t>Validate a Give Up trade was accepted</t>
  </si>
  <si>
    <t>BUS -FIS CD -TC-CLR-310</t>
  </si>
  <si>
    <t>Expiring trades not accepted would be flagged intraday</t>
  </si>
  <si>
    <t>BUS -FIS CD -TC-CLR-311</t>
  </si>
  <si>
    <t>BUS -FIS CD -TC-CLR-312</t>
  </si>
  <si>
    <t>Ability to  give up T+ trades in FIS CD</t>
  </si>
  <si>
    <t>BUS -FIS CD -TC-CLR-313</t>
  </si>
  <si>
    <t>Ability to unmatch given up T+ trades in FIS CD</t>
  </si>
  <si>
    <t>BUS -FIS CD -TC-CLR-314</t>
  </si>
  <si>
    <t>Ability to use the Holding account for trades in FIS CD</t>
  </si>
  <si>
    <t>BUS -FIS CD -TC-CLR-315</t>
  </si>
  <si>
    <t>Ability to use the Return account for trades in FIS CD</t>
  </si>
  <si>
    <t>BUS -FIS CD -TC-CLR-316</t>
  </si>
  <si>
    <t xml:space="preserve">Capable of give-in CI trade matching - client file of all give-ins loaded as CI </t>
  </si>
  <si>
    <t>BUS -FIS CD -TC-CLR-319</t>
  </si>
  <si>
    <t xml:space="preserve">Capable of give-in CI split trade matching - client file of all give-ins loaded as CI NEW - test of give-in CI split trade matching - client file of all give-ins loaded as CI </t>
  </si>
  <si>
    <t>BUS -FIS CD -TC-CLR-32</t>
  </si>
  <si>
    <t>Validate a Give Up trade was rejected</t>
  </si>
  <si>
    <t>BUS -FIS CD -TC-CLR-320</t>
  </si>
  <si>
    <t>Ensure that exchange lines from broker feed into FIS CD</t>
  </si>
  <si>
    <t>BUS -FIS CD -TC-CLR-321</t>
  </si>
  <si>
    <t>Capable of clearing Stock Contingent &amp; Stock Contingent Block trades</t>
  </si>
  <si>
    <t>CLEARING</t>
  </si>
  <si>
    <t>BUS -FIS CD -TC-CLR-322</t>
  </si>
  <si>
    <t>BUS -FIS CD -TC-CLR-323</t>
  </si>
  <si>
    <t>BUS -FIS CD -TC-CLR-324</t>
  </si>
  <si>
    <t>BUS -FIS CD -TC-CLR-33</t>
  </si>
  <si>
    <t>Reallocate a Rejected Give Up trade</t>
  </si>
  <si>
    <t>BUS -FIS CD -TC-CLR-34</t>
  </si>
  <si>
    <t>Accept a Give In Trade to a Cleared Account</t>
  </si>
  <si>
    <t>BUS -FIS CD -TC-CLR-35</t>
  </si>
  <si>
    <t>Reject a Give in Trade</t>
  </si>
  <si>
    <t>BUS -FIS CD -TC-CLR-36</t>
  </si>
  <si>
    <t xml:space="preserve">Reject a Give in Trade, wait for firm to resend to pending accept </t>
  </si>
  <si>
    <t>BUS -FIS CD -TC-CLR-37-A</t>
  </si>
  <si>
    <t>Cancel Give Up Using UNMATCH</t>
  </si>
  <si>
    <t>BUS -FIS CD -TC-CLR-37-B</t>
  </si>
  <si>
    <t>Cancel Give Up Using Cancel Button</t>
  </si>
  <si>
    <t>BUS -FIS CD -TC-CLR-38</t>
  </si>
  <si>
    <t>Reallocate Give In using EDIT</t>
  </si>
  <si>
    <t>BUS -FIS CD -TC-CLR-39</t>
  </si>
  <si>
    <t>Reallocate using EDIT to Give Up</t>
  </si>
  <si>
    <t>BUS -FIS CD -TC-CLR-39-B</t>
  </si>
  <si>
    <t>Unmatch and reallocate a FS Trade</t>
  </si>
  <si>
    <t>BUS -FIS CD -TC-CLR-39-D</t>
    <phoneticPr fontId="0"/>
  </si>
  <si>
    <t>BUS -FIS CD -TC-CLR-40</t>
  </si>
  <si>
    <t>Partial Clear Clearing Instruction</t>
  </si>
  <si>
    <t>BUS -FIS CD -TC-CLR-41</t>
  </si>
  <si>
    <t>Partial Clear Exchange Line</t>
  </si>
  <si>
    <t>BUS -FIS CD -TC-CLR-42</t>
  </si>
  <si>
    <t>Split Allocate Trade Into Mixed Accounts</t>
  </si>
  <si>
    <t>BUS -FIS CD -TC-CLR-43</t>
  </si>
  <si>
    <t>Split Allocate Give In Trade</t>
  </si>
  <si>
    <t>BUS -FIS CD -TC-CLR-44-B</t>
  </si>
  <si>
    <t>Confirm Reversal Posted by Opposite Broker on Give In</t>
  </si>
  <si>
    <t>BUS -FIS CD -TC-CLR-45-A</t>
  </si>
  <si>
    <t>Split Allocate Full Service Trade then Unmatch</t>
  </si>
  <si>
    <t>BUS -FIS CD -TC-CLR-45-B</t>
    <phoneticPr fontId="2"/>
  </si>
  <si>
    <t>BUS -FIS CD -TC-CLR-46</t>
  </si>
  <si>
    <t>BUS -FIS CD -TC-CLR-47</t>
  </si>
  <si>
    <t>BUS -FIS CD -TC-CLR-48</t>
  </si>
  <si>
    <t xml:space="preserve">Give Up Claimed and then Re-allocated to another Firm </t>
  </si>
  <si>
    <t>BUS -FIS CD -TC-CLR-49</t>
  </si>
  <si>
    <t>View Clearing Instructions on T+n (Historical) screen</t>
  </si>
  <si>
    <t>1.	Trade Clearing
2.	T+n
3.	You can see some CIs, otherwise you would need to use the Archive to look up T+ CIs that cleared previously</t>
  </si>
  <si>
    <t>BUS -FIS CD -TC-CLR-50</t>
  </si>
  <si>
    <t>View trades on T+n (Historical) screen</t>
  </si>
  <si>
    <t>1. Trade Management
2. Trade Clearing
3. T+n
4. Unmatched, Cleared, Give-ups, etc.</t>
  </si>
  <si>
    <t>BUS -FIS CD -TC-CLR-51</t>
  </si>
  <si>
    <t>BUS -FIS CD -TC-CLR-53</t>
  </si>
  <si>
    <t>Process Trade Using Contingency Procedures</t>
  </si>
  <si>
    <t>BUS -FIS CD -TC-CLR-54</t>
  </si>
  <si>
    <t>BUS -FIS CD -TC-CLR-54-B</t>
  </si>
  <si>
    <t>BUS -FIS CD -TC-CLR-54-C</t>
  </si>
  <si>
    <t>BUS -FIS CD -TC-CLR-55</t>
  </si>
  <si>
    <t>Manual_Register_Trade</t>
  </si>
  <si>
    <t>BUS -FIS CD -TC-CLR-57</t>
  </si>
  <si>
    <t>Clearing Instruction Matching</t>
  </si>
  <si>
    <t>BUS -FIS CD -TC-CLR-57-A</t>
  </si>
  <si>
    <t>Confirm no Full Service trades are stuck in a Matched or Clearing in Progress Status in FIS CD at EOD</t>
  </si>
  <si>
    <t>1. From Hamburger ICON choose Trade Management
2. Trades
3. Trade Clearing
4. Expand Work board view
5. Under Full Service Trades review the 'Clearing In Progress' tile  
6. The Clearing In Progress tile should be CLEAR at the EOD indicating all trades have cleared as expected
7. If any trades are showing as stuck 'Clearing In progress' at the EOD these will need to be investigated and resolved (Contingency Procedures)</t>
  </si>
  <si>
    <t>BUS -FIS CD -TC-CLR-57-B</t>
  </si>
  <si>
    <t>Confirm no Full Service trades are stuck in a Matched Status in FIS CD at EOD</t>
  </si>
  <si>
    <t>1. From Hamburger ICON choose Trade Management
2. Trades
3. Trade Clearing
4. Expand Work board view
5. Under Full Service Trades review the 'MATCHED' tile  
6. The MATCHED tile should be CLEAR at the EOD indicating all trades have cleared as expected
7. If any trades are showing as 'MATCHED' at the EOD these will need to be investigated and resolved (Allocated / Given Up)</t>
  </si>
  <si>
    <t>BUS -FIS CD -TC-CLR-58</t>
  </si>
  <si>
    <t>Single Trade - Single Clearing Instruction - Single Account</t>
  </si>
  <si>
    <t>BUS -FIS CD -TC-CLR-59</t>
  </si>
  <si>
    <t>Single Trade - Single Clearing Instruction - Multiple Accounts</t>
  </si>
  <si>
    <t>BUS -FIS CD -TC-CLR-60</t>
  </si>
  <si>
    <t>Single Trade - Multiple Clearing Instructions</t>
  </si>
  <si>
    <t>BUS -FIS CD -TC-CLR-61</t>
  </si>
  <si>
    <t>Multiple Trade - Single Clearing Instruction - Single Account</t>
  </si>
  <si>
    <t>BUS -FIS CD -TC-CLR-62</t>
  </si>
  <si>
    <t>Multiple Trade - Single Clearing Instruction - Multiple Accounts</t>
  </si>
  <si>
    <t>BUS -FIS CD -TC-CLR-63</t>
  </si>
  <si>
    <t>BUS -FIS CD -TC-CLR-64</t>
  </si>
  <si>
    <t>APS Manual grouping</t>
  </si>
  <si>
    <t>BUS -FIS CD -TC-CLR-65</t>
  </si>
  <si>
    <t>Manually average multiple FS trades to new APS group</t>
  </si>
  <si>
    <t xml:space="preserve">1. Trade Management
2. Unmatched Trade CI/FS
3. Select one trade
4. Select APS Wizard
5. View is sorted by basic economic details and factored by the Exec Account Ref, Sending Firm and Trader
6 Select Multiple trades in the right panel to create group
7. Label Group ID with 5 characters
8. Click Save and send
9.Trade should appear in merged and on the Unmatched tile.   
10. Do not Allocate   </t>
  </si>
  <si>
    <t>BUS -FIS CD -TC-CLR-66</t>
  </si>
  <si>
    <t>Manually average multiple FS trades to existing APS group</t>
  </si>
  <si>
    <t>BUS -FIS CD -TC-CLR-67</t>
  </si>
  <si>
    <t>Manually average multiple Give-in trades to new APS group</t>
  </si>
  <si>
    <t>BUS -FIS CD -TC-CLR-68</t>
  </si>
  <si>
    <t>Manually average multiple Give-in trades to existing APS group</t>
  </si>
  <si>
    <t>BUS -FIS CD -TC-CLR-69</t>
  </si>
  <si>
    <t>Manually average multiple Give-in trades and FS trades</t>
  </si>
  <si>
    <t>BUS -FIS CD -TC-CLR-70</t>
  </si>
  <si>
    <t>BUS -FIS CD -TC-CLR-71</t>
  </si>
  <si>
    <t>BUS -FIS CD -TC-CLR-72</t>
  </si>
  <si>
    <t>BUS -FIS CD -TC-CLR-73</t>
  </si>
  <si>
    <t>BUS -FIS CD -TC-CLR-75</t>
  </si>
  <si>
    <t>1.  Trades are executed with $_x000D_
2.  Check that trades are in APS group at exchange (should happen automatically)_x000D_
3.  Trades should be an aps group in FISCD (should happen automatically)</t>
  </si>
  <si>
    <t>BUS -FIS CD -TC-CLR-76</t>
  </si>
  <si>
    <t>BUS -FIS CD -TC-CLR-77</t>
  </si>
  <si>
    <t>BUS -FIS CD -TC-CLR-78</t>
  </si>
  <si>
    <t>Clearing GUI_APS_Give-in_Clear</t>
  </si>
  <si>
    <t>BUS -FIS CD -TC-CLR-79</t>
  </si>
  <si>
    <t>Clearing GUI_APS_Residual</t>
  </si>
  <si>
    <t>BUS -FIS CD -TC-CLR-80</t>
  </si>
  <si>
    <t>Clearing GUI_APS_AveragePrice</t>
  </si>
  <si>
    <t>BUS -FIS CD -TC-CLR-81</t>
  </si>
  <si>
    <t>BUS -FIS CD -TC-CLR-82</t>
  </si>
  <si>
    <t>1.  Go to The exchange- www.loginnr.cmegroup.com_x000D_
2.  Go to Trades_x000D_
3.  Select Traded As: Spread_x000D_
4. Narrow search contract (BR)_x000D_
5. Select Trades in the same Spread _x000D_
6. Select all and input Alloc Type- AG_x000D_
7. Input Avg Px Grp ID- FECAPS_x000D_
8. Select Update_x000D_
9. Go to Search Type: Allocation Groups- enter_x000D_
10. Confirm all of your APS groups were created _x000D_
11. Check Trade/CI Unmatched to find the trades marked with group indicator A_x000D_
12. Allocate on FISCD or FEC the trades will be in the GI screen before final acceptance</t>
  </si>
  <si>
    <t>BUS -FIS CD -TC-CLR-83</t>
  </si>
  <si>
    <t xml:space="preserve">1.Go to Trades/CI Unmatched _x000D_
2.Select 1 trade_x000D_
3.Select APS Wizard_x000D_
4.Check the NAVP Box_x000D_
5.Select all trades to add to your NVAP Group_x000D_
6.Create Group ID Name (ALL CAPS &amp; 6 Characters or less)_x000D_
7.Select Save and Send (to CCP)_x000D_
8.Review confirmation box with notional value and select OK_x000D_
9.Go to Trade/CI Unmatched_x000D_
10.Select NAVP trade (Group Indicator N)_x000D_
</t>
  </si>
  <si>
    <t>BUS -FIS CD -TC-CLR-84</t>
  </si>
  <si>
    <t xml:space="preserve">1.	Go to Trade/CI Unmatched_x000D_
2.	Select 1 trade_x000D_
3.	Select APS Wizard_x000D_
4.	Check the NAVP Box_x000D_
5.	Select all trades to add to your NVAP Group_x000D_
6.	Create Group ID Name  (ALL CAPS &amp; 6 Characters or less)_x000D_
7.	Select Save and Send (to CCP)_x000D_
8.     Review confirmation box with notional value and select OK_x000D_
</t>
  </si>
  <si>
    <t>BUS -FIS CD -TC-CLR-85</t>
  </si>
  <si>
    <t xml:space="preserve">1.Go to Trade/CI Unmatched_x000D_
2.Select 1 trade_x000D_
3.Select APS Wizard_x000D_
4.Check the NAVP Box_x000D_
5.Select all trades to add to your NVAP Group_x000D_
6.Create Group ID Name (ALL CAPS &amp; 6 Characters or less)_x000D_
7.Select Save and Send (to CCP)_x000D_
8.Review confirmation box with notional value and select OK_x000D_
9. Go to _x000D_
</t>
  </si>
  <si>
    <t>BUS -FIS CD -TC-CLR-86</t>
  </si>
  <si>
    <t xml:space="preserve">1.Go to Give-In Pending _x000D_
2.Select 1 trade_x000D_
3.Select APS Wizard_x000D_
4.Check the NAVP Box_x000D_
5.Select all trades to add to your NVAP Group_x000D_
6.Create Group ID Name (ALL CAPS &amp; 6 Characters or less)_x000D_
7.Select Save and Send (to CCP)_x000D_
8.Review confirmation box with notional value and select OK_x000D_
9.Go to Trade/CI Unmatched_x000D_
10.Select NAVP trade (Group Indicator N)_x000D_
</t>
  </si>
  <si>
    <t>BUS -FIS CD -TC-CLR-87</t>
  </si>
  <si>
    <t>BUS -FIS CD -TC-CLR-88</t>
  </si>
  <si>
    <t>n/a</t>
  </si>
  <si>
    <t>BUS -FIS CD -TC-CLR-89</t>
  </si>
  <si>
    <t>BUS -FIS CD -TC-CLR-90</t>
  </si>
  <si>
    <t>BUS -FIS CD -TC-CLR-91</t>
  </si>
  <si>
    <t>BUS -FIS CD -TC-CLR-92</t>
  </si>
  <si>
    <t>BUS -FIS CD -TC-CLR-93</t>
  </si>
  <si>
    <t>BUS -FIS CD -TC-CLR-94</t>
  </si>
  <si>
    <t>BUS -FIS CD -TC-CLR-95</t>
  </si>
  <si>
    <t>BUS -FIS CD -TC-CLR-96</t>
  </si>
  <si>
    <t>1.	Go to GI pending 
2.	Select NAVP Trade
3.	Select reject</t>
  </si>
  <si>
    <t>BUS -FIS CD -TC-CLR-97</t>
  </si>
  <si>
    <t>BUS -FIS CD -TC-CLR-98</t>
  </si>
  <si>
    <t>1.	Go to unmatched
2.	Select NAVP Trade
3.	Select split
4.	Enter qty 
5.	Enter destination instruction
6.	Select apply.
7.	Repeat steps 
8.	Save.</t>
  </si>
  <si>
    <t>BUS -FIS CD -TC-CLR-99</t>
  </si>
  <si>
    <t>BUS -FIS CD -TC-DIR-01</t>
  </si>
  <si>
    <t>DIRECT FLOW</t>
  </si>
  <si>
    <t>BUS -FIS CD -TC-SA-01-A</t>
  </si>
  <si>
    <t>1. Log into FIS CD                                                                                                      2. Check to  ensure the Clearing Profile can perform all Clearing actions                                                                                                                            3. From Left Hand Hamburger Menu In Reporting there should be access to: Client Reporting, Regulatory Reporting (Not Used) - Write Access                                                                                                                                                4. From Left Hand Hamburger Menu In Referential there should be access to : Entities, Manage Accounts, Rules, Instruments, Other Referential Screens - Read Access                                                                                                                           5. From Left Hand Hamburger menu in Administration there should be access to: Users &amp; Rights, Clearing Admin - Read Access                                                                               6. From Left Hand Hamburger menu in FIS Admin there should be access to: FIS Other  - Read Access                                                                                              7. From Left Hand Hamburger Menu In Trade Management there should be access to : Trades, Clearing Management, Clearing Set Up - Write Access                                                                                                                                          8. Confirm Clearing Profile cannot update any Static Data in Referential screens</t>
  </si>
  <si>
    <t>Securities</t>
  </si>
  <si>
    <t xml:space="preserve">SECURITIES </t>
  </si>
  <si>
    <t>BUS -FIS CD -TC-SA-01-B</t>
  </si>
  <si>
    <t>Test the ability to combine Static &amp; Clearing functions based on combined Static &amp; Clearing Profile role. This profile should allow both clearing related actions and write access to Static related screens</t>
  </si>
  <si>
    <t xml:space="preserve">1. Log into FIS CD                                                                                                      2. Check to  ensure the combined Clearing &amp; Static Profile can perform all Clearing and Static actions                                                                                                                           3. From Left Hand Hamburger Menu In Reporting there should be access to: Client Reporting, Regulatory Reporting (Not Used) - Write Access                                                                                                                                            4. From Left Hand Hamburger Menu In Referential there should be access to : Entities, Manage Accounts, Rules, Instruments, Other Referential Screens - Write Access                                                                                                                           5. From Left Hand Hamburger menu in Administration there should be access to: Users &amp; Rights, Clearing Admin - Write Access                                                                               6. From Left Hand Hamburger menu in FIS Admin there should be access to: FIS Other  - Write Access                                                                                              7. From Left Hand Hamburger Menu In Trade Management there should be access to : Trades, Clearing Management, Clearing Set Up -Write Access                                                                                                        </t>
  </si>
  <si>
    <t>BUS -FIS CD -TC-SA-01-C</t>
  </si>
  <si>
    <t>Test the ability to segregate Static Data functions based on Static Data Profile role</t>
  </si>
  <si>
    <t>1. Log into FIS CD                                                                                                      2. Check to  ensure the Static Profile can perform all Static actions - add matching sets, and rules and static                                                                                                                           3. From Left Hand Hamburger Menu In Reporting there should be access to: Client Reporting, Regulatory Reporting (Not Used) - Write Access                                                                                                                                            4. From Left Hand Hamburger Menu In Referential there should be access to : Entities, Manage Accounts, Rules, Instruments, Other Referential Screens - Write Access                                                                                                                           5. From Left Hand Hamburger menu in Administration there should be access to: Users &amp; Rights, Clearing Admin - Write Access                                                                               6. From Left Hand Hamburger menu in FIS Admin there should be access to: FIS Other  - Write Access                                                                                              7. From Left Hand Hamburger Menu In Trade Management there should be access to : Trades, Clearing Management, Clearing Set Up - Read Access                                                                                                        8. Confirm Static Profile cannot clear any trades within Trade Management Screens</t>
  </si>
  <si>
    <t>Test to ensure that contract static can be added in the Clearing GUI successfully</t>
  </si>
  <si>
    <t>NON E2E STATIC</t>
  </si>
  <si>
    <t>Static</t>
  </si>
  <si>
    <t>Static Data - Members</t>
  </si>
  <si>
    <t>BUS -FIS CD -TC-SD-04</t>
  </si>
  <si>
    <t>Static Data - Market</t>
  </si>
  <si>
    <t>BUS -FIS CD -TC-SD-05</t>
  </si>
  <si>
    <t>Test to ensure that market details can be maintained in the Clearing GUI</t>
  </si>
  <si>
    <t>Static Data - Sources</t>
  </si>
  <si>
    <t>BUS -FIS CD -TC-SD-06</t>
  </si>
  <si>
    <t>Test to ensure that sources can be added in the Clearing GUI successfully</t>
  </si>
  <si>
    <t>BUS -FIS CD -TC-SD-07</t>
  </si>
  <si>
    <t>Static Data - Updating Matching Criteria by specific accounts</t>
  </si>
  <si>
    <t>Test to apply matching criteria restrictions at account level</t>
  </si>
  <si>
    <t>Static Data - Auto add contracts</t>
  </si>
  <si>
    <t>BUS -FIS CD -TC-SD-08</t>
  </si>
  <si>
    <t>Test to ensure contracts are being automatically added into the contract list</t>
  </si>
  <si>
    <t>1.  All new contracts should be automatically fed into the system
2.  If you receive a task to add new contract-that is a defect
3. You may get a task regarding Contract is not back office ready
4. You may get a task regarding Contract alias is not defined
5. These are expected - not a defect</t>
  </si>
  <si>
    <t>Static Data - MOS account</t>
  </si>
  <si>
    <t>BUS -FIS CD -TC-SD-09-A</t>
  </si>
  <si>
    <t>The ability to setup and maintain MOS account and use accounts to move the trades to MOS system</t>
  </si>
  <si>
    <t xml:space="preserve">MOS </t>
  </si>
  <si>
    <t>BUS -FIS CD -TC-SD-09-B</t>
  </si>
  <si>
    <t>The ability to setup and maintain APS account and use account to move the trades to APS system.</t>
  </si>
  <si>
    <t>UI-STATIC</t>
  </si>
  <si>
    <t>BUS -FIS CD -TC-SD-09-C</t>
  </si>
  <si>
    <t>The ability to setup and maintain MOS account, APS account and NVAP account and use these accounts to move the trades to MOS system, APS system and NVAP system.</t>
  </si>
  <si>
    <t>BUS -FIS CD -TC-SD-10</t>
  </si>
  <si>
    <t xml:space="preserve">The ability to setup and maintain Mark as Give-up account and use it to move the trade to Give-up system. </t>
  </si>
  <si>
    <t>SELF GU</t>
  </si>
  <si>
    <t>BUS -FIS CD -TC-SD-12- A</t>
  </si>
  <si>
    <t>Static Data - Add Client Account</t>
  </si>
  <si>
    <t>The ability to add a BCI client account in the Clearing Gui</t>
  </si>
  <si>
    <t>Account</t>
  </si>
  <si>
    <t>BUS -FIS CD -TC-SD-12- B</t>
  </si>
  <si>
    <t>Static Data - Update Client Account</t>
  </si>
  <si>
    <t>The ability to update an existing client account in the Clearing GUI</t>
  </si>
  <si>
    <t xml:space="preserve">1. Go to Upper left hand corner                                                                             2. Select the hamburger menu                                                                                        3. Type in "Accounts" in the search bar                                                                  4. Select one account                                                                                                 5. Select Edit at the bottom of the screen and update one field                                                                                      6. Hit Save button                                                                                                              7. Account should now have updated information                                                                                                           </t>
  </si>
  <si>
    <t>BUS -FIS CD -TC-SD-12- C</t>
  </si>
  <si>
    <t>Static Data - Deactivate Account</t>
  </si>
  <si>
    <t>The ability to deactivate a client account in the Clearing GUI</t>
  </si>
  <si>
    <t>1. Go to Upper left hand corner                                                                                     2. Select the hamburger menu                                                                                     3. Type in "Accounts" in the search bar                                                                     4. Select one account                                                                                                                   5. Select Deactivate at the bottom of the screen                                                                                     6. Confirm 'Yes'                                                                                                                                 7. Account should now no longer be visible                                                                                                                                  **Note: you will not be able to delete / deactivate an account that has cleared trades with positions.</t>
  </si>
  <si>
    <t>BUS -FIS CD -TC-SD-12- D</t>
  </si>
  <si>
    <t>Static Data - Add Destination Instruction</t>
  </si>
  <si>
    <t>The ability to add a destination instruction (Execution Only account) in the Clearing GUI</t>
  </si>
  <si>
    <t>BUS -FIS CD -TC-SD-12- E</t>
  </si>
  <si>
    <t>Static Data - Update Destination Instruction</t>
  </si>
  <si>
    <t>The ability to update an existing destination instruction (Execution Only account) in the Clearing GUI</t>
  </si>
  <si>
    <t>BUS -FIS CD -TC-SD-12- F</t>
  </si>
  <si>
    <t>The ability to delete a destination instruction (Execution Only account) in the Clearing GUI</t>
  </si>
  <si>
    <t>BUS -FIS CD -TC-SD-12- G</t>
  </si>
  <si>
    <t>Validate that there is a Full Audit Trail on Destination Instructions within the clearing GUI</t>
  </si>
  <si>
    <t>1. Hamburger ICON                                               
2. Trade management
3. Destination Instructions
4. Click on Search on left hand column
5. In Left hand Panel input the account you want to review in name Field and hit Apply button
6. The destination instruction should appear in the right hand panel
7. Highlight the Destination Instruction in right hand panel and click View Audit Trail Button                                                       8. Audit Trail Should be available on Properties and Aliases Tab                       9. Click on Alias Tab                                                              10. Audit Trail should show the User, Action, Date and Alias details</t>
  </si>
  <si>
    <t>BUS -FIS CD -TC-SD-12- H</t>
  </si>
  <si>
    <t>Validate that there is a Full Audit Trail on Accounts within the clearing GUI</t>
  </si>
  <si>
    <t>BUS -FIS CD -TC-SD-13-A</t>
  </si>
  <si>
    <t>The ability to add an account synonymous in the Clearing GUI</t>
  </si>
  <si>
    <t>BUS -FIS CD -TC-SD-13-B</t>
  </si>
  <si>
    <t>The ability to update an existing account synonymous in the Clearing GUI</t>
  </si>
  <si>
    <t>BUS -FIS CD -TC-SD-13-C</t>
  </si>
  <si>
    <t>The ability to delete an account synonymous in the Clearing GUI</t>
  </si>
  <si>
    <t>1.	Referential
2.	Accounts             
3.	Search left panel
4.	Account Identifier 
a.	3WL-40051
5.	Select Edit
6.	Go to Aliases
7. Choose Extended System- CV_IN
8.	Code-MCIFMA
9.	Select Delete MCIFMA
10.	Save the account</t>
  </si>
  <si>
    <t>BUS -FIS CD -TC-SD-14-A</t>
  </si>
  <si>
    <t>The ability to add a contract in the Clearing GUI</t>
  </si>
  <si>
    <t>BUS -FIS CD -TC-SD-14-B</t>
  </si>
  <si>
    <t>The ability to update an existing contract in the Clearing GUI</t>
  </si>
  <si>
    <t>1.	Referential 
2.	ETD Instruments
a.	Exchange IFUS
3.	Select a Clearing Code to edit
a.	TEST 
4.	Will be able to edit from the maturity screen on Right Panel.
5.	Add the Maturity- Jan 20
6.	Save
7.	Updated the Contract by adding a new Maturity</t>
  </si>
  <si>
    <t>BUS -FIS CD -TC-SD-14-C</t>
  </si>
  <si>
    <t>The ability to delete a contract from the Clearing GUI</t>
  </si>
  <si>
    <t>1.	Referential 
2.	ETD Instruments
3.	Select a Clearing Code to delete
a.	TEST
4.	Must Delete all Maturity Dates first
a.	Sep19
b.	Dec19
5.	Select Delete at the bottom of the screen
6.	once all are deleted you can delete the contract 
7.	Cannot delete any contracts with cleared trades.</t>
  </si>
  <si>
    <t>BUS -FIS CD -TC-SD-15-A</t>
  </si>
  <si>
    <t>The ability to add a contract synonymous in the Clearing GUI</t>
  </si>
  <si>
    <t>BUS -FIS CD -TC-SD-15-B</t>
  </si>
  <si>
    <t>The ability to update an existing contract synonymous in the Clearing GUI</t>
  </si>
  <si>
    <t>BUS -FIS CD -TC-SD-15-C</t>
  </si>
  <si>
    <t>The ability to delete a contract synonymous from the Clearing GUI</t>
  </si>
  <si>
    <t>BUS -FIS CD -TC-SD-16-A</t>
  </si>
  <si>
    <t>The ability to add a new Member in the Clearing GUI</t>
  </si>
  <si>
    <t>BUS -FIS CD -TC-SD-16-B</t>
  </si>
  <si>
    <t>Static Data- Update Member</t>
  </si>
  <si>
    <t>The ability to update an existing Member in the Clearing GUI</t>
  </si>
  <si>
    <t>Static Data- Delete Member</t>
  </si>
  <si>
    <t>BUS -FIS CD -TC-SD-16-C</t>
  </si>
  <si>
    <t>The ability to delete a Member in the Clearing GUI</t>
  </si>
  <si>
    <t>BUS -FIS CD -TC-SD-17-A</t>
  </si>
  <si>
    <t>The ability to add a Member synonymous in the Clearing GUI</t>
  </si>
  <si>
    <t>BUS -FIS CD -TC-SD-17-B</t>
  </si>
  <si>
    <t>The ability to update an existing Member synonymous in the Clearing GUI</t>
  </si>
  <si>
    <t>BUS -FIS CD -TC-SD-17-C</t>
  </si>
  <si>
    <t>The ability to delete a Member synonymous in the Clearing GUI</t>
  </si>
  <si>
    <t>BUS -FIS CD -TC-SD-18-A</t>
  </si>
  <si>
    <t>Static Data - Add XGM</t>
  </si>
  <si>
    <t>The ability to add an XGM in the Clearing GUI</t>
  </si>
  <si>
    <t>BUS -FIS CD -TC-SD-18-B</t>
  </si>
  <si>
    <t>Static Data - Update XGM</t>
  </si>
  <si>
    <t>The ability to update an existing XGM in the Clearing GUI</t>
  </si>
  <si>
    <t>BUS -FIS CD -TC-SD-18-C</t>
  </si>
  <si>
    <t>Static Data - Delete XGM</t>
  </si>
  <si>
    <t>The ability to delete an XGM in the Clearing GUI</t>
  </si>
  <si>
    <t>Delete Result
Cannot delete any members with cleared trades.
1. Referential
2. Legal Entities
3. XGM
4. Select Delete</t>
  </si>
  <si>
    <t>BUS -FIS CD -TC-SD-19-A</t>
  </si>
  <si>
    <t>The ability to add a trade type in the Clearing GUI</t>
  </si>
  <si>
    <t>Trade Type</t>
  </si>
  <si>
    <t>BUS -FIS CD -TC-SD-19-B</t>
  </si>
  <si>
    <t>The ability to update an existing trade type in the Clearing GUI</t>
  </si>
  <si>
    <t>BUS -FIS CD -TC-SD-19-C</t>
  </si>
  <si>
    <t>The ability to delete a trade type in the Clearing GUI</t>
  </si>
  <si>
    <t>BUS -FIS CD -TC-SD-20-A</t>
  </si>
  <si>
    <t>The ability to add Sources and synonymous to sources in the Clearing GUI</t>
  </si>
  <si>
    <t>1. Referential
2. Source System
3. New
4. Name = Test
5. Description = Test
6. System Type = In
7. Save
8. Select Setup
9. View 
10. Close</t>
  </si>
  <si>
    <t>BUS -FIS CD -TC-SD-20-B</t>
  </si>
  <si>
    <t>The ability to update Sources and synonymous to sources in the Clearing GUI</t>
  </si>
  <si>
    <t>1. Referential
2. Source System
3. Edit - Change the Name 
4. Save</t>
  </si>
  <si>
    <t>BUS -FIS CD -TC-SD-20-C</t>
  </si>
  <si>
    <t>The ability to delete Sources and synonymous to sources in the Clearing GUI</t>
  </si>
  <si>
    <t>BUS -FIS CD -TC-SD-21</t>
  </si>
  <si>
    <t>The ability to filter data in static data window based on different filter / selection criteria's</t>
  </si>
  <si>
    <t>1. Referential
2. ETD Instruments
3. Option
4. You can also filter by Market(first blank) and third blank (contract)</t>
  </si>
  <si>
    <t>BUS -FIS CD -TC-SD-22-A</t>
  </si>
  <si>
    <t xml:space="preserve">Test the bulk upload of new Accounts into the Clearing Gui via file importing </t>
  </si>
  <si>
    <t>BUS -FIS CD -TC-SD-22-A1</t>
  </si>
  <si>
    <t>Static Data - Bulk Static Insert - Destination Instructions - Import File</t>
  </si>
  <si>
    <t>Test the bulk upload of new Destination Instructions into the Clearing Gui via Import File</t>
  </si>
  <si>
    <t>BUS -FIS CD -TC-SD-22-A2</t>
  </si>
  <si>
    <t>BUS -FIS CD -TC-SD-22-A3</t>
  </si>
  <si>
    <t>Test the bulk upload of new Accounts into the Clearing Gui via paste from clipboard</t>
  </si>
  <si>
    <t>BUS -FIS CD -TC-SD-22-A4</t>
  </si>
  <si>
    <t>Static Data - Bulk Static Insert - Destination Instructions - Paste from Clipboard</t>
  </si>
  <si>
    <t>Test the bulk upload of new Destination Instructions into the Clearing Gui via Paste from Clipboard</t>
  </si>
  <si>
    <t>BUS -FIS CD -TC-SD-22-A5</t>
  </si>
  <si>
    <t>STATIC</t>
  </si>
  <si>
    <t>BUS -FIS CD -TC-SD-22-B</t>
  </si>
  <si>
    <t xml:space="preserve">Ability to select set of static data and Bulk deactivate an existing set of Accounts </t>
  </si>
  <si>
    <t>1. From Hamburger Menu choose Referential                                                                          
2. Then click on Accounts
3. Click on hamburger Icon in Middle panel to ensure 'Active' accounts are chosen
4. Click on Search in left hand corner to expand the left hand filter column
5. You can filter on 'Account owner' to reduce the accounts you are looking at to perform the Bulk deactivation
6. Once filtered on Account owner highlight the accounts in the middle panel you want to deactivate
7. The Deactivate button should now be available to choose                                                                   
 8. Click on Deactivate button                                                        
 9. A pop up message will appear and you can click 'Yes' to proceed                                       
10. A message will appear confirming accounts have been deactivated and the accounts will disappear from the 'Active' accounts view                                                             
11. Change filter view in middle panel to show 'Inactive' accounts                                                          
12. The accounts should appear under this view                                                                    
13. You can add the 'Status' column from the right hand column chooser and this will also show Status as 'INACTIVE'                                                              
 ****** If you want to reverse what you did you can highlight the accounts and hit the activate button which will make the accounts active again</t>
  </si>
  <si>
    <t>BUS -FIS CD -TC-SD-22-B1</t>
  </si>
  <si>
    <t xml:space="preserve">Static Data - Bulk Static Deactivate - Destination instructions
</t>
  </si>
  <si>
    <t>Ability to select set of static data and Bulk deactivate an existing set of Destination Instructions</t>
  </si>
  <si>
    <t>BUS -FIS CD -TC-SD-22-B2</t>
  </si>
  <si>
    <t>BUS -FIS CD -TC-SD-22-C</t>
  </si>
  <si>
    <t>Ability to bulk update a select set of static data for accounts ( e.g. - bulk update of clearing member for an existing set of accounts)</t>
  </si>
  <si>
    <t xml:space="preserve">1. From Hamburger Menu choose Referential                                                                          2. Then click on Accounts
3. Click on hamburger Icon in Middle panel to ensure 'Active' accounts are chosen
4. Click on Search in left hand corner to expand the left hand filter column
5. You can filter on 'Account owner' to reduce the accounts you are looking at to perform the Bulk Update
6. Once filtered on Account owner highlight the accounts in the middle panel you want to Bulk Update
7. The Bulk Update button should now be available to choose, click on button                                                                    8. A window will open showing fields that can be updated                                                         9. Click on field you want to update i.e. 'Clearing Account Ref'                                      and populate Reference you want to Bulk Update and then click Ok
10. A pop up box will appear and you will need to click Yes to proceed                                                           11. A message will appear to confirm updates have been applied                                                         12. Refresh screen                                                                 13. Updates will now be viewable within the middle panel                                                                  </t>
  </si>
  <si>
    <t>BUS -FIS CD -TC-SD-22-C1</t>
  </si>
  <si>
    <t>Static data - Bulk Static Update - Destination Instructions</t>
  </si>
  <si>
    <t>Ability to bulk update a select set of static data for Destination Instructions ( e.g. - bulk update of Destination Firm for an existing set of destination instructions)</t>
  </si>
  <si>
    <t xml:space="preserve">1. From Hamburger Menu choose Trade Management                                                                          2. Then click on Destination Instructions
3. Click on hamburger Icon in Middle panel to ensure 'Active' accounts are chosen
4. Click on Search in left hand corner to expand the left hand filter column
5. You can filter on columns such as 'Name' or 'Description' to reduce the Destination Instructions you are looking at to perform the Bulk Update
6. Once filtered highlight the Destination Instructions in the middle panel you want to Bulk Update
7. The Bulk Update button should now be available to choose, click on button                                                                    8. A window will open showing fields that can be updated                                                         9. Click on field you want to update i.e. 'Change Destination Firm' and populate the name of the Destination Firm you want to Bulk Update and then click Ok
10. A pop up box will appear and you will need to click Yes to proceed                                                             11. A message will appear to confirm updates have been applied                                                         12. Refresh screen                                                                 13. Updates will now be viewable within the middle panel                                                                  </t>
  </si>
  <si>
    <t>BUS -FIS CD -TC-SD-22-C2</t>
  </si>
  <si>
    <t>Static Data - Rule based splits</t>
  </si>
  <si>
    <t>BUS -FIS CD -TC-SD-23</t>
  </si>
  <si>
    <t>Test to create and maintain rules to split the trades. Test to create rules based on quantity or percentage</t>
  </si>
  <si>
    <t>BUS -FIS CD -TC-SD-24</t>
  </si>
  <si>
    <t>Static Data - Missing back office mappings</t>
  </si>
  <si>
    <t>BUS -FIS CD -TC-SD-25</t>
  </si>
  <si>
    <t>BUS -FIS CD -TC-SD-26</t>
  </si>
  <si>
    <t>Static Check</t>
  </si>
  <si>
    <t>BUS -FIS CD -TC-SD-27</t>
  </si>
  <si>
    <t>Exporting Static Tasks into Excel</t>
  </si>
  <si>
    <t>The ability to export outstanding Tasks into Excel for viewing</t>
  </si>
  <si>
    <t>1. Login
2. Click on 'Tasks' in top right hand corner of screen
3. Individual 'Tasks' will now be loaded and displayed in the Gui Panel
4. Check the counter in the 'Tasks' screen equals the counter in the top right of the system
5. Click Hamburger
6. Export to CSV
7. Open excel File generated in bottom left hand corner                                                           8. Validate total Task lines in CSV equal Total tasks shown in the Task screen and the 'Tasks' total in the top right of the system</t>
  </si>
  <si>
    <t>BUS -FIS CD -TC-SD-27-A</t>
  </si>
  <si>
    <t>Viewing and resolution of Static Data Tasks within the Gui</t>
  </si>
  <si>
    <t>The ability to resolve outstanding Tasks in the Tasks screen</t>
  </si>
  <si>
    <t>1. Trade Management                                                
2. Trade Clearing
3. Under Trade / CI Unmatched click on Tasks
4. Check the counter in the 'Tasks' screen equals the number of tasks under the Trade / CI Unmatched Counter
5. Highlight 'Static' task you wish to resolve
6. At the bottom of the panel you will be given options of how to resolve the Task
7. Click on the appropriate option required to resolve the task                                                                                                                          8. Confirmation will appear of 'Action Completed'                                                             9. Hit the refresh button on Top right next to task counter in the screen                                                                                                                                             10. If the Static task has been resolved by the corrective action then the counter will drop by that number</t>
  </si>
  <si>
    <t>BUS -FIS CD -TC-TCG-01</t>
  </si>
  <si>
    <t>TCG__Filters</t>
  </si>
  <si>
    <t>Test to ensure that trades can be filtered based on a specific column criteria</t>
  </si>
  <si>
    <t>BUS -FIS CD -TC-TCG-02</t>
  </si>
  <si>
    <t>TCG__Export_trade_data</t>
  </si>
  <si>
    <t>Test to ensure that trade related data in the clearing GUI can be exported into a CSV file</t>
  </si>
  <si>
    <t>1. Trade Management
2. Trade Clearing
3. Trade/CI - Unmatched Tile
4. Choose which trades you want to export
5. In middle panel, click hamburger
6. Export to CSV
7. Open File</t>
  </si>
  <si>
    <t>BUS -FIS CD -TC-TCG-04</t>
  </si>
  <si>
    <t>TCG__Views</t>
  </si>
  <si>
    <t>Test to ensure that different screen views can be created, edited and saved in the UI</t>
  </si>
  <si>
    <t>1. Trade Management
2. Trade Clearing
3. Workboard Configuration
4. Workboard Definition
5. Name = Test
6. Monitored Type = Select Any
7. Slow 1 = Select Pre-existing
8. Available Workflow - Select Any</t>
  </si>
  <si>
    <t>BUS -FIS CD -TC-TCG-04A</t>
  </si>
  <si>
    <t>Overdue - Trades Clearing In progress for 5+ mins</t>
  </si>
  <si>
    <t>Users will be notified in the UI of any potential risk with trades clearing in progress for more than 5 mins.</t>
  </si>
  <si>
    <t>BUS -FIS CD -TC-TCG-04B</t>
  </si>
  <si>
    <t>Overdue - Clearing Instructions Partially Matched for more than 30 mins</t>
  </si>
  <si>
    <t>Users will be notified in the UI of any potential risk with Partially matched clearing instructions for more than 30 mins</t>
  </si>
  <si>
    <t>BUS -FIS CD -TC-TCG-05</t>
  </si>
  <si>
    <t>TCG__Change_Font_Size</t>
  </si>
  <si>
    <t>Test to ensure that the font size of the orders/tickets can be changed</t>
  </si>
  <si>
    <t>1. Users can use the setting on chrome to change the font of the FIS CD website</t>
  </si>
  <si>
    <t>BUS -FIS CD -TC-TCG-06</t>
  </si>
  <si>
    <t>TCG__View_User_Guide</t>
  </si>
  <si>
    <t>Test to ensure that the Clearing user guide can be accessible from the clearing GUI</t>
  </si>
  <si>
    <t>Task Counter - View tasks within screen and validate back to counter summary</t>
  </si>
  <si>
    <t>Task counter summary should be accurate and tie back to the number of tasks in the UI</t>
  </si>
  <si>
    <t xml:space="preserve">1. Login
2. Click on 'Tasks' in top right hand corner of screen
3. Individual 'Tasks' will now be loaded and displayed in the Gui Panel
4. Check the counter in the 'Tasks' screen equals the counter in the top right of the system
</t>
  </si>
  <si>
    <t>Notification Counter - View Notifications within screen and validate back to counter summary</t>
  </si>
  <si>
    <t>Notification counter summary should be accurate and tie back to the number of Notifications in the UI</t>
  </si>
  <si>
    <t xml:space="preserve">1. Login
2. Click on 'Notifications' in top right hand corner of screen
3. Individual 'Notifications' will now be loaded and displayed in the Gui Panel
4. Check the counter in the 'Notifications' screen equals the counter in the top right of the system
</t>
  </si>
  <si>
    <t>FIS CD Counters - T+n Screen</t>
  </si>
  <si>
    <t>All FIS CD T+n counters should show accurate totals and tie back to the underlying data in the Middle panels</t>
  </si>
  <si>
    <t>BUS -FIS CD -TC-CLR-325</t>
  </si>
  <si>
    <t>BUS -FIS CD -TC-CLR-326</t>
  </si>
  <si>
    <t>BUS -FIS CD -TC-CLR-327</t>
  </si>
  <si>
    <t>BUS -FIS CD -TC-CLR-27-B</t>
  </si>
  <si>
    <t>Allocate Functionality - Bulk allocate multiple trades to one house account</t>
  </si>
  <si>
    <t>BUS -FIS CD -TC-CLR-27-C</t>
  </si>
  <si>
    <t>BUS -FIS CD -TC-CLR-45-D</t>
    <phoneticPr fontId="2"/>
  </si>
  <si>
    <t>BUS -FIS CD -TC-CLR-45-E</t>
    <phoneticPr fontId="2"/>
  </si>
  <si>
    <t>Support ability to allocate trades using account Alias: change allocation panel</t>
  </si>
  <si>
    <t>Support ability to allocate trades using account Alias: change split screen</t>
  </si>
  <si>
    <t>Ability to block/unblock clearing via Clearing instruction - Block Matching</t>
  </si>
  <si>
    <t>Ability to block/unblock clearing via Clearing instruction UI part</t>
  </si>
  <si>
    <t>Ability to block/unblock clearing via Clearing instruction - Split CI</t>
  </si>
  <si>
    <t xml:space="preserve">Block/Unblock of clearing instructions 
 User can now Block/Unblock the clearing instruction from middle panel screen using Block/Unblock button. </t>
  </si>
  <si>
    <t>On pasting split legs, aggregate legs having the same account</t>
  </si>
  <si>
    <t xml:space="preserve"> Bulk update of account/give up details on unmatched clearing instructions</t>
  </si>
  <si>
    <t>As a middle office user I want to change the account or give up details of many unmatched clearing instructions at the same time</t>
  </si>
  <si>
    <t>User need to open the split screen from the trade/ci tile and the trade tile, after selecting many trades 
The total quantity in the split screen would be set to the sum of the quantities of the selected trades</t>
  </si>
  <si>
    <t>NO</t>
  </si>
  <si>
    <t>Prevent an allocation strategy to be used with deactivated di/account</t>
  </si>
  <si>
    <t>An allocation strategy that uses a deactivated di or a deactivated account should never be used to allocate a trade</t>
  </si>
  <si>
    <t>Support for Comment field on clearing instruction</t>
  </si>
  <si>
    <t>NCM trades - Processing of give-ins</t>
  </si>
  <si>
    <t>Bulk re-instate multiple cancelled tasks that have been cancelled</t>
  </si>
  <si>
    <t>Ability to import "Commission Description" and "Comment" on Split legs, and see them in table</t>
  </si>
  <si>
    <t>BMEX</t>
  </si>
  <si>
    <t>XLOD</t>
  </si>
  <si>
    <t>Create a new legal entity with the role Trading Entity and add the relationship "is registered" to ECAG (Registered Customer).  Such members are registered directly at CCP and can move their positions from defaulted clearing member to another one.</t>
  </si>
  <si>
    <t>Add split legs to partially matched Group CI.</t>
  </si>
  <si>
    <t>Performing an APS of more than 1000 trades</t>
  </si>
  <si>
    <t>FCD must support the rejection of the demerge by the CCP</t>
  </si>
  <si>
    <t>Users would like to search accounts using Description</t>
  </si>
  <si>
    <t>Matching Criteria to restrict auto matching of CI allocated to holding account</t>
  </si>
  <si>
    <t>Adding the possibility for users to bulk re-open/reinstate tasks that have been canceled by mistake.</t>
  </si>
  <si>
    <t xml:space="preserve"> APS Demerge Operation </t>
  </si>
  <si>
    <t>One Step APS operation- Merging</t>
  </si>
  <si>
    <t>Splitting a trade  while selecting many trades</t>
  </si>
  <si>
    <t>Copy and paste split legs into the split screen and allocate many legs to the same account and I want those legs to be aggregated in one leg in FIS CD.</t>
  </si>
  <si>
    <t>BUS -FIS CD -TC-CLR-09-C</t>
  </si>
  <si>
    <t>Clearance of a trade using a Bypass Matching rule</t>
  </si>
  <si>
    <t>BUS -FIS CD -TC-CLR-08-A</t>
  </si>
  <si>
    <t>BUS -FIS CD -TC-CLR-01-C</t>
  </si>
  <si>
    <t>BUS -FIS CD -TC-CLR-326-B</t>
  </si>
  <si>
    <t>BUS -FIS CD -TC-CLR-326-C</t>
  </si>
  <si>
    <t>Clearing</t>
  </si>
  <si>
    <t>BUS -FIS CD -TC-CLR-173-B</t>
  </si>
  <si>
    <t>BUS -FIS CD -TC-CLR-173-C</t>
  </si>
  <si>
    <t>BUS -FIS CD -TC-CLR-64-B</t>
  </si>
  <si>
    <t>BUS -FIS CD -TC-CLR-192-B</t>
  </si>
  <si>
    <t>1.	Referential
2.	Accounts             
3.	Search left panel
4.	Account Identifier 
5.	Select Edit
6.	Go to Aliases
7.	Select Edit 
a.	Extended System- CV_IN
8.	Edit Code to
9.	Edit the Name to 
10.	Save edit mode
11.	Save the account</t>
  </si>
  <si>
    <t>BUS -FIS CD -TC-CLR-21-B</t>
  </si>
  <si>
    <t>BUS -FIS CD -TC-CLR-29-B</t>
  </si>
  <si>
    <t>BUS -FIS CD -TC-CLR-314-B</t>
  </si>
  <si>
    <t>BUS -FIS CD -TC-CLR-215-B</t>
  </si>
  <si>
    <t>BUS -FIS CD -TC-CLR-217-B</t>
  </si>
  <si>
    <t>BUS -FIS CD -TC-CLR-53-B</t>
  </si>
  <si>
    <t>BUS -FIS CD -TC-CLR-53-C</t>
  </si>
  <si>
    <t>BUS -FIS CD -TC-CLR-169-C</t>
  </si>
  <si>
    <t>Need to perform give ups in non-connected mode.</t>
  </si>
  <si>
    <t>Allocate Functionality - Bulk allocate multiple trades to one give up account (destination instruction)</t>
  </si>
  <si>
    <t>Give-in Give up Clear</t>
  </si>
  <si>
    <t>BUS -FIS CD -TC-CLR-26-B</t>
  </si>
  <si>
    <t>BUS -FIS CD -TC-CLR-14-B</t>
  </si>
  <si>
    <t>BUS -FIS CD -TC-CLR-14-C</t>
  </si>
  <si>
    <t>BUS -FIS CD -TC-CLR-14-D</t>
  </si>
  <si>
    <t>Add and search by Description in the Destination Instruction screen</t>
  </si>
  <si>
    <t>View wait (Account not in static) Clearing Instructions</t>
  </si>
  <si>
    <t>Support of "Clearing Reversal" when triggering Unmatch from Split Clearing Instruction</t>
  </si>
  <si>
    <t>Mark Clearing Instruction as "blocked" after unmatching</t>
  </si>
  <si>
    <t>Block/Unblock of CI -Resubmit for Matching</t>
  </si>
  <si>
    <t>Test to receive replayed Clearing Instructions into FIS CD from Client Front office system</t>
  </si>
  <si>
    <t>1. Trade Management
2. Trade Clearing 
3. Unmatched Trade/CI
4. Select Trade/CI unmatched
5. Select an account on the left panel
6. Filter by sending firm
7. Select another firm 
8. Select one trade in middle panel
9. Select APS wizard                                                                                                                                       10. See candidates on the right panel
11. Create the group Id with up to 6 characters
12. Select Save                                                                                                                                                13. Log into back office systems
14. Validate trades appear as expected</t>
  </si>
  <si>
    <t>1. Trade Management
2. Trade Clearing 
3. Unmatched Trade/CI
4. Select Trade/CI unmatched
5. Select an account on the left panel
6. Filter by sending firm
7. Select another firm 
8. Select one trade in middle panel
9. Select APS wizard                                                                                                                                       10. All APS candidates will appear on the right panel
11. Type in a pre-existing group ID
12. Select Save                                                                                                                                             13. Log into back office systems
14. Validate trades appear as expected</t>
  </si>
  <si>
    <t>Clearing reversal can be done from clearing instruction(CI) by performing unmatch/delete operation on regular CI. Bulk operation is also supported.</t>
  </si>
  <si>
    <t>Clearing reversal can be done from clearing instruction by performing unmatch/delete operation on Split CI</t>
  </si>
  <si>
    <t>This field will not be used to trigger any rule, it will not be made visible to Ops. it will only be used in one specific case whereby trade should be reset to the original value in the counterparty account field.</t>
  </si>
  <si>
    <t>Everyone</t>
  </si>
  <si>
    <t>QA Team</t>
  </si>
  <si>
    <t xml:space="preserve">  LME</t>
  </si>
  <si>
    <t>HKEX</t>
  </si>
  <si>
    <t>Original counterparty account, CTI and orig Exec Acct Ref will be reverted to original value after Unmatching, regardless of workflow</t>
  </si>
  <si>
    <t xml:space="preserve">Clearing Instruction to get Blocked once trade or Clearing Instruction is unmatched after matching or clearing. Clearing Instruction and Trade will get rematch once the block flag removed from clearing instruction. </t>
  </si>
  <si>
    <t xml:space="preserve">When user selects the Blocked Clearing Instruction(CI) and click on Resubmit for matching, CI should get unblocked and Matching should triggered. </t>
  </si>
  <si>
    <t>Users can bulk update the account identifier using bulk update screen</t>
  </si>
  <si>
    <t>While creating a block auto matching rule, user can select the maturity month from the dropdown on the maturity attribute</t>
  </si>
  <si>
    <t>BUS -FIS CD -TC-CLR-39-C</t>
  </si>
  <si>
    <t>Allocate Functionality - Unmatch a trade cleared against house account and re-allocate to another house account.</t>
  </si>
  <si>
    <t>E2E-Clearing</t>
  </si>
  <si>
    <t>Allocate Functionality - Unmatch a trade cleared against give-up account and re-allocate to another give-up account.</t>
  </si>
  <si>
    <t>BUS -FIS CD -TC-CLR-39-E</t>
  </si>
  <si>
    <t>Allocate Functionality - Unmatch a trade cleared against customer account and re-allocate to give-up account.</t>
  </si>
  <si>
    <t>BUS -FIS CD -TC-CLR-39-F</t>
  </si>
  <si>
    <t>Allocate Functionality - Unmatch a trade cleared against give-up account and re-allocate to customer account.</t>
  </si>
  <si>
    <t>1.	Go to Give-In Pending 
2.	Select 1 trade
3.	Select APS Wizard
4.	Check the NAVP Box
5.	Select all trades to add to your NVAP Group
6.	Create Group ID Name  (ALL CAPS &amp; 6 Characters or less)
7.	Select Save and Send (to CCP)
8.     Review confirmation box with notional value and select OK
9.	Go to Trade/CI Unmatched
10.	Select NAVP trade (Group Indicator N)
11.	Select split
12.	Enter qty less than total
13.	Enter price (enter price within range)
14.   Input GU account 
15.   CTI CODE = 4
16.   Select add
17.   Make sure all details are calibrated at bottom of split screen and is partially allocated 
18.   Select Apply.
19.   Pop up message will confirm the allocation qty is less than trade qty, select ok.</t>
  </si>
  <si>
    <t>1.	Go to Give-In Pending 
2.	Select 1 trade
3.	Select APS Wizard
4.	Check the NAVP Box
5.	Select all trades to add to your NVAP Group
6.	Create Group ID Name  (ALL CAPS &amp; 6 Characters or less)
7.	Select Save and Send (to CCP)
8.     Review confirmation box with notional value and select OK
9.	Go to Trade/CI Unmatched
10.	Select NAVP trade (Group Indicator N)
11.	Select split
12.	Enter qty less than total
13.	Enter price (enter price within range)
14.   Input account 
15.   CTI CODE = 2
16.   Select add
17.   Make sure all details are calibrated at bottom of split screen and is partially allocated 
18.   Select Apply.
19.   Pop up message will confirm the allocation qty is less than trade qty, select ok.</t>
  </si>
  <si>
    <t>1.	Go to Give-In Pending 
2.	Select 1 trade
3.	Select APS Wizard
4.	Check the NAVP Box
5.	Select all trades to add to your NVAP Group
6.	Create Group ID Name  (ALL CAPS &amp; 6 Characters or less)
7.	Select Save and Send (to CCP)
8.     Review confirmation box with notional value and select OK
9.	Go to Trade/CI Unmatched
10.	Select NAVP trade (Group Indicator N)
11.	Select split
12.	Enter qty less than total
13.	Enter price (enter price within range)
14.   Input account 
15.   CTI CODE = 4
16.   Select add
17.   Make sure all details are calibrated at bottom of split screen and is partially allocated 
18.   Select Apply.
19.   Pop up message will confirm the allocation qty is less than trade qty, select ok.</t>
  </si>
  <si>
    <t>1.	Go to Give-In Pending 
2.	Select 1 trade
3.	Select APS Wizard
4.	Check the NAVP Box
5.	Select all trades to add to your NVAP Group
6.	Create Group ID Name  (ALL CAPS &amp; 6 Characters or less)
7.	Select Save and Send (to CCP)
8.     Review confirmation box with notional value and select OK
9.	Go to Trade/CI Unmatched
10.	Select NAVP trade (Group Indicator N)
11.	Select split
12.	Enter qty less than total
13.	Enter price (enter price within range)
14.   Input account 
15.   CTI CODE = 4
16.   Select add
17.   Enter qty less than total
18.	Enter price (enter price within range)
19.   Input GU account 
20.   Select Add
21.   Make sure all details are calibrated at bottom of split screen and is partially allocated 
22.   Select Apply.
23.   Pop up message will confirm the allocation qty is less than trade qty, select ok.</t>
  </si>
  <si>
    <t xml:space="preserve">1.Go to Trade/CI Unmatched
2.Go to Column Outright/Spread- select Spread
3.Select Buy and Sell trades with the same 'Order ID' 
4.Select Buy and Allocate 
5.Enter Account
6.Select Apply
7.Select Sell and Allocate 
8.Enter Account 
9.Select Apply
10. Buy should be in FS cleared
11. Sell s/b in GU pending/accepted
</t>
  </si>
  <si>
    <t xml:space="preserve">1.Go to Give-In Pending 
2.Select 1 trade
3.Select APS Wizard
4.Check the NAVP Box
5.Select all trades to add to your NVAP Group
6.Create Group ID Name (ALL CAPS &amp; 6 Characters or less)
7.Select Save and Send (to CCP)
8.Review confirmation box with notional value and select OK
9.Go to Trade/CI Unmatched
10.Select NAVP trade (Group Indicator N)
11.Select split
12.Enter qty 
13.Enter price (enter price within range)
14.Input account 
15.CTI CODE = 4
16.Select add
17.Select Apply.
</t>
  </si>
  <si>
    <t xml:space="preserve">1.Go to Give-In Pending 
2.Select 1 trade
3.Select APS Wizard
4.Check the NAVP Box
5.Select all trades to add to your NVAP Group
6.Create Group ID Name (ALL CAPS &amp; 6 Characters or less)
7.Select Save and Send (to CCP)
8.Review confirmation box with notional value and select OK
9.Go to Trade/CI Unmatched
10.Select NAVP trade (Group Indicator N)
11.Select split
12.Enter qty less than total
13.Enter price (enter price within range)
14.Input DI
15.CTI CODE = 4
16.Select add
17.Make sure all details are calibrated at bottom of split screen and is partially allocated 
18.Select Apply.
19.Pop up message will confirm the allocation qty is less than trade qty, select ok.
</t>
  </si>
  <si>
    <t xml:space="preserve">1.Go Trade/CI unmatched
2.Select 1 trade
3.Select APS Wizard
4.Check the NAVP Box
5.Select all trades to add to your NVAP Group
6.Create Group ID Name (ALL CAPS &amp; 6 Characters or less)
7.Select Save and Send (to CCP)
8.Review confirmation box with notional value and select OK
9.Go to Trade/CI Unmatched
10.Select NAVP trade (Group Indicator N)
11.Select split
12.Enter qty less than total
13.Enter price (enter price within range)
14.Input GU account 
15.CTI CODE = 4
16.Select add
17.Make sure all details are calibrated at bottom of split screen and is partially allocated 
18.Select Apply.
19.Pop up message will confirm the allocation qty is less than trade qty, select ok.
</t>
  </si>
  <si>
    <t>1.Trade Clearing
2.FS Cleared
3.Trade Type = PIT
4. Log into back office systems
5. Validate trades appear as expected</t>
  </si>
  <si>
    <t>1. Trade Clearing
2. Go to Give In Pending tile
3. Select Trade
4. Select Allocate
5. In the right panel input House Account
6. CTI = 2
7. Save
8. Check trade is in Give-In Cleared                                                                                                     
9. Log into back office systems
10. Validate trades appear as expected</t>
  </si>
  <si>
    <t>1.Trade Management
2.Trade Clearing
3.Unmatched Full Service
4.Select Multiple trades with different economic details
5.Select Allocate
6.Input House Account 
7.Account Owner will auto-populate
8.Input CTI 
9.Select Apply
10.Checked the Cleared Full Service Tab for the Trades
11. Log into back office systems
12. Validate trades appear as expected</t>
  </si>
  <si>
    <t xml:space="preserve">1.Go to Give-In Pending 
2.Select 1 trade
3.Select APS Wizard
4.Check the NAVP Box
5.Select all trades to add to your NVAP Group
6.Create Group ID Name (ALL CAPS &amp; 6 Characters or less)
7.Select Save and Send (to CCP)
8.Review confirmation box with notional value and select OK
9.Go to Trade/CI Unmatched
10.Select NAVP trade (Group Indicator N)
11.Select split
12.Enter qty 
13.Enter price (enter price within range)
14.Input Destination Instruction 
15.CTI CODE = 4
16.Select add
17.Enter qty 
18.Enter price (enter price within range)
19.Input Destination Instruction 
20.CTI CODE = 4
21.Make sure all details are calibrated at bottom of split screen
22.Select Apply.
</t>
  </si>
  <si>
    <t>1.	Go to Give-In Pending 
2.	Select 1 trade
3.	Select APS Wizard
4.	Check the NAVP Box
5.	Select all trades to add to your NVAP Group
6.	Create Group ID Name  (ALL CAPS &amp; 6 Characters or less)
7.	Select Save and Send (to CCP)
8.     Review confirmation box with notional value and select OK
9.	Go to Trade/CI Unmatched
10.	Select NAVP trade (Group Indicator N)
11.	Select split
12.	Enter qty 
13.	Enter price (enter price within range)
14.   Input account 
15.   CTI CODE = 4
16.   Select add
17.   Enter qty 
18.	Enter price (enter price within range)
19.   Input Destination Instruction 
20.   CTI CODE = 4
21.   Make sure all details are calibrated at bottom of split screen
22.   Select Apply.</t>
  </si>
  <si>
    <t>1.	Create NAVP Matching Rule based off the account of many trades
2.	Select Matching Rules
3.	Select Rule Type=BYPASS_MATCHING
4.	Select Bypass Matching Action=TRADE CI
5.	Select Rule Set=Bypass Matching CI
6.	Select New 
7.	Condition CCP
9.	Account BMBUL
10.	Bypass action=Add to NAVP Group 
11.	Allocate
12.	Group name=TESTAA
13.	Go to unmatched
14.	Select NAVP Trade
15.	Select split
16.	Enter qty 
17.	Enter Account
18.	Select apply.
19.	Repeat steps 
20.	Save.</t>
  </si>
  <si>
    <t xml:space="preserve">1.	Create NAVP Matching Rule based off the account of many trades (TEST)
2.	Select Matching Rules
3.	Select Rule Type=BYPASS_MATCHING
4.	Select Bypass Matching Action=TRADE CI
5.	Select Rule Set=Bypass Matching CI
6.	Select New 
7.	Condition CCP
8      Product name
9.	Bypass action=Add to NAVP Group 
10.	Group name=TESTAA
11.	Go to GI Pending 
12.	Select a few trades
13.	Select resubmit for matching 
14.	Go to trade/ci unmatched
15.	Select a few trades 
16.	Select resubmit for matching 
17.	the qty should be the addition of the GI and FS QTY.
18.	Make sure the Group indicator is N and it has the same Group ID
</t>
  </si>
  <si>
    <t>9.Go to Trade/CI Unmatched
10.Select NAVP trade (Group Indicator N)
11.Select split
12.Enter qty 
13.Enter price (enter price within range)
14.Input account 
15.CTI CODE = 2
16.Select add
17.Select Apply.</t>
  </si>
  <si>
    <t>1.Go to Give-In Pending 
2.Select 1 trade
3.Select APS Wizard
4.Check the NAVP Box
5.Select all trades to add to your NVAP Group
6.Create Group ID Name (ALL CAPS &amp; 6 Characters or less)
7.Select Save and Send (to CCP)
8.Review confirmation box with notional value and select OK
9.Go to Trade/CI Unmatched
10.Select NAVP trade (Group Indicator N)
11.Select split
12.Enter qty 
13.Enter price (enter price within range)
14.Input Destination Instruction
15.CTI CODE = 4
16.Select add
17.Make sure all details are calibrated at bottom of split screen
18.Select Apply.</t>
  </si>
  <si>
    <t>1. Referential
2. Legal Entities
3. New
4. Name = 
5. Country = USA
6. Roles = Clearing Firm
7. Alias
8. Add
9. Code =
10. Name = 
11. External System = 
12. System Type = IN
13. Add
14. Save</t>
  </si>
  <si>
    <t>1. Referential
2. Source System
3. New
4. Name = 
5. Description = 
6. System Type = IN
7. Save</t>
  </si>
  <si>
    <t>1. Referential
2. ETD Instruments
3. Clearing Code CC - Edit
4. Aliases
5. Add
6. Code 
7. Name 
8. External System 
9. In
10. Save</t>
  </si>
  <si>
    <t>1. Referential
2. ETD Instruments
3. Clearing Code CC - Edit
4. Aliases
5. Delete
6. Code
7. Name 
8. External System 
9. Save
10. Save</t>
  </si>
  <si>
    <t>1. Referential
2. Legal Entities
3. New
4. Name = 
5. Country = 
6. Roles = Clearing Firm
7. Alias
8. Add
9. Code 
10. Name 
11. External System =
12. System Type =
13. Add
14. Save</t>
  </si>
  <si>
    <t>1. Referential
2. Legal Entities
3. Name =
4. Select Edit
4. Name=
5. Aliases
6. Delete Alias 
7. Save</t>
  </si>
  <si>
    <t>Delete Result
Cannot delete any members with cleared trades.
1. Referential
2. Legal Entities
3. Name = 
4. Select Delete</t>
  </si>
  <si>
    <t>1. Referential
2. Legal Entities
3. New
4. Name =
5. Alias
6. Add
7. Code = 
8. Name = 
9. External System = 
10. System Type = IN
11. Add
12. Save</t>
  </si>
  <si>
    <t>1. Referential
2. Legal Entities
4. Name = 
5. Alias
6. Edit
7. Code = 
8. Name = 
9. External System = 
10. System Type = IN
11. Add
12. Save</t>
  </si>
  <si>
    <t>1. Referential
2. Legal Entities
3. Name = 
4. Alias
8. Delete
9. Code = 
10. Name = 
11. External System = ICEUS
12. Save</t>
  </si>
  <si>
    <t>1. Referential
2. Legal Entities
3. New
4. Name = 
5. Country = 
6. Processing Firm &amp; Clearing Firm
7. Alias
8. Add
9. Code = 
10. Name = 
11. External System = 
12. In
13. Save
14. Save</t>
  </si>
  <si>
    <t>1. Referential
2. Legal Entities
3. Select Name = Raleigh
4. Edit
6. Name= Durham
7. Alias
8. Edit
9. Code = Durham
10. Name = Durham 
11. External System = 
12. Save</t>
  </si>
  <si>
    <t>1. Referential
2. Other Referential
3. Trade Type 
5. Name
6. Select Edit
7. Go to Aliases
8. Select Edit
9. Code
10. Change to
11.  Save alias
12. Save Trade Type</t>
  </si>
  <si>
    <t>1. Trade Management
2. Allocation Strategy Rules
3. New
4. Name = 50/50 Rule
5. Account/Price Strategy = High Account High Price
6. Type = Percentage
7. Remaining Strategy = Distributed
8. Accounts
9. Add
10 Rank = 1
11. Percentage = 50
12. Account =
13. Save
14. Rank = 2
15. Percentage = 50
16. Account =
17. Trade Grouping Criteria = Trade Grouping Criteria For Bulk
18. Save</t>
  </si>
  <si>
    <t xml:space="preserve">1. Trade Clearing
2. Select a GI Trade
3. Trade Type Must Be TRF
4. Allocate Trade 
5. Select Apply
6.  Check Internal system to validate trade contains the GI broker code                                                                                                                                    </t>
  </si>
  <si>
    <t xml:space="preserve">1. Trade Clearing
2. Full Service Unmatched
3. In Middle Panel select view Outright/Spread  from right hand field chooser and then filter on this Column for Outright/Spread = Outright
4. Select a trade (s)
5. Allocate
6. Input an account
7. Trade should move from Full Service Unmatched to Full Service Cleared Tile
8. Log into back office systems
9. Validate trades appear as expected
</t>
  </si>
  <si>
    <t xml:space="preserve">1. Select Hamburger Menu
2. Trade Management, Clearing Setup, Destination Instructions
3. Search Name:
4. Select Account
5. Select Delete
6. Confirm Delete Record - Yes
                                                         </t>
  </si>
  <si>
    <t xml:space="preserve">1.	Go to Give-In Pending 
2.	Select 1 trade
3.	Select APS Wizard
4.	Check the NAVP Box
5.	Select all trades to add to your NVAP Group
6.	Create Group ID Name  (ALL CAPS &amp; 6 Characters or less)
7.	Select Save and Send (to CCP)
8.     Review confirmation box with notional value and select OK
9.	Go to Trade/CI Unmatched
10.	Select NAVP trade (Group Indicator N)
11.	Select split
12.	Enter qty 
13.	Enter price (enter price within range)
14.   Input account
15.   CTI CODE = 2
16.   Select add
17.   Enter qty 
18.	Enter price (enter price within range)
19.   Input account 
20.   CTI CODE = 2
21.   Make sure all details are calibrated at bottom of split screen
22.   Select Apply.
</t>
  </si>
  <si>
    <t>1.	Go to Give-In Pending 
2.	Select 1 trade
3.	Select APS Wizard
4.	Check the NAVP Box
5.	Select all trades to add to your NVAP Group
6.	Create Group ID Name  (ALL CAPS &amp; 6 Characters or less)
7.	Select Save and Send (to CCP)
8.     Review confirmation box with notional value and select OK
9.	Go to Trade/CI Unmatched
10.	Select NAVP trade (Group Indicator N)
11.	Select split
12.	Enter qty 
13.	Enter price (enter price within range)
14.   Input account 
15.   CTI CODE = 4
16.   Select add
17.   Enter qty 
18.	Enter price (enter price within range)
19.   Input account
20.   CTI CODE = 4
21.   Make sure all details are calibrated at bottom of split screen
22.   Select Apply.</t>
  </si>
  <si>
    <t>1.	Go to Trade/CI Unmatched
2.	Select 1 trade
3.	Select APS Wizard
4.	Check the NAVP Box
5.	Select all trades to add to your NVAP Group
6.	Create Group ID Name  (ALL CAPS &amp; 6 Characters or less)
7.	Select Save and Send (to CCP)
8.     Review confirmation box with notional value and select OK
9.	Go to Trade/CI Unmatched
10.	Select NAVP trade (Group Indicator N)
11.	Select split
12.	Enter qty 
13.	Enter price (enter price within range)
18.    Input GU account 
19.	Select add
20.   Confirm price, qty and details on bottom of split screen 
21.	Save.</t>
  </si>
  <si>
    <t xml:space="preserve">1.Go to Trade/CI Unmatched
2.Select 1 trade
3.Select APS Wizard
4.Check the NAVP Box
5.Select all trades to add to your NVAP Group
6.Create Group ID Name (ALL CAPS &amp; 6 Characters or less)
7.Select Save and Send (to CCP)
8.Review confirmation box with notional value and select OK
9.Go to Trade/CI Unmatched
10.Select NAVP trade (Group Indicator N)
11.Select split
12.Enter qty 
13.Enter price (Same price if one allocation, otherwise stay within range) 
14. Enter Destination Instruction 
15. CTI Code: 4
16. Select add
17.Enter qty 
18.Enter price (Same price if one allocation, otherwise stay within range)
19.Input Destination Instruction
20. CTI Code: 4
21.Select add
22.Confirm price, qty and details on bottom of split screen 
23.Save.
</t>
  </si>
  <si>
    <t xml:space="preserve">1.	Go to Unmatched Trade/CI
2.	Select Venue Type 'P'
3.     Select 1 trade
4.     Select APS Wizard
5.     Check the NAVP Box
6.     Select all trades to add to your NVAP Group
7.     Create Group ID Name (ALL CAPS &amp; 6 Characters or less)
8.     Select Save and Send (to CCP)
9.     Review confirmation box with notional value and select OK
10.   Go to Trade/CI Unmatched
11.   Select NAVP trade (Group Indicator N)
12.   Select split
13.   Enter qty 
14.   Enter price (enter price within range)
15.   Input GU account
16.   Select add
17.   Confirm price, qty and details on bottom of split screen 
18.   Save.
</t>
  </si>
  <si>
    <t>1.Go to Trade/CI Unmatched
2.Select 1 trade
3.Select APS Wizard
4.Check the NAVP Box
5.Select all trades to add to your NVAP Group
6.Create Group ID Name (ALL CAPS &amp; 6 Characters or less)
7.Select Save and Send (to CCP)
8.Review confirmation box with notional value and select OK
9.Go to Trade/CI Unmatched
10.Select NAVP trade (Group Indicator N)
11.Select split
12.Enter qty 
13.Enter price (Same price if one allocation, otherwise stay within range) 
14. Enter Destination Instruction 
15. CTI Code: 4
16. Select add
17. GO to GU Pending 
18. Select trade with destination ref
19.Select "Cancel Give Up"
20. Trade will return to matched status 
21. unmatch trade in "Matched status"
22. Allocate to final account 
23.Save.</t>
  </si>
  <si>
    <t>1.Go to Trade/CI Unmatched
2.Select 1 trade
3.Select APS Wizard
4.Check the NAVP Box
5.Select all trades to add to your NVAP Group
6.Create Group ID Name (ALL CAPS &amp; 6 Characters or less)
7.Select Save and Send (to CCP)
8.Review confirmation box with notional value and select OK
9.Go to Trade/CI Unmatched
10.Select NAVP trade (Group Indicator N)
11.Select split
12.Enter qty 
13.Enter price (Same price if one allocation, otherwise stay within range) 
14. Enter Account 
15. CTI Code: 4
16. Select add
17. GO to GI Pending 
18. Select NVAP trade with account 
19. Go to exchange CME FEC+
20. Go to claims
21. Select trade in 1295C
22. Select Reverse
23. See if FCD gives a task to accept 
23.Save.</t>
  </si>
  <si>
    <t>1. Trade Clearing
2. Full Service Unmatched
3. In Middle Panel select view Exchange = IFED
4. Middle Panel view should now show IFED contracts only
5. You can repeat step 3 and amend to IFEU
6. Middle Panel view should now show IFEU contracts only</t>
  </si>
  <si>
    <t>1.	Go to unmatched
2.	Select GI Trade
3.	Select NVAP 
4.	Enter qty 
5.	Enter destination instruction
6.	Select apply.
7.	Repeat steps 
8.	Save.</t>
  </si>
  <si>
    <t>QA, PS &amp; Delivery Team</t>
  </si>
  <si>
    <t>1.	Select a CI (with CI Price)
2.	Select APS Wizard
3.	Add Group Name
4.	Remove few filters to help find trades to match your CI (i.e. Trader or lastly Exec Acct Ref)
5.	Select “Find”
6.	The Trades that match the price of the CI will be automatically selected 
7.	Check and select “Save and Send”
8.	The trade and CI will appear in the middle panel
9.	Select either one and select the matching wizard.
10.	Select the item in the right panel and select “Force Match”
11.	Fill in force matching reason and hit apply
12.	Trade will be in cleared and so will the CI.</t>
  </si>
  <si>
    <t xml:space="preserve">1.	Search Matching set in hamburger menu
2.	Select New
3.	Enter the Name: APS Force Match
4.	Description: Matching Trade APS price with CI Price
5.	Enable: Yes
6.	Force Matching: Yes
7.	Enter Trade Operator Clearing instruction
8.	Trade Direction Equals CI Direction
9.	Trade Instrument equals CI Instrument
10.	Trade Maturity equals CI Maturity 
11.	Trade- Trade date equals CI Trade Date
12.	Save
13.	Select CI with APS Price 
14.	Select Trade with APS Price
15.	Select Force Match
16.	Select  Matching sets: “APS Force Match”
17.	Enter force match reason 
18.	Apply </t>
  </si>
  <si>
    <t xml:space="preserve">User will not be able to create a Bypass matching rule against a Destination Instruction which is not setup on the CCP/Exchange based on the conditions selected while creating the rule. </t>
  </si>
  <si>
    <t>When user performs unmatch on a cleared trade or Clearing instruction, clearing reversal is triggered and along with CCP account and account ref, now CTI code also be set to original value at CCP.</t>
  </si>
  <si>
    <t>When matching trade is created from Clearing instruction, the execution time on the clearing instruction is copied over to the trade in EMIR Clearing Time field.</t>
  </si>
  <si>
    <t>Support for Matching Account Ref. on Destination Instruction</t>
  </si>
  <si>
    <t>Support for Matching Account Ref. on DI</t>
  </si>
  <si>
    <t>Trigger automatic matching and clearing of a re-allocated trade held in holding account.</t>
  </si>
  <si>
    <t>1. Have at least one matching set where Force Matching is set to yes
2. Upload a few Trades and Cis
3. Select them in bulk and press Force Match button
4. Select the matching set, matching reason
5. The request is sent to CCP
6. Select one of Trades and go to View Audit Trail
7. Check that CI matching reason is Force Matched</t>
  </si>
  <si>
    <t>When using the 'Force Match' button from the bottom of the middle panel, after trades and CI are batch-matched, the audit on each trade show BATCH in the 'CI matching reason'.</t>
  </si>
  <si>
    <t>Bulk Update of Dis</t>
  </si>
  <si>
    <t>While creating a new bypass matching rule for Accounts, system will check if the account is valid or not based on conditions that are selected, CCP, Exchange, and processing firm.</t>
  </si>
  <si>
    <t>Import exported file -
Use the existing rest call for DI validations: /importBulkCreateData , Use the existing validations for bulk update of DI.
Add new rest call for updating destination instructions: refer /saveValidDestinationInstructions.</t>
  </si>
  <si>
    <t>Scenario 1:
◦Prepare two CIs
◦Create the Destination Instruction DI_TEST with Matching Acc Ref set to TEST,
◦Go to "Account ref settings" and make sure that the first option from the bellow screenshot is selected
◦Upload a CI with Pty R=24 set to FIXTEST (outside the Alloc block) and R=83 set to DI_TEST
◦Check that CI has value FIXTEST as Execution Acc Ref (value from the CI)
◦Upload another CI without R=24 (R=83 is the same)
◦Check that CI has value TEST as Execution Acc Ref (value from the Destination Instruction)
Scenario 2:
◦Prepare two CIs
◦Create the Destination Instruction DI_TEST2 with Matching Acc Ref set to TEST2
◦Go to "Account ref settings" and make sure that the second option from the bellow screenshot is selected
◦Upload a CI with Pty R=24 set to FIXTEST2 (outside the Alloc block)
◦Check that CI has value TEST2 as Execution Account Ref (value from the Destination Instruction)
◦Delete the value from Matching Acc Ref field from the Destination Instruction
◦Upload another CI with Pty R=24 set to FIXTEST2 (outside the Alloc block)
◦Check that CI has value FIXTEST2 as Execution Acc Ref</t>
  </si>
  <si>
    <t>FIS CD Steps</t>
  </si>
  <si>
    <t>Refresh of filtered data when using Querying all trades mode</t>
  </si>
  <si>
    <t>Ability to pick matching set for manual matching in the dropdown</t>
  </si>
  <si>
    <t>Viewing all results for Querying all Trades in middle panel</t>
  </si>
  <si>
    <t>Creation of new Rule type for Open/Close indicator</t>
  </si>
  <si>
    <t>Sending the request with value O/C from the Rule</t>
  </si>
  <si>
    <t>When Querying all trades mode ensure the data will refresh every 60 seconds</t>
  </si>
  <si>
    <t>1. Load Trades/CI's and go to FIS CD.
2. Enter Querying all trades mode and create some filter.
3. Check the number of Trades/CI's and in parallel enter some more Trade/CI's which fulfill the filter criteria. Do not perform any action and wait x minutes. Check if newly entered Trades/CI's are present in middle panel.
4. Update some of the existing Trades/CI's in filter. Do not perform any action and wait x minutes. Check if updated Trades/CI's are present in middle panel.</t>
  </si>
  <si>
    <t>Users are able to see and scroll through all available Trades/CI's in Querying all Trades mode.
Currently user can scroll and see only first 100 records.</t>
  </si>
  <si>
    <t>When creating APS Trade APS Account Ref is not mapped to Exec Account Ref</t>
  </si>
  <si>
    <t xml:space="preserve">Go to FIS CD and load large number of Trades/CI's.
Select an Exchange with the biggest number of Trades/CI's and scroll down the middle panel to see if all trades are visible. Check summary bar when using select all option.
Repeat the same after applying some filters. </t>
  </si>
  <si>
    <t>When creating APS group the APS wizard, user has an option to change the Account reference. This value is then sent to CCP in field APS Account Reference</t>
  </si>
  <si>
    <t>When creating APS group the APS wizard, user has an option to change the Account reference. This value is then sent to CCP in field APS Account Reference (AvgPxAccRef).</t>
  </si>
  <si>
    <t>1. AC-1 - Bulk unmatch on cleared trades - Full service
2. Pre-Requisites -
3. Activate the Exchange feature "Clearing reversal" for ICE EU
4. Load 5 ICE EU trades to FISCD and clear it
5. Go to the cleared tab, select all 5 trades and click unmatch
6. Confirm if all 5 trades have been moved to clearing in progress
7. Confirm if there are 5 clearing reversal request sent to CCP.
8. Load CCP responses and confirm if all 5 trades are moved to Unmatched tile with the Acc ref and CCP account showing as original values.
9. AC-2 - To be tested with Give cleared trades as well.</t>
  </si>
  <si>
    <t>CTI code changes back to original code After unmatching</t>
  </si>
  <si>
    <t>1. Matched CI with many trades
2. need to cover unmatch from split ci
3. need to cover unmatch from NVAP split ci
 4. Use cases to support:
5. unmatch of split ci and each leg matched with 1 trade
6. unmatch of 1 ci matched to many  trades
7. delete of a matched split ci
8. bulk unmatch and delete of many split ci
9. in all those cases, the trade should go to "in progress" tile, with "clearing reversal" action</t>
  </si>
  <si>
    <t>Support one step APS demerge operation rejection by CCP</t>
  </si>
  <si>
    <t>Ability to see and perform an APS for up to 1K trades in the APS Wizard</t>
  </si>
  <si>
    <t xml:space="preserve">BUS -FIS CD -TC-CLR-194-B </t>
  </si>
  <si>
    <t xml:space="preserve">NCM trades - Processing of given up trades </t>
  </si>
  <si>
    <t>DI dropdown on BMPR should show only those DIs with CCP matching with CCP on BMPR</t>
  </si>
  <si>
    <t>Account dropdown on BMPR shouldn't be displayed if they are not linked to selected Exchange OR popup should be opened for invalid account -Part 1 UI</t>
  </si>
  <si>
    <t>Allow bulk update of clearing instruction regardless the clearing code</t>
  </si>
  <si>
    <t>Delete trade after offline split does not work properly</t>
  </si>
  <si>
    <t>When adding an alias with Source='ISIN Number' manually, FISCD should prevent inserting:
1. An Alias at the contract level.
2.More than one Alias at the maturity or expiry level per 'Future Maturity date' or 'Option Instrument details'.
 Only one ISIN number can be defined per 'Future Maturity date' or 'Option Instrument details'.</t>
  </si>
  <si>
    <t>Adding ISIN numbers as aliases of ETD Instrument, (at a futures Maturity Date or options Expiry Date level) when a Security Definition or Trade message contains an ISIN number. There can be only one alias per ETD Instrument.</t>
  </si>
  <si>
    <t>As a middle office user, when unmatching a clearing instruction and a trade, from the clearing instruction, I expect the "Clearing Reversal" to be triggered (same as when the unmatch is triggered from the trade)
1 ci matched with 1 trade
1 ci matched with many trades                                                                      
Use cases to support:
1 to 1 matching 
bulk unmatching from ci
single delete of ci
bulk delete of many cis
Delete of ci from Fixml API
in all those cases, the trade should go to "in progress" tile, with "clearing reversal" action</t>
  </si>
  <si>
    <t>BUS -FIS CD -TC-TCG-07</t>
  </si>
  <si>
    <t>BUS -FIS CD -TC-TCG-08-A</t>
  </si>
  <si>
    <t>BUS -FIS CD -TC-TCG-08-B</t>
  </si>
  <si>
    <t>BUS -FIS CD -TC-TCG-09-A</t>
  </si>
  <si>
    <t>BUS -FIS CD -TC-TCG-09-B</t>
  </si>
  <si>
    <t xml:space="preserve">1. Select the help menu
2. The Cleared Derivatives help screen
 </t>
  </si>
  <si>
    <t>Go to middle panel of TCWB, column price, use right mouse click and check that there is no more "Look for similar items" filtering available. Check for all tiles.</t>
  </si>
  <si>
    <t>1. Create new matching sets like in the screenshot below.
2. Upload a trade
3. Send the CI with the holding account
4. They both stay unmatched
5.Send the update of the existing CI from holding to regular acc ABC
6.Trade and CI should match automatically
7.Scenario 2: (Automated test)
8.Same as above, just instead of external Update from Holding to Regular, update CI using give up details.
Scenario 3: ( Manual)
1. Create new matching sets like in the screenshot below.
2. Upload a trade
3. Send the CI with the holding account
4. They both stay unmatched
5. Manually update the CI from Holding to Regular acc
6. Trade and CI should match automatically
Scenario 4: (Manual)
1. Same as above, just instead of internal Update from Holding to Regular, update CI using give-up details.</t>
  </si>
  <si>
    <t>Currently 'Look for similar" option in context menu is filtering records by properties"
1. same Buy/Sell
2. same instrument (clearing code, maturity, strike and Call/Put)
3. same sending firm (could be empty)
4. same execution account ref
5. price
6. User clicks on a trade, right clicks to open context menu, and choose "Look for similar items" which would add into the filter the product (Clearing code), maturity, C/P &amp; Strike, price, sending firm, exec account ref. 7.When this option is clicked filter is automatically populated, records are automatically filtered without additional user action</t>
  </si>
  <si>
    <t>Matching of the CI allocated to holding account after account update</t>
  </si>
  <si>
    <t>As a user, sometimes I need to perform the bulk update on the clearing instructions with a different clearing code. At the moment bulk edit action is disabled, so the scope of this story is to enable this action on CIs with a different clearing code.</t>
  </si>
  <si>
    <t>Upload several CI's with different Clearing Codes.
Select all CI's and click on Edit button.
Check if there is Edit pop up shown with Maturity attribute greyed out.
Update attribute Clearing Code and check if all CI's are properly updated.</t>
  </si>
  <si>
    <t>AC - 1 Go to accounts screen 
Select many accounts and click export
Confirm if the column "New Account Identifier" is available.
AC-2
Open the exported CSV
Select the line with account identifier name as CLIENT1UK_ACC1
Populate TEST_ACC_IDENTIFIER in to the new field "New account identifier" and save it
Load the file and update the account
Confirm if the account name changed from CLIENT1UK_ACC1 to TEST_ACC_IDENTIFIER
Confirm if all other details and clearing details remain same as before.
Go to Audit trail and confirm if the update is captured with user name, date and time.
AC-3
Open the exported CSV
Select the line with account identifier name as CLIENT1UK_ACC2
Populate TEST_ACC_IDENTIFIER in to the new field "New account identifier" and save it
Load the file and update the account
The validation should fail and user message should come since the new account identifier is already existing in the system.</t>
  </si>
  <si>
    <t>1. Regular CI and Split CI to be Blocked after un-matching from the Trade or CI. (Un-matching from UI, API is out of Scope)
2. When CI is in Blocked Status, auto-matching/Batch matching should not work. Scenarios for Resubmit for Matching are as below- Resubmit for Matching to be covered under -DEV-59711
a. Resubmit for Matching selecting the Normal Trade- when user clicks on Resubmit for matching by selecting the normal
trade, CI should remain in Blocked Status and Matching should not happen.
b. Resubmit for matching selecting the Blocked CI- When user selects the Blocked CI and click on Resubmit for matching, CI
should get unblocked and Matching should triggered.
3. Blocked CI should have the Blocked icon reflecting and Matching reason should be "Blocked after Un-matching"
4. Once a CI is Unblocked through UI or API, auto-matching should be triggered.
5. Previously matched Trade and CI should rematch together (which was not the case earlier).
Cases to support:
Matched Trades
Cleared Trades
FS Service, Give-In and Pending Give-Up
Split Trades
Un-matching of NM matched Trade/CI's</t>
  </si>
  <si>
    <t>Matching should not be triggered when user click "resubmit for Matching" by selecting trade and the CI should be in Blocked Status.
And CI to get Unblocked and matching should get triggered when user clicks on resubmit for matching selecting the Blocked CI.</t>
  </si>
  <si>
    <t>1.	Create a new legal entity with the role Trading Entity and add the relationship "is registered" to ECAG (Registered Customer).
2.	Such members are registered directly at CCP and can move their positions from defaulted clearing member to another one.
3.	When Processing Firm allocates a trade for the registered customer by using
4.	Account where linked Counterparty Account Owner has a relationship "is registered" at CCP                 
5.	FIS CD must send Registered Customer alias on that CCP in the operation request SGW Field name AllocationPositionAccountReference      
6.	Registered Customer Mnemonic will then be returned as Executing Firm by Stream Gateway</t>
  </si>
  <si>
    <t>Bulk update of accounts with specific value per account</t>
  </si>
  <si>
    <t>I1.	Insert Give In Trade in Pending status.
2.	Reject the Trade and check if it is moved to Trade/CI In Progress tile 
3.	Receive CCP response and check if Trade is moved from Trade/CI In Progress tile to Give In Rejected tile</t>
  </si>
  <si>
    <t>Give In Trades which are rejected are successfully removed and are only visible on Give In Rejected Tile of Trade Clearing Work Board.</t>
  </si>
  <si>
    <t>Downstream - Give In Rejection</t>
  </si>
  <si>
    <t>AC- Load a CI with clearing or give up details
Go to TCWB and select the CI from the unmatched queue and click on create matching trade
Confirm if the trade an CI are matched and cleared/Give up accepted.
Select the trade and check if the EMIR clearing time is populated and its is same as execution date and time on CI.</t>
  </si>
  <si>
    <t>FISCD should populate EMIR clearing time when trade is created from CI</t>
  </si>
  <si>
    <t>Categorization for Gerkins Automation</t>
  </si>
  <si>
    <t>Bulk delete of a trades from the workboard
Enabled bulk deletion of multiple trades on Trade Clearing Work Board.</t>
  </si>
  <si>
    <t xml:space="preserve">1. Select few trades on the workboard (mix of valid and invalid trades)
2. Click on the delete button
3. All selected trades are successfully deleted </t>
  </si>
  <si>
    <t>1. Insert several CI's.
2. Select several CI's and click on Edit button.
3. Check that, among existing attributes available for editing, there is also Sending Firm added as a drop down list.
4. Update Sending Firm and check if everything is properly updated on selected CI's.</t>
  </si>
  <si>
    <t>Enabling user to edit Sending Firm on Clearing Instructions in a bulk way. This attribute is added to existing Edit form for Clearing Instructions.</t>
  </si>
  <si>
    <t>Added drop down list with matching sets for user to choose during Force Match action.</t>
  </si>
  <si>
    <t>1. Insert several Trades and CI's.
2. Select Trades and CI's and click on Force Match button.
3. Check if there is a drop down list with Matching set available for user to pick.
4. Pick matching set and check if force matching is applied properly.</t>
  </si>
  <si>
    <t>1. Initially, trades executed with CTI code 2
2. Post allocating CTI code changed to 4.
3. Post unmatching the trade, execution and clearing account back to same account but however CTI code didn’t changed to 2 which still remains 4.</t>
  </si>
  <si>
    <t>Upload several CI's having following values for Sending Firm:
Sending Firm = Processing Firm
Sending Firm = Executing Firm
Sending Firm = Processing Firm
Sending Firm = Executing Firm
Check value of Give In flag for inserted CI's (first two should be "No" and other two "Yes")</t>
  </si>
  <si>
    <t>I can easily create a new rule and avoid entering any wrong text in the maturity drop-down.
by seeing all maturities (and not only existing maturity for the selected product), I can create rules in advance
Change the text box "Maturity" to a drop-down. This drop-down should show all maturities that are created in the system. In case nothing is selected, then keep maturity empty.
Maturities must be in uppercase to match with the data on the trades.</t>
  </si>
  <si>
    <t>Extending the 'Use Trade Account Ref' to the Counterparty Account relationship by adding a check box on the relationship between Account and Counterparty Account, in order to give the ability to the user to keep Account Ref value from the Trade on the cleared Trade</t>
  </si>
  <si>
    <t>Scenario 1:
1. Upload a Trade on SGX
2. Split it from UI into 2 different accounts
3. Check that Original Trade id from the Original Trade is mapped on both Split legs when Trades are cleared
Scenario 2:
Upload a Trade on SGX
Upload a split CI with a few legs
Check that Original Trade id is populated on all Trades when they are cleared</t>
  </si>
  <si>
    <t>The original trade ID value is populated correctly on the new trades that are result of the split operation.</t>
  </si>
  <si>
    <t xml:space="preserve"> Clearing Account Ref. from CI</t>
  </si>
  <si>
    <t>Scenario 2:
Upload a Trade on SGX
Upload a split CI with a few legs
Check that Original Trade id is populated on all Trades when they are cleared</t>
  </si>
  <si>
    <t>Retain original trade ID after  splitting</t>
  </si>
  <si>
    <t xml:space="preserve">Retain original trade ID after Matching with split CI </t>
  </si>
  <si>
    <t xml:space="preserve">The original trade ID value is populated correctly on the new trades that are result of the split operation from CI </t>
  </si>
  <si>
    <t xml:space="preserve">No </t>
  </si>
  <si>
    <t>Enable Export to csv option from Querying all Trades mode</t>
  </si>
  <si>
    <t>Insert several Trades and CI's with different flows and statuses.
Enter Querying all Trades mode and apply some filter.
Click on Export to csv option and check if all the columns are exported properly.</t>
  </si>
  <si>
    <t>Enable Unmatch Action for Cleared Trades created from CI</t>
  </si>
  <si>
    <t>Enabling Unmatch action for Trades created from Clearing Instructions allocated to an account (cleared Trades)</t>
  </si>
  <si>
    <t>Delete of a trade that was split on a non-connected market is now performed successfully without any error thrown. Original trade and all associated legs are deleted correctly after receiving delete message from the upstream system.</t>
  </si>
  <si>
    <t xml:space="preserve">Insert CI allocated to an account.
Create a Trade from this CI and check if it is moved to Full Service Cleared tile.
Select that Trade and check if Unmatch button is enabled. 
Unmatch Trade and check if both Trade and CI are moved to Trade/CI Unmatched tile. </t>
  </si>
  <si>
    <t>Ability to provide only sending firms with valid relationship in the dropdown in Trade/CI edit screen</t>
  </si>
  <si>
    <t>Sending firm dropdown shows only firms with a valid relationship with exchange/CCP in edit trade/clearing request mode. Bulk update of clearing instructions is also included in this improvement.</t>
  </si>
  <si>
    <t>Clearing Account Reference from Clearing Instruction
Making Clearing Account Reference value from Clearing Instruction visible and editable in Details panel on Trade Clearing screen</t>
  </si>
  <si>
    <t>Bulk update of clearing instructions is also included in this improvement.</t>
  </si>
  <si>
    <t xml:space="preserve">Dashboard navigation to correct workboard </t>
  </si>
  <si>
    <t>When user is clicking on work Board status on a dashboard, exactly the chosen Work Board is presented on Trade Clearing tab.</t>
  </si>
  <si>
    <t>Upload a Trade with Open/Close indicator
When the user press allocate/give up/split button, O/C indicator should be automatically populated from Trade.
Field should be populated on Allocate OR Give up details
User can change it because the field is editable
Check when user populate allocate details and then switch to give up details, everything under Allocate tab is reset</t>
  </si>
  <si>
    <t>Allocate and Give up screen
After selection of Trade, the Open /Close indicator will be populated under Allocate/ Give up details in case you press Allocate/Give up button.</t>
  </si>
  <si>
    <t>Populate O/C indicator directly from selected Trade</t>
  </si>
  <si>
    <t>Allocate and Give up screen
Addition of Open/Close indicator</t>
  </si>
  <si>
    <t>Users can perform allocation when selecting Trade and press Allocate, Give up.
On each of them, the Open/Close indicator should exist and follow backend logic to be automatically populated from selected Trade.
We want to make sure that when the User chooses to Allocate instead of Give-Up or vice-versa, the O/C indicator still stays populated from the trade.
If the trade doesn't have any O/C indicator, we should not let the O/C indicator blank under both the Allocate or Give-Up sections. 
O/C indicator should be an editable field.</t>
  </si>
  <si>
    <t xml:space="preserve">New rule type OPEN_CLOSE is added as a part of Rule Set.  </t>
  </si>
  <si>
    <t>Scenario 1: (For Exchanges that support O/C indicator like XEUR)
Upload a Trade with Close indicator set on it.
Manually Allocate a Trade to acc1
Make sure that rule for O/C already exist with Instruction part populated as Open
When the request is sent to CCP, login in AMQ and check that O/C indicator is populated as O
After sending an update from CCP, Trade should be cleared with new Indicator Open on it, which means the rule is taken into account
This should work for all instructions Open/Close/From Trade.
Scenario 2:
Upload a Trade with Close indicator set on it.
Upload an external CI with acc2, Indicator is set to C
Make sure that rule is in place with the indicator set to O
Check that when the request is sent, the value from the rule is on the message
Check that Trade is cleared with Indicator set to O
Scenario 3:
Upload a Trade with Close indicator set on it.
Upload an external CI with acc2, Indicator is set to O
Make sure there is no rule in place
Check that when the request is sent, the value from the CI is on the message
Check that Trade is cleared with Indicator set to O
Scenario 4: - will be tested later, not as a part of this story
Upload a Trade with empty O/C
Upload a split CI where one leg has Open and another Close indicator
Check that when Trades are cleared each leg has an indicator set as when performing split
Make sure that rule does not exist in this case</t>
  </si>
  <si>
    <t>When allocating Trade, Open/Close indicator will be populated on the request message from the Rule, if exists, if not , then from the Clearing Instruction.</t>
  </si>
  <si>
    <t>Clearing Instruction attribute "Commission description" can be updated in a bulk manner from middle panel of Trade Clearing Work Board using "Edit" action.</t>
  </si>
  <si>
    <t>Enable automatic update of Sending Firm Alias during bulk update of Clearing Instructions</t>
  </si>
  <si>
    <t>Enabled automatic update of Sending Firm Alias during bulk update of Sending Firm on Clearing Instructions from Trade Clearing Work Board.</t>
  </si>
  <si>
    <t>1. Insert several Cl's, regular and split.
2. Select several CI's and click on Edit button. Update Sending Firm and check if Sending Firm Alias is also updated to appropriate value.</t>
  </si>
  <si>
    <t>Add attribute Outright/Spread to APS Wizard columns</t>
  </si>
  <si>
    <t xml:space="preserve">User can update the values of many destination instructions in one go using CSV file. </t>
  </si>
  <si>
    <t>Change CI matching reason to reflect manual action</t>
  </si>
  <si>
    <t xml:space="preserve">Non-Connected </t>
  </si>
  <si>
    <t>FIS CD supports Client Segregation (EMIR Registered Customer)</t>
  </si>
  <si>
    <t xml:space="preserve">Select Multiple CI's and select update </t>
  </si>
  <si>
    <t>NCM</t>
  </si>
  <si>
    <t xml:space="preserve">Seg Accounts </t>
  </si>
  <si>
    <t>ISA</t>
  </si>
  <si>
    <t>TASK</t>
  </si>
  <si>
    <t>BUS -FIS CD -TC-CLR-400</t>
  </si>
  <si>
    <t>BUS -FIS CD -TC-CLR-401</t>
  </si>
  <si>
    <t>BUS -FIS CD -TC-CLR-402</t>
  </si>
  <si>
    <t>BUS -FIS CD -TC-CLR-404</t>
  </si>
  <si>
    <t>BUS -FIS CD -TC-CLR-405</t>
  </si>
  <si>
    <t>BUS -FIS CD -TC-CLR-406</t>
  </si>
  <si>
    <t>BUS -FIS CD -TC-CLR-407</t>
  </si>
  <si>
    <t>BUS -FIS CD -TC-CLR-408</t>
  </si>
  <si>
    <t>BUS -FIS CD -TC-CLR-409</t>
  </si>
  <si>
    <t>BUS -FIS CD -TC-CLR-410</t>
  </si>
  <si>
    <t>BUS -FIS CD -TC-CLR-411</t>
  </si>
  <si>
    <t>BUS -FIS CD -TC-CLR-412</t>
  </si>
  <si>
    <t>BUS -FIS CD -TC-CLR-413</t>
  </si>
  <si>
    <t>BUS -FIS CD -TC-CLR-415</t>
  </si>
  <si>
    <t>BUS -FIS CD -TC-CLR-418</t>
  </si>
  <si>
    <t>BUS -FIS CD -TC-CLR-419</t>
  </si>
  <si>
    <t>BUS -FIS CD -TC-CLR-420</t>
  </si>
  <si>
    <t>BUS -FIS CD -TC-CLR-421</t>
  </si>
  <si>
    <t>BUS -FIS CD -TC-CLR-422</t>
  </si>
  <si>
    <t>BUS -FIS CD -TC-CLR-424</t>
  </si>
  <si>
    <t>BUS -FIS CD -TC-CLR-425</t>
  </si>
  <si>
    <t>BUS -FIS CD -TC-CLR-426</t>
  </si>
  <si>
    <t>BUS -FIS CD -TC-CLR-428</t>
  </si>
  <si>
    <t>BUS -FIS CD -TC-CLR-430</t>
  </si>
  <si>
    <t>BUS -FIS CD -TC-CLR-431</t>
  </si>
  <si>
    <t>BUS -FIS CD -TC-CLR-432</t>
  </si>
  <si>
    <t>BUS -FIS CD -TC-CLR-433</t>
  </si>
  <si>
    <t>BUS -FIS CD -TC-CLR-434</t>
  </si>
  <si>
    <t>BUS -FIS CD -TC-CLR-435</t>
  </si>
  <si>
    <t>BUS -FIS CD -TC-CLR-436</t>
  </si>
  <si>
    <t>BUS -FIS CD -TC-CLR-437</t>
  </si>
  <si>
    <t>Holding Account</t>
  </si>
  <si>
    <t>Sungard Field</t>
  </si>
  <si>
    <t>Reversals</t>
  </si>
  <si>
    <t>As a user, on non connected markets, I need to load trades and CI with give-up details, and mark the trade as given up, using a "External Clearing Not Required" rule.</t>
  </si>
  <si>
    <t>Test comment field on the clearing instruction</t>
  </si>
  <si>
    <t>User would like to perform contingency procedure on bulk give up reversal operation.  Both Confirmation and failure should be available in the operations drop down</t>
  </si>
  <si>
    <t>As a middle office user, i would like to perform contingency procedure on give up reversal operation, Both Confirmation and failure should be available in the operations drop down</t>
  </si>
  <si>
    <t>FIS CD must support selecting multiple Eurex trades from the APS Wizard and merging the trades for average pricing</t>
  </si>
  <si>
    <t xml:space="preserve">When you select a trade and click allocate/give up that the right panel automatically opens and then closes after you have input your details and selected Save. </t>
  </si>
  <si>
    <t xml:space="preserve">When a trade is selected in the FIS CD UI the life cycle of the trade should be displayed in the Audit Trail. </t>
  </si>
  <si>
    <t xml:space="preserve">Data over 5 days old should be retrievable in Archive Mode in the FIS CD UI </t>
  </si>
  <si>
    <t>Test to ensure that NCM full service business is visible in FIS CD</t>
  </si>
  <si>
    <t>Test to ensure that NCM full service business can be cleared to Internal Accounts</t>
  </si>
  <si>
    <t>Test to ensure that NCM full service business can be given up to external FCM's</t>
  </si>
  <si>
    <t xml:space="preserve">Test to ensure that NCM full service business can be unmatched/cancelled </t>
  </si>
  <si>
    <t>Test to ensure that NCM give in business is visible in FIS CD</t>
  </si>
  <si>
    <t>Test to ensure that NCM give in business can be cleared to Internal Accounts</t>
  </si>
  <si>
    <t>Test to ensure that NCM give in business can be given up to external FCM's</t>
  </si>
  <si>
    <t xml:space="preserve">Test to ensure that NCM give in business can be unmatched/cancelled </t>
  </si>
  <si>
    <t xml:space="preserve">Once the give up is accepted by the destination firm, on GCM side the trade will be marked as Internal Former(deleted) and will not be visible anymore on the trade clearing workboard. </t>
  </si>
  <si>
    <t>New rule attribute added to the Non clearing member (NCM) bypass matching rule (BMR) to restrict NCM give in trades with NOT TAKEN status from triggering the specific NCM bypass matching rule.</t>
  </si>
  <si>
    <t>The ability to clear to an Indirect account type in FIS CD</t>
  </si>
  <si>
    <t>The ability to unmatch trades from an Indirect account type in FIS CD</t>
  </si>
  <si>
    <t>User should be able to search for account by alias when allocating by Allocate or ALT+A short key.</t>
  </si>
  <si>
    <t>The ability to clear to an Client account types in FIS CD</t>
  </si>
  <si>
    <t>The ability to unmatch trades from a Client account type in FIS CD</t>
  </si>
  <si>
    <t>The ability to clear to an Affiliate account types in FIS CD</t>
  </si>
  <si>
    <t>The ability to unmatch trades from an Affiliated account type in FIS CD</t>
  </si>
  <si>
    <t>The ability to clear to a House account types in FIS CD</t>
  </si>
  <si>
    <t>The ability to unmatch trades from a House account type in FIS CD</t>
  </si>
  <si>
    <t>The ability to clear to an Indirect, Client, Affiliate, House account type simultaneously in FIS CD</t>
  </si>
  <si>
    <t>The ability to unmatch trades from an Indirect, Client, Affiliate, House account type simultaneously in FIS CD</t>
  </si>
  <si>
    <t>The ability to clear give in trades directly to the ISA</t>
  </si>
  <si>
    <t>The ability to unmatch give in trades directly from the ISA</t>
  </si>
  <si>
    <t>The ability to clear full service T+ trades in FIS CD</t>
  </si>
  <si>
    <t>The ability to unmatch full service T+ trades in FIS CD</t>
  </si>
  <si>
    <t>The ability to clear give in T+ trades in FIS CD</t>
  </si>
  <si>
    <t>The ability to unmatch give in T+ trades in FIS CD</t>
  </si>
  <si>
    <t>The ability to extract at EOD all exchange lines and CI's into a excel .csv format</t>
  </si>
  <si>
    <t>The ability to perform positions transfers in FIS CD</t>
  </si>
  <si>
    <t>The ability to demerge trades from an already CCP submitted group</t>
  </si>
  <si>
    <t xml:space="preserve">Ensure that a Globex trade can be cleared </t>
  </si>
  <si>
    <t>Ensure that a Globex trade can be unmatched</t>
  </si>
  <si>
    <t>Allocations for Globex trades from previous day feeds on top day with correct fees</t>
  </si>
  <si>
    <t>The capability of marking trades as Open/Close via FIS CD</t>
  </si>
  <si>
    <t>The capability of re-writing open/close flag via FIS CD</t>
  </si>
  <si>
    <t>The ability to see trades executed by the clients with DMA access</t>
  </si>
  <si>
    <t>The ability to clear trades executed by the clients with DMA access</t>
  </si>
  <si>
    <t>The ability to unmatch trades executed by the clients with DMA access</t>
  </si>
  <si>
    <t>The capability of clearing give ins on Top day</t>
  </si>
  <si>
    <t>The capability of performing crosses vs client on Top day</t>
  </si>
  <si>
    <t>The capability of reversing give ins on Top day</t>
  </si>
  <si>
    <t>The capability of reversing crosses vs client on Top day</t>
  </si>
  <si>
    <t>The capability of clearing give ins on T+</t>
  </si>
  <si>
    <t>The capability of performing crosses vs client on T+</t>
  </si>
  <si>
    <t>The capability of reversing give ins on T+</t>
  </si>
  <si>
    <t>The capability of reversing crosses vs client on T+</t>
  </si>
  <si>
    <t xml:space="preserve">The capability of clearing/booking normal trade type </t>
  </si>
  <si>
    <t xml:space="preserve">The capability of clearing/booking give up clearer trade type </t>
  </si>
  <si>
    <t xml:space="preserve">The capability of clearing/booking exception trade type </t>
  </si>
  <si>
    <t xml:space="preserve">The capability of clearing/booking give up executor trade type </t>
  </si>
  <si>
    <t xml:space="preserve">The capability of clearing/booking reversal trade type </t>
  </si>
  <si>
    <t xml:space="preserve">The capability of clearing/booking correction trade type </t>
  </si>
  <si>
    <t>The capability of clearing a futures trade</t>
  </si>
  <si>
    <t>The capability of unmatching a futures trade</t>
  </si>
  <si>
    <t>The capability of clearing an options trade</t>
  </si>
  <si>
    <t>The capability of unmatching an options trade</t>
  </si>
  <si>
    <t>The capability of booking various LME time codes</t>
  </si>
  <si>
    <t>The capability of unmatching various LME time codes</t>
  </si>
  <si>
    <t>The capability of booking various LME environments</t>
  </si>
  <si>
    <t>The capability of unmatching various LME environments</t>
  </si>
  <si>
    <t>The capability of booking carry trades</t>
  </si>
  <si>
    <t>The capability of unmatching carry trades</t>
  </si>
  <si>
    <t>The capability of processing SVN on Options</t>
  </si>
  <si>
    <t>The capability of clearing European Style Options</t>
  </si>
  <si>
    <t>When user splits a trade and the new "allocate using alias" is  activated.</t>
  </si>
  <si>
    <t>The capability of unmatching European style Options</t>
  </si>
  <si>
    <t>The capability of clearing American Style Options</t>
  </si>
  <si>
    <t>The capability of unmatching American Style Options</t>
  </si>
  <si>
    <t>The capability of clearing Corporate Actioned Options</t>
  </si>
  <si>
    <t>The capability of unmatching Corporate Actioned Options</t>
  </si>
  <si>
    <t>Clearing -  TA Indicator’s on 576 trades for commission</t>
  </si>
  <si>
    <t>The ability to  give up T+ trades in FIS CD</t>
  </si>
  <si>
    <t>The ability to unmatch given up T+ trades in FIS CD</t>
  </si>
  <si>
    <t>Test of the Holding account for trades in FIS CD</t>
  </si>
  <si>
    <t>Test of the Return account for trades in FIS CD</t>
  </si>
  <si>
    <t xml:space="preserve">Test of give-in CI trade matching - client file of all give-ins loaded as CI </t>
  </si>
  <si>
    <t xml:space="preserve">Capable of give-in CI split trade matching - client file of all give-ins loaded as CI </t>
  </si>
  <si>
    <t>Check to ensure that the exchange lines are feeding into FIS CD</t>
  </si>
  <si>
    <t>Test of Stock Contingent &amp; Stock Contingent Block trades</t>
  </si>
  <si>
    <t xml:space="preserve">Ensure that a give in pending acceptance trade can be rejected and is now displayed under the Give-In rejected tile. </t>
  </si>
  <si>
    <t>Ensure reallocation from one house account to another house account works.</t>
  </si>
  <si>
    <t>Ensure reallocation from one give-up account to another give-up account works.</t>
  </si>
  <si>
    <t>Ensure reallocation from one customer account to give-up account works.</t>
  </si>
  <si>
    <t>Ensure reallocation from one give-up account to customer account works.</t>
  </si>
  <si>
    <t>Ability to add split legs to partially matched group clearing instruction</t>
  </si>
  <si>
    <t>Ability to add new legs to an existing split CI</t>
  </si>
  <si>
    <t>Validate that Historical Clearing Instructions can be viewed in the FIS CD UI</t>
  </si>
  <si>
    <t>Validate that Historical Exchange trades can be viewed in the FIS CD UI</t>
  </si>
  <si>
    <t xml:space="preserve">There should be no Full Service trades at EOD in a Matched or Clearing in Progress status in FIS CD. Tiles should show zero records indicating everything has cleared as expected. </t>
  </si>
  <si>
    <t xml:space="preserve">There should be no Full Service trades at EOD in a Matched status in FIS CD. Tiles should show zero records indicating everything has cleared as expected. </t>
  </si>
  <si>
    <t>Test to ensure that a set of eligible Exchange trades can be manually averaged in the FIS CD UI</t>
  </si>
  <si>
    <t>Ensure that a mixture of eligible Give-in trades and FS trades can be manually averaged to a new NVAP group</t>
  </si>
  <si>
    <t>Ensure that multiple floor trades can be averaged to a new APS group using APS account</t>
  </si>
  <si>
    <t>Ensure that multiple Give-in trades can be averaged to a new APS group using APS account</t>
  </si>
  <si>
    <t>Ensure that multiple Give-in trades can be averaged to a existing APS group using APS account</t>
  </si>
  <si>
    <t>Ensure that trades executed on a dollar account are already averaged in the Clearing GUI</t>
  </si>
  <si>
    <t>Ensure that an APS trade can be marked as give-up from FEC+</t>
  </si>
  <si>
    <t>Ensure that an APS SLED can be marked as group from FEC+</t>
  </si>
  <si>
    <t>Ability to manually average set of eligible trades into a NVAP group from Clearing GUI</t>
  </si>
  <si>
    <t>Ensure that multiple floor trades can be manually averaged to a new NVAP group</t>
  </si>
  <si>
    <t>Ensure that multiple floor trades can be manually averaged to a existing NVAP group</t>
  </si>
  <si>
    <t>Ensure that multiple Give-in trades can be manually averaged to a new NVAP group</t>
  </si>
  <si>
    <t>Ensure that an NVAP Give-in Trade is updated and cleared with a Clearing Instruction on Customer account.</t>
  </si>
  <si>
    <t>Ensure that an NVAP give-in trade can be rejected from market watch.</t>
  </si>
  <si>
    <t>Ensure that an NVAP Give-in trade can be cleared on a give-up account.</t>
  </si>
  <si>
    <t>Ensure user creates NVAP from Give-in trade and split give-up.</t>
  </si>
  <si>
    <t>Ensure that NVAP Give-ins issued by different brokers can be cleared.</t>
  </si>
  <si>
    <t>Ability to unmatch give in trades directly from the ISA</t>
  </si>
  <si>
    <t>MOS</t>
  </si>
  <si>
    <t>FLEX</t>
  </si>
  <si>
    <t>GCM</t>
  </si>
  <si>
    <t>Violity</t>
  </si>
  <si>
    <t>DMA</t>
  </si>
  <si>
    <t>LME</t>
  </si>
  <si>
    <t>Rates and Fees</t>
  </si>
  <si>
    <t>LME T+N</t>
  </si>
  <si>
    <t>LME CROSS T+N</t>
  </si>
  <si>
    <t>LME TRADE TYPE</t>
  </si>
  <si>
    <t>LME FUTURES</t>
  </si>
  <si>
    <t>LME OPTIONS</t>
  </si>
  <si>
    <t>LME TIME CODES</t>
  </si>
  <si>
    <t>LME CARRY TRADES</t>
  </si>
  <si>
    <t>Euro Options</t>
  </si>
  <si>
    <t>Amer Options</t>
  </si>
  <si>
    <t>Corp Actions</t>
  </si>
  <si>
    <t>CMTA</t>
  </si>
  <si>
    <t>Transfers</t>
  </si>
  <si>
    <t>Options</t>
  </si>
  <si>
    <t>OPEN/CLOSE</t>
  </si>
  <si>
    <t>576 Trades</t>
  </si>
  <si>
    <t xml:space="preserve">Overdue </t>
  </si>
  <si>
    <t>Broker Feed</t>
  </si>
  <si>
    <t>Block Matching</t>
  </si>
  <si>
    <t>Force Matching</t>
  </si>
  <si>
    <t>CTI</t>
  </si>
  <si>
    <t>Support bulk delete of the trades</t>
  </si>
  <si>
    <t>Delete Trades</t>
  </si>
  <si>
    <t>Destination Instructions</t>
  </si>
  <si>
    <t>ISIN</t>
  </si>
  <si>
    <t>BPMR</t>
  </si>
  <si>
    <t>Dashboard</t>
  </si>
  <si>
    <t>EMIR</t>
  </si>
  <si>
    <t xml:space="preserve">No late trading session executions for next day clearing in FISCD UI </t>
  </si>
  <si>
    <t>Next Day Clearing</t>
  </si>
  <si>
    <t>BUS -FIS CD -TC-SD-28</t>
  </si>
  <si>
    <t>BUS -FIS CD -TC-SD-29</t>
  </si>
  <si>
    <t>BUS -FIS CD -TC-SD-30</t>
  </si>
  <si>
    <t>BUS -FIS CD -TC-SD-31</t>
  </si>
  <si>
    <t>BUS -FIS CD -TC-SD-32</t>
  </si>
  <si>
    <t>BUS -FIS CD -TC-SD-33</t>
  </si>
  <si>
    <t>BUS -FIS CD -TC-SD-34</t>
  </si>
  <si>
    <t>BUS -FIS CD -TC-SD-35</t>
  </si>
  <si>
    <t>BUS -FIS CD -TC-SD-36</t>
  </si>
  <si>
    <t>Clearing - Account level static set up by Exchange</t>
  </si>
  <si>
    <t>Filtering</t>
  </si>
  <si>
    <t xml:space="preserve">Updating an Account Ref from Clearing Instruction </t>
  </si>
  <si>
    <t>BUS -FIS CD -TC-CLR-403</t>
  </si>
  <si>
    <t>BUS -FIS CD -TC-CLR-414</t>
  </si>
  <si>
    <t>BUS -FIS CD -TC-CLR-416</t>
  </si>
  <si>
    <t>BUS -FIS CD -TC-CLR-417</t>
  </si>
  <si>
    <t>BUS -FIS CD -TC-CLR-423</t>
  </si>
  <si>
    <t>BUS -FIS CD -TC-CLR-429</t>
  </si>
  <si>
    <t xml:space="preserve">Holiday Clearing </t>
  </si>
  <si>
    <t>Document Utilization</t>
  </si>
  <si>
    <t>Control</t>
  </si>
  <si>
    <t>Management</t>
  </si>
  <si>
    <t>Color Coded Columns</t>
  </si>
  <si>
    <t>Once a clearing instruction is blocked, it cannot not matched with a trade.  When unblocking a clearing instruction, a matching attempt must be triggered</t>
  </si>
  <si>
    <t>Load a Trade of 6 and 4 qty and CI of 7 and 3 qty and force match them, check below scenarios:
Scenario 1: Matching View Selecting a CI from In Progress Tile or CI Matched Tile.
◦User select a CI for 7 qty and go to matching view.
◦In the CI table, it should reflect only the selected CI and not both the legs.
◦In the Trade Table, "Matched Quantity" should reflect 6 and 1 or 4 and 3
◦and the "Quantity" should reflect as 6 and 4.
Scenario 2: Matching View Selecting a Trade from In Progress Tile 
◦User selects a Trade for qty 6 and go to matching view.
◦In the Trade Table, it should reflect only the selected trade and not both the legs.
◦In the CI Table, "Matched Quantity" should reflect 6 or 3 and 4.
◦And the "Quantity "should reflect as 7 and 3.
Scenario 3: Matching View Selecting a Trade from Cleared Tile
◦Once clearing has been completed, Matching View will reflect single trade and CI matched together in the Matched Quantity and Quantity column, as the trade has already been split.</t>
  </si>
  <si>
    <t>Matched Quantity - New column to be reflected when user clicks on the Matching View selecting the Trade and CI</t>
  </si>
  <si>
    <t>Enable "CROSS EXCHANGE GIVE UP" rule and insert CI's using above created DI having cross exchange give-up functionality as YES.</t>
  </si>
  <si>
    <t>Enable Exchange Feature "CROSS EXCHANGE GIVE UP" for rule set "Exchange Feature by Exchange".</t>
  </si>
  <si>
    <t xml:space="preserve">Create a DI having Exchange and CCP as ANY and Cross Exchange Give-Up as YES </t>
  </si>
  <si>
    <t>Make sure that Exchange Feature OPEN_CLOSE_INDICATOR exists for CCPs that are listed in the description
Upload a Trade on XEUR and check that Open/Close indicator is displayed when trying to allocate it OR Split it
Upload a Trade on XCME and check that Open/Close indicator is hidden from User on both Allocate and Split screen</t>
  </si>
  <si>
    <t>Adding Exchange Feature for O/C indicator</t>
  </si>
  <si>
    <t>Add contingency procedure to initiate the clearing process for 'Matched' trade</t>
  </si>
  <si>
    <t>Upload Trades and CIs from the attached file. Trades 1, 2 3 and CIs 1, 2, 3 will be matched automatically, Trade 4 will be unmatched.
Select trades from In Progress tile and go to Contingency Procedure - Reset all statuses related to Clearing. Trades and CIs are in Matched tile
Select one trade from Matched tile, click on the Contingency Procedure button and select the START_CLEARING_PROCESS action. Trade is In Progress now
Select two trades from Matched tile, click on the Contingency Procedure button and select the Start Clearing process bulk action. Trades are In Progress now
Go to Unmatched tile and from Trade 4 create new CI that will be assigned to DEFAULT account and will contain CTI code 2. Invalid trade will be moved to Matched tile. Click on that trade and check if Contingency Procedure button is disabled.
Select two valid and one invalid trades and check if Contingency Procedure button is enabled and Start Clearing Process action is available only for valid trades</t>
  </si>
  <si>
    <t>dd new 'Contingency Procedure' to 'Resubmit' trade for clearing when stuck in 'Matched' or 'In Progress' statuses</t>
  </si>
  <si>
    <t>Add contingency procedure action to re-initiate the clearing process for 'In progress' trade(s)</t>
  </si>
  <si>
    <t xml:space="preserve">Select one trade from In Progress tile, click on the Contingency Procedure button and select the RETRY_CLEARING_PROCESS action. Trade is still in In Progress tile. Select the same trade and go to Details button, View Audit Trail (on the right panel) and check if Retry Clearing Process Event has been triggered. 
Select two trades from In Progress tile, click on the Contingency Procedure button and select the Retry Clearing process bulk action. Trades are still in In Progress tile. Select one of these two trades and go to Details button, View Audit Trail and check if the Retry Clearing Process Event has been triggered. </t>
  </si>
  <si>
    <t>For trades in 'In progress' status, add a new contingency procedure to re-initiate the clearing request for 1 or more trades.</t>
  </si>
  <si>
    <t>Status of O/C indicator should pre exist from trade on allocate screen details</t>
  </si>
  <si>
    <t>Open/Close indicator is added on split-screen and on the grid.</t>
  </si>
  <si>
    <t>Split screen UI- O/C indicator should exist on allocate screen details</t>
  </si>
  <si>
    <t>New attributes have been added for Bulk CI Edit action via Trade Clearing Work Board: Order ID, Trader and Match ID.</t>
  </si>
  <si>
    <t>Additional attributes should be added in bulk added CI mode:
Order ID
Trader
Match ID (required by Barclays under TS1981994)</t>
  </si>
  <si>
    <t>UI-Clearing</t>
  </si>
  <si>
    <t>Additional attributes added for bulk edit CIs</t>
  </si>
  <si>
    <t>Go to FIS CD middle panel and load some Trades/CI's.
Select one Exchange and get into Querying all trades mode. Filter some columns and check the results. 
Select one row with unmatched Trade and check all possible actions. 
At the same time, with another user or via API update, match the selected Trade.
Try performing matching from Querying all Trades mode. Error should be displayed.</t>
  </si>
  <si>
    <t>Querying all Trades mode is improved by adding action buttons for Trades and Clearing Instructions which are part of filtered results. All actions can be performed on one selected item depending on it's status.</t>
  </si>
  <si>
    <t>When looking at the tile "cleared executed trades", the actions available are:
split
allocate 
give-ups
Those actions should also be available on the "Cleared give-ins" tile</t>
  </si>
  <si>
    <t>Allocate from " Cleared Give-ins" tile</t>
  </si>
  <si>
    <t>Give-up from " Cleared Give-ins" tile</t>
  </si>
  <si>
    <t>New action buttons "Allocate" are added to Trade Clearing Work Board middle panel on "Give-In Cleared" Tile.</t>
  </si>
  <si>
    <t>New action buttons "Give-Up" are added to Trade Clearing Work Board middle panel on "Give-In Cleared" Tile.</t>
  </si>
  <si>
    <t>Give In</t>
  </si>
  <si>
    <t>Support of new attribute Trade order venue in middle panel</t>
  </si>
  <si>
    <t>BUS -FIS CD -TC-CLR-438</t>
  </si>
  <si>
    <t>BUS -FIS CD -TC-CLR-439</t>
  </si>
  <si>
    <t>BUS -FIS CD -TC-CLR-440</t>
  </si>
  <si>
    <t>BUS -FIS CD -TC-CLR-441</t>
  </si>
  <si>
    <t>BUS -FIS CD -TC-CLR-442</t>
  </si>
  <si>
    <t>BUS -FIS CD -TC-CLR-443</t>
  </si>
  <si>
    <t>BUS -FIS CD -TC-CLR-444</t>
  </si>
  <si>
    <t>BUS -FIS CD -TC-CLR-445</t>
  </si>
  <si>
    <t>BUS -FIS CD -TC-CLR-446</t>
  </si>
  <si>
    <t>BUS -FIS CD -TC-CLR-447</t>
  </si>
  <si>
    <t>BUS -FIS CD -TC-SD-37</t>
  </si>
  <si>
    <t>BUS -FIS CD -TC-SD-38</t>
  </si>
  <si>
    <t>BUS -FIS CD -TC-SD-39</t>
  </si>
  <si>
    <t>Confirm if one leg of a split ci is blocked, the split ci cannot be matched. Or if one leg is unblocked, all legs should be unblocked at the same time, and matching could happen.</t>
  </si>
  <si>
    <t xml:space="preserve">AC 1
1.insert a split with all legs blocked
2.insert one more leg with unblock status
3.group ci is unblocked, all legs are unblocked
4.insert a trade that should match with this group ci
5.matching happens
AC 2
1.insert a split with all legs blocked
2.insert a trade that should match with this group ci
3.matching should not happen,
4.send update on 1 ci to unblock it
5.group ci is unblocked, all legs are unblocked, matching happens
 </t>
  </si>
  <si>
    <t>Ensure trades can be cleared to accounts in multiple firms</t>
  </si>
  <si>
    <t>Allocate a TAM trades</t>
  </si>
  <si>
    <t>Allocate a BTIC Trade</t>
  </si>
  <si>
    <t>Allocate a TACO Trade</t>
  </si>
  <si>
    <t>Allocate a TECH Trade</t>
  </si>
  <si>
    <t>Allocate a BLK QTPIP Trade</t>
  </si>
  <si>
    <t>Allocate a CMP Trade</t>
  </si>
  <si>
    <t xml:space="preserve">1. Trade Clearing
2. FS Unmatched
3. Select a TECH Trade (TrdSubTyp as 63)
4. Allocate the trade
5. Apply
6. Trade is in FS cleared
7. Please note the Trade type can only be viewed on the Trade and in Back office                                 
9. Validate trades appears as expected in Back office                     </t>
  </si>
  <si>
    <t xml:space="preserve">1. Trade Clearing
2. FS Unmatched
3. Select a BLK QTPIP Trade (TrdSubTyp as 1007)
4. Allocate the trade
5. Apply
6. Trade is in FS cleared
7. Please note the Trade type can only be viewed on the Trade and in Back office                                 
9. Validate trades appears as expected in Back office              </t>
  </si>
  <si>
    <t xml:space="preserve">1. Trade Clearing
2. FS Unmatched
3. Select a CMP Trade (TrdSubTyp as 1008)
4. Allocate the trade
5. Apply
6. Trade is in FS cleared
7. Please note the Trade type can only be viewed on the Trade and in Back office                                 
9. Validate trades appears as expected in Back office              </t>
  </si>
  <si>
    <t>BUS -FIS CD -TC-CLR-411-A</t>
  </si>
  <si>
    <t>Bulk update of clearing instruction attribute: "Commission Description"</t>
  </si>
  <si>
    <t>Bulk update of sending firm on the clearing instruction/split clearing instruction</t>
  </si>
  <si>
    <t xml:space="preserve">From Accounts Bulk Edit option, User would be able to add/update/remove the exchange for the linked counterparty accounts. </t>
  </si>
  <si>
    <t>BUS -FIS CD -TC-SD-29-A</t>
  </si>
  <si>
    <t>New Matching View for many to many Forced Matched Trades</t>
  </si>
  <si>
    <t>New Matching View on many to many Partially Matched Trades</t>
  </si>
  <si>
    <t xml:space="preserve"> New column to be reflected when user clicks on the Matching View selecting the Trade and CI.</t>
  </si>
  <si>
    <t>Toggle View - In the matching View screen, toggle button will be available only for many to many matching (split scenarios as well). Upon clicking on the toggle button, all the trades and CI matched together should be reflecting.
Below scenarios to be tested:
o	Matching View Selecting a CI from In Progress Tile or CI Matched Tile.
o	Matching View Selecting a Trade from In Progress Tile 
o	Matching View Selecting a Trade from Cleared Tile
1.	go to the TCWB
2.	in the middle panel, select 2 trades having the same details, but different quantities (6 and 4) 
3.	press the "Matching Wizard" button
4.	in the matching wizard, the user finds 2 clearing instructions with quantities 3 and 5 and selects them
5.	then the user presses the "Force Match" button and enters a reason
6.	go to the in progress tile and select the trade of 6 (which is partially matched)
7.	the user presses the "view matching" button</t>
  </si>
  <si>
    <t xml:space="preserve">A new flag in Bypass matching rule to create a normal clearing instruction instead of an internal clearing instruction. </t>
  </si>
  <si>
    <t xml:space="preserve">Bulk Edit Rules having By-Pass Action Allocate/Give-Up -
◦Create rules having By-Pass action as Allocate and Give-Up - User should be able to bulk edit the rule and change the value of Create Clearing Instruction and the changes should be visible on the audit trail.
Note: This feature is only valid for Bypass Action - "Allocate and Give-Up" and user will get an warning message if trying to save a rule having by-pass action other than Allocate or Give-Up.
</t>
  </si>
  <si>
    <t>BUS -FIS CD -TC-CLR-449</t>
  </si>
  <si>
    <t>BUS -FIS CD -TC-CLR-450</t>
  </si>
  <si>
    <t>BUS -FIS CD -TC-CLR-451</t>
  </si>
  <si>
    <t>BUS -FIS CD -TC-CLR-452</t>
  </si>
  <si>
    <t xml:space="preserve">Ability to clear full service trades trades executed under I and given up to ISA under </t>
  </si>
  <si>
    <t xml:space="preserve">The ability to clear full service trades  executed under I and given up to ISA under </t>
  </si>
  <si>
    <t xml:space="preserve">The ability to unmatch full service trades  executed under I and given up to ISA under </t>
  </si>
  <si>
    <t>The ability to clear full service trades under I membership</t>
  </si>
  <si>
    <t>Ability to clear full service trades trades to UK</t>
  </si>
  <si>
    <t>The ability to clear full service trades  to UK</t>
  </si>
  <si>
    <t>Ability to unmatch full service trades trades in UK</t>
  </si>
  <si>
    <t>The ability to unmatch full service trades  in UK</t>
  </si>
  <si>
    <t>Ability to clear give in  trades trades to UK</t>
  </si>
  <si>
    <t>The ability to clear give in  trades  to UK</t>
  </si>
  <si>
    <t>Defining as/of date filters based on the date offset rather than just actual dates</t>
  </si>
  <si>
    <t xml:space="preserve">Go to quick filters, create a filter based on date, Choose filters defined as T+1, T+2, T+3, T+4, T+5 under T+n time dimension. You will not be forced to change the filter each day. </t>
  </si>
  <si>
    <t xml:space="preserve">We need the ability to pick dynamic date filters defined as T+1, T+2, T+3, T+4, T+5 under T+n time dimension. 
In the context of LME, we will need the ability to pick from T+1 to T+10 as the retention period on LME is 10 days. Weekends should also be taken into consideration, same as they are covered under T+n time dimensions. </t>
  </si>
  <si>
    <t>Automatic matching when price is saved as 0.0</t>
  </si>
  <si>
    <t xml:space="preserve">Trade and Clearing Instruction are now automatically matched when in the rule we put the integer as a number and on a Clearing Instruction is a decimal number set as a price with 0 after dot. </t>
  </si>
  <si>
    <t xml:space="preserve">1. Create rule setup like in the screenshots 
2. Load trade and CI from attachment (setup we have for non-connected markets can be used to resolve the tasks: JPNY for counterparty, just add clearing firm -&gt;CCP relationship with ICEUS~ and JPL for processing firm)
3.  if a clone of the CI is performed from UI price is saved as 0 in the database and automatic matching is triggered, also it works if CI is loaded with a price which is not in decimal format 0.0
Expected: Trade and CI should be matched automatically
</t>
  </si>
  <si>
    <t>BUS -FIS CD -TC-CLR-453</t>
  </si>
  <si>
    <t>BUS -FIS CD -TC-CLR-454</t>
  </si>
  <si>
    <t>New Exchange Feature for "Create Clearing instruction" in BPMR-BULK Edit</t>
  </si>
  <si>
    <t>BUS -FIS CD -TC-CLR-455</t>
  </si>
  <si>
    <t>Confirm Last login date/time for security reasons</t>
  </si>
  <si>
    <t>New attributes Counterparty and Clearing Code are added for filtering into the left-hand panel in Trade Clearing Work Board under all tiles.</t>
  </si>
  <si>
    <t>BUS -FIS CD -TC-CLR-456</t>
  </si>
  <si>
    <t>BUS -FIS CD -TC-CLR-457</t>
  </si>
  <si>
    <t>BUS -FIS CD -TC-CLR-458</t>
  </si>
  <si>
    <t>BUS -FIS CD -TC-CLR-459</t>
  </si>
  <si>
    <t>Insert several Give In Trades.
Go to FIS CD middle panel Give In flow and check left hand panel for Group Indicator attribute.</t>
  </si>
  <si>
    <t>Group Indicator attribute added under Give in group by</t>
  </si>
  <si>
    <t xml:space="preserve">New attribute Group Indicator is added for filtering into the left-hand panel in Trade Clearing Work Board give-in section. </t>
  </si>
  <si>
    <t>As a user, I might receive give-in trades with a group indicator set on them in case when opposite firm sends APS/NVAP trades. 
In order to easily identify such trades, a group indicator should be added under Give-In grouped by section in the left-hand panel.    Insert several Trades.
Go to FIS CD middle panel and check left hand panel for Counterparty and Clearing Code attributes.
Use them for filtering and check the results.</t>
  </si>
  <si>
    <t xml:space="preserve">The last login time is updated to display the previous log-in of the current user due to security reasons, rather than displaying the actual log-in time of the current session. </t>
  </si>
  <si>
    <t>Log in to FIS CD and then log out. Remember the time of log out.
Log in with the same user after couple of hours and check if last log in time displayed (like in attached picture) is the time of previous login (first one).
Check several users.</t>
  </si>
  <si>
    <t>Reallocate clearing instructions under unmatched clearing instruction tile</t>
  </si>
  <si>
    <t>Allocate action is added to for Clearing Instructions under CI Unmatched tile of Trade Clearing Work Board</t>
  </si>
  <si>
    <t>Delete clearing instructions under holding tile</t>
  </si>
  <si>
    <t xml:space="preserve">Enabling "Delete" action button for holding Clearing Instructions on Trade Clearing Work Board middle panel. </t>
  </si>
  <si>
    <t xml:space="preserve">
Insert several CI's into Holding tile. Match some of those with Trades.
Go to TCWB middle panel and select all inserted CI's in Trade/CI Holding tile and check if button Delete is enabled. Delete all CI's and check if they are moved to CI Deleted tile. For matched CI's also check that Trades are moved to Unmatched tile.
Check if there is confirmation pop up prior to deleting and success message after.</t>
  </si>
  <si>
    <t>On MFE/Montreal, the APS is supported only from the exchange UI.</t>
  </si>
  <si>
    <t>When an APS is performed from the Exchange UI, the SGW receives all messages and sends them to FIS CD.
In MFE, when an APS is performed, all trades of this APS are updated with the average price, but the merge is not done, MFE keeps the individual trades.</t>
  </si>
  <si>
    <t>Off-Exchange APS - Split Cash Residual when Reopening Trade is split</t>
  </si>
  <si>
    <t xml:space="preserve">Support of Off-Exchange APS Full clearing matching CI which clears the related Reopening Trade. </t>
  </si>
  <si>
    <t>Cash residual is well split between legs when:
◦Reopening Trade is split in the off exchange APS wizard
◦Reopening Trade is split directly from the Trade List Viewer
Cash residual on the legs should follow the rule defined in the description.</t>
  </si>
  <si>
    <t xml:space="preserve">Split cash residual based on the leg quantity when the Reopening Trade is split. </t>
  </si>
  <si>
    <t>BUS -FIS CD -TC-CLR-460</t>
  </si>
  <si>
    <t>Off-Exchange APS Full Matching and Clearing</t>
  </si>
  <si>
    <t>1.	Select one trade
2.	Select APS Wizard
3.	Check Select All Button
4.	Ensure there is a minimum of 1,000 trades selected.
5.	Add Group ID 
6.	Check APS Button
7.	Add Exec Acct Name if possible.</t>
  </si>
  <si>
    <t>Ensure that a jobbed-out trade can be cleared successfully.</t>
  </si>
  <si>
    <t>Clearing Give-in Jobbed Out</t>
  </si>
  <si>
    <t>Clearing Give Up Jobbed Out</t>
  </si>
  <si>
    <t>Ensure that a jobbed-out GU trade can be cleared successfully.</t>
  </si>
  <si>
    <t>Ability to auto book all unaccepted give ups to a default account at EOD</t>
  </si>
  <si>
    <t>The ability to auto book all unaccepted give ups to a default account at EOD</t>
  </si>
  <si>
    <t>Ability to clear flex products and send them with correct information to back off system</t>
  </si>
  <si>
    <t>The ability to clear flex products and send them with correct information to back off system</t>
  </si>
  <si>
    <t xml:space="preserve">Ensure that Block trade type posted by an external broker is cleared successfully with a proper trade type indicator in the FIS CD UI and processed in back off system. </t>
  </si>
  <si>
    <t>Ensure that Outright trade type is cleared successfully with a proper trade type indicator in the FIS CD UI and processed in back off system</t>
  </si>
  <si>
    <t>Ensure that Volatility trade type is cleared successfully with a proper trade type indicator in the FIS CD UI and processed in back off system</t>
  </si>
  <si>
    <t>Ensure that Published trade type is cleared successfully with a proper trade type indicator in the FIS CD UI and processed in back off system</t>
  </si>
  <si>
    <t>Ensure that Non Published trade type is cleared successfully with a proper trade type indicator in the FIS CD UI and processed in back off system</t>
  </si>
  <si>
    <t>Ensure that FIS CD is able to send IFEU and IFED products to back off system</t>
  </si>
  <si>
    <t xml:space="preserve">Direct to back off system Flow </t>
  </si>
  <si>
    <t>Ensure all Direct flow accounts bypass FIS CD and Clear to back off system and load properly.</t>
  </si>
  <si>
    <t>Test the trade Export to back off system is in the same format with the existing key fields populated to not impact operations processing or downstream feeds</t>
  </si>
  <si>
    <t>Confirmation of trade counts between FIS CD and back off system to ensure no trades have dropped in the trade feed</t>
  </si>
  <si>
    <t>1. Clear a volatility trade (e.g. contract - FVS) to an account. Expected result: Check if the trade is in back off system with correct contract code value</t>
  </si>
  <si>
    <t xml:space="preserve">1. Trade Management 
2. Trade Clearing
3. Change Filter to 'T+n'
4. Click on 'Full Service Cleared' tile
5. Export trades for previous day into CSV file
6. Pivot results by account and transaction count
7. Perform steps 5 &amp; 6 for 'Give Up Pending' tile
8. Perform steps 5 &amp; 6 for 'Give Up Accepted' tile
9. Perform steps 5 &amp; 6 for 'Give In Cleared' tile
10. Take DTN file produced at EOD previous clearing day by back off system team
11. Remove REGEN trades
12. Pivot trades based on account and transaction count
13. Compare the data between FIS CD exports and back off system DTN file to highlight differences
14. All differences will need to be investigated and explained or fixed
</t>
  </si>
  <si>
    <t>1.	Go to Trade/ CI Unmatched
2.	Select 1 trade
3.	Select APS Wizard
4.	Check the NAVP Box
5.	Select all trades to add to your NVAP Group
6.	Create Group ID Name  (ALL CAPS &amp; 6 Characters or less)
7.	Select Save and Send (to CCP)
8.     Review confirmation box with notional value and select OK
9.	Go to Trade/CI Unmatched
10.	Select NAVP trade (Group Indicator N)
11.	Select split
12.	Enter qty 
13.	Enter price (enter price within range)
14.   Input account 
15.   CTI CODE = 2
16.   Make sure all details are calibrated at bottom of split screen
17.   Select Apply.
18.   Trade should be in FS Cleared tile
19.   Validate in back off system</t>
  </si>
  <si>
    <t>1.	Go to Trade/ CI Unmatched
2.	Select 1 trade
3.	Select APS Wizard
4.	Check the NAVP Box
5.	Select all trades to add to your NVAP Group
6.	Create Group ID Name  (ALL CAPS &amp; 6 Characters or less)
7.	Select Save and Send (to CCP)
8.     Review confirmation box with notional value and select OK
9.	Go to Trade/CI Unmatched
10.	Select NAVP trade (Group Indicator N)
11.	Select split
12.	Enter qty 
13.	Enter price (enter price within range)
14.   Input account
15.   CTI CODE = 4
16.   Make sure all details are calibrated at bottom of split screen
17.   Select Apply.
18.   Trade should be in FS Cleared tile
19.   Validate in back off system</t>
  </si>
  <si>
    <t xml:space="preserve">1.Go to Trade/CI Unmatched 
2.Select 1 trade
3.Select APS Wizard
4.Check the NAVP Box
5.Select all trades to add to your NVAP Group
6.Create Group ID Name (ALL CAPS &amp; 6 Characters or less)
7.Select Save and Send (to CCP)
8.Review confirmation box with notional value and select OK
9.Go to Trade/CI Unmatched
10.Select NAVP trade (Group Indicator N)
11.Select split
12.Enter qty less than total
13.Enter price (enter price within range)
14.Input account 
15.CTI CODE = 2
16.Select add
17.Enter qty less than total
18.Enter price (enter price within range)
19.Input account 
20. CTI Code=2
20.Select Add
21.Make sure all details are calibrated at bottom of split screen and is partially allocated 
22.Select Apply.
23.Pop up message will confirm the allocation qty is less than trade qty, select ok.
24.Confirm results in FISCD
25.Confirm results in back off system
</t>
  </si>
  <si>
    <t>1.Go to Trade/CI Unmatched 
2.Select 1 trade
3.Select APS Wizard
4.Check the NAVP Box
5.Select all trades to add to your NVAP Group
6.Create Group ID Name (ALL CAPS &amp; 6 Characters or less)
7.Select Save and Send (to CCP)
8.Review confirmation box with notional value and select OK
9.Go to Trade/CI Unmatched
10.Select NAVP trade (Group Indicator N)
11.Select split
12.Enter qty less than total
13.Enter price (enter price within range)
14.Input account
15.CTI CODE = 4
16.Select add
17.Enter qty less than total
18.Enter price (enter price within range)
19.Input account 
20. CTI Code=4
20.Select Add
21.Make sure all details are calibrated at bottom of split screen and is partially allocated 
22.Select Apply.
23.Pop up message will confirm the allocation qty is less than trade qty, select ok.
24. Confirm results in FISCD
25. Confirm results in back off system</t>
  </si>
  <si>
    <t xml:space="preserve">1.Go to Trade/CI Unmatched 
2.Select 1 trade
3.Select APS Wizard
4.Check the NAVP Box
5.Select all trades to add to your NVAP Group
6.Create Group ID Name (ALL CAPS &amp; 6 Characters or less)
7.Select Save and Send (to CCP)
8.Review confirmation box with notional value and select OK
9.Go to Trade/CI Unmatched
10.Select NAVP trade (Group Indicator N)
11.Select split
12.Enter qty less than total
13.Enter price (enter price within range)
14.Input account 
15.CTI CODE = 4
16.Select add
17.Enter qty less than total
18.Enter price (enter price within range)
19.Input Destination Instruction 
20. CTI Code=4
20.Select Add
21.Make sure all details are calibrated at bottom of split screen and is partially allocated 
22.Select Apply.
23.Pop up message will confirm the allocation qty is less than trade qty, select ok.
24.Confirm results in FISCD
25.Confirm results in back off system
</t>
  </si>
  <si>
    <t>1.	Trade Clearing_x000D_
2.	Give-in Cleared _x000D_
3.	Group Indicator= N_x000D_
4.	Select Trade _x000D_
5.     Allocate with split screen_x000D_
6	Select Unmatch  from give up  pending tab_x000D_
7.       trade should go back to unmatched and you can reallocate_x000D_
8.	Trade should be in GI accepted_x000D_
9.	Checked trade is removed from back off system</t>
  </si>
  <si>
    <t>1.	Trade Clearing
2.	Give-Up pending 
3.	Group Indicator= N
4.	Check back off system for trade
5.	Select Trade 
6.	Select Unmatch
7.	Trade should be in FS matched-select unmatched
8.	Checked trade is removed from back off system</t>
  </si>
  <si>
    <t xml:space="preserve">1. Go to Trade/CI Unmatched
2. Go to Column Outright/Spread- select Spread
3. Select Buy and Sell trades with the same 'Order ID' 
4. Select Allocate 
5. Enter Account 
6. Select Apply
7. Trades should be in FS cleared
8.  Confirm in back off system
</t>
  </si>
  <si>
    <t xml:space="preserve">1. Trade Clearing
2. Give in Pending
3. Select Column Outright/Spread= Spread
4. Find the Buy and Sell with the same Order ID
5. Sort by the Order ID and Buys
6. Select Buys 
7. Select Give Up 
8. Enter qty 
9. Input Destination Instruction 
10. CTI CODE = 4
11. Select apply
12. Select Sells 
13. Select Allocate
14. Input account
15. CTI CODE = 4
16. Select Apply
17. Validate in FISCD
18.  Validate in back off system
</t>
  </si>
  <si>
    <t>1.  Trade Clearing_x000D_
2   Full service unmatched_x000D_
3.  Filter for Spread trades_x000D_
4.  Average 1st leg of spread_x000D_
5.  Average 2nd leg of spread_x000D_
6  (Use APS wizard)_x000D_
7.  Locate trades in Full service_x000D_
8.  Allocate_x000D_
9   Validate trades in FISCD_x000D_
10.  Validate trades in back off system</t>
  </si>
  <si>
    <t>Test to ensure that a electronic spread trade is cleared to two different accounts successfully in the FIS CD UI and processed in back off system</t>
  </si>
  <si>
    <t>1. Trade Clearing
2. FS Cleared
3. Select trades with Trade Type = Spread
4. Both Trades should have the same order ID.
5. Split Allocate the buy side to an account and a destination instruction
6. Split Allocate the sell side to an account and a destination instruction
7. Check to see one set of the sled is in FS Cleared tile
8. Check to see if the other sled is in GU Pending tile. 
9. Validate trades appear as expected in back off system with Spread code "S" and GO broker code on GU trades.</t>
  </si>
  <si>
    <t>1.Trade Clearing
2.FS  Unmatched
3.Trade Type = Spread
4. select trade, select price override, update price, hit apply
5. allocate trade
6. Trade with new price s/b in FS Cleared or GU Pending
7 . Validate trades appear as expected in back off system</t>
  </si>
  <si>
    <t xml:space="preserve">TAS trade with temporary price matched with CI and FCD/Exchange are later updated automatically with the Final price and reflected in back off system. </t>
  </si>
  <si>
    <t xml:space="preserve">1. Select Hamburger Menu
2. Trade Management
3. Trade Clearing
4. Click on Unmatched Trade/CI
5. Select Trade with the price status is temporary and the trade type is TAS
6. Allocate the trades to an internal Account
7. Trade should appear as cleared                          
8. Validate original trade in back off system  
9. The exchange will update the settlement price
10. The trade price will change in clearing             
11. Once price has changed follow steps 8 and 9
12. Updated price should now be shown on the trade in back off system                                                                                                              </t>
  </si>
  <si>
    <t>Test to ensure that TAS executed as Block final price trades can be cleared successfully in the FIS CD UI and processed in back off system</t>
  </si>
  <si>
    <t xml:space="preserve">1. Trade Clearing
2. FS Unmatched
3. Split
4. You can split the trade as many times you'd like
5. Save
6. Check GU Pending/FS Cleared/CI Matched
7. Please note the Trade type can only be viewed on the Trade and it updated from BLK,TAS to BLK,TAS, OFFSETALLOC for the GUs.                                                 
9. Validate trades appears as expected in back off system                       </t>
  </si>
  <si>
    <t>Test to ensure that TAS executed as Spread final price trades can be cleared successfully in the FIS CD UI and processed in back off system</t>
  </si>
  <si>
    <t xml:space="preserve">1. Trade Clearing
2. FS Unmatched
3. TT = TAS, Price Status = Temporary or Final, Outright/Spread = Spread
4. Allocate
5. Once trades appear as cleared
6. Validate trades appear as expected in back off system with TAS/Spread Indicator
7. If "Temporary" trade was allocated
</t>
  </si>
  <si>
    <t xml:space="preserve">1. Trade Clearing
2. FS Unmatched
3. TT = TAS, Price Status = Temporary, outright/spread
4. Allocate
6. Validate trades appear as expected in back off system with TAS/spread indicator
7. Then we need to check whether FCD/back off system update once the final price populates
</t>
  </si>
  <si>
    <t>1. Trade Clearing
2. FS Unmatched
3. TT = TAS, Price Status = Temporary, Outright/Spread = Spread
4. Allocate
5. Log into back office systems
6. Validate trades appear as expected
7. Validate trades appear as expected in back off system with TAS/Spread Indicator
8. Then we need to check whether FCD/back off system update once the final price populates
9. Execute steps 6 through 8 again to check updated TAS price in back off system</t>
  </si>
  <si>
    <t>Test to ensure that Block trade is cleared successfully with a proper trade type indicator in the FIS CD UI and processed in back off system</t>
  </si>
  <si>
    <t>1.Trade Clearing
2.FS Cleared
3.Trade Type = EFR
4. Log into back office systems
5. Validate trades appear as expected
6. Validate trades appear as expected in back off system</t>
  </si>
  <si>
    <t>1. Trade Clearing
2. Trade/CI unmatched
3.  Select trade with "cabinet trade type" = fixed
4.  Allocate the trade to 
5. validate the trade in FISCD
6. Validate the trade in back off system</t>
  </si>
  <si>
    <t>Test that all the commission indicators are received from upstream system, displayed in GUI (and downstream in back off system) and stored in the system for further processing
~ = Electronic
# = Voice
SM~ = Sponsored market
RT~,RT#,RD~,QB~</t>
  </si>
  <si>
    <t>Test to ensure that an 'As Of' Historical Give In trade with execution date T-1 is cleared successfully in the FIS CD UI and processed in back off system</t>
  </si>
  <si>
    <t>1. From Hamburger Menu choose Trade Management then Trade Clearing                                                        2. Change Work board view from Top Day to T+n                                                           3.  Go to Give In Pending Tile  
4. Select one trade in the middle panel
5. Click on Allocate button
6. Populate Account number in account field in right hand panel
7. Select apply                                                                              8. Trade will go into Clearing in progress then into Give In Cleared Tile                                                                                                                           9. Log into internal system to make sure the  trade hits 
11. Validate trade appears as expected in back off system with GI and broker code</t>
  </si>
  <si>
    <t>Test to ensure that an 'As Of' Historical Full Service trade with execution date T-1 is cleared successfully in the FIS CD UI and processed in back off system</t>
  </si>
  <si>
    <t>Test to ensure that an 'As Of' Historical Give Up trade with execution date T-1 is cleared successfully in the FIS CD UI and processed in back off system</t>
  </si>
  <si>
    <t>1.From Hamburger Menu choose Trade Management then Trade Clearing
2. Change Work board view from Top Day to T+n 
3. Go to Full Service Unmatched Tile
4. Select one trade in the middle panel
5. Click on Give- Up
6. Input Destination Instruction in right hand panel
7. Destination Firm (will auto populate)
8. Destination Firm Alias (will auto populate)
9. Destination Ref (will auto populate)                                                                                                                                   
10. Select Apply
11. Trade will go into Clearing in Progress then appear in GU Pending or GU Accepted tile
12. Validate trades appear as expected in back off system with GO + broker code</t>
  </si>
  <si>
    <t>Test to ensure that an 'As Of' Historical Full Service Split Allocation trade with execution date T-1 is cleared successfully in the FIS CD UI and processed in back off system</t>
  </si>
  <si>
    <t>Test to ensure that an 'As Of' Historical Give Up split allocation trade with execution date T-1 is cleared successfully in the FIS CD UI and processed in back off system</t>
  </si>
  <si>
    <t>Test to ensure that an 'As Of' Historical Mixed Split Allocation trade with execution date T-1 is cleared successfully in the FIS CD UI and processed in back off system</t>
  </si>
  <si>
    <t>Test to ensure that an 'As Of' Historical trade with execution date T-1 is split given-up successfully in the FIS CD UI and processed in back off system</t>
  </si>
  <si>
    <t>1. Go to T+n Screen
2. Select desired trade from Unmatched Trade/CI or Select Cleared FS Trade
3.Select Split
4. Input the 1st Quantity and account 
5. Select Add.  The allocation will appear in the middle panel
6. Input the 2nd Quantity and account…etc.
7. Select Add.  The allocation will appear in the middle panel
8. Before saving make sure your allocation is correct and check the bottom panel to make sure the split percentage is 100% before Saving.
9. Select Save- Green successful split indicator on bottom of right panel
10. Validate cleared trades in FIS CD
11. Validate cleared trades in back off system.</t>
  </si>
  <si>
    <t>Test to ensure that a trade update (e.g. account update) can be performed from Exchange GUI  and is reflected in both FIS CD UI and back off system</t>
  </si>
  <si>
    <t>1. ICE UAT
2. Claims
3. Accept a trade
4. Check Give-In Accepted (Goes here because it still needs to be allocated)
5. Go back to Exchange, change Ref to MEGAN
6. Save
7. Check the Give-In Accepted and  make sure the ref changed                                    
10. Validate trades appear as expected in back off system</t>
  </si>
  <si>
    <t>Test to ensure that an 'As Of' Historical trade can be accepted from the Exchange GUI and it successfully flows to Clearing GUI and back off system</t>
  </si>
  <si>
    <t xml:space="preserve">1.  Select trade in Give ins_x000D_
2.  Select Give up_x000D_
3.  Enter Destination instruction details, hit apply_x000D_
4.  Check to make sure trade hits give up tab _x000D_
5.  Check back off system for give out record </t>
  </si>
  <si>
    <t>Test to ensure that weekly expiry option trades can be successfully cleared in the FIS CD UI and processed in back off system</t>
  </si>
  <si>
    <t>Select Option trade "KD"
Allocate to account
Trade will feed back off system as a Daily Option</t>
  </si>
  <si>
    <t>Create a Clearing Instruction from Trade using New Clearing Instruction button, where you will have a cleared trade and matched CI. Trade should feed into back off system to the selected account</t>
  </si>
  <si>
    <t>Test to auto match APS trades and Clearing Instructions with matching on average price in the FIS CD UI and processed in back off system</t>
  </si>
  <si>
    <t>Test to remove a trade from an existing APS group in the FIS CD UI and processed in back off system</t>
  </si>
  <si>
    <t>Test to Unmatch and reverse the APS Give-in, in the FIS CD UI and processed in back off system</t>
  </si>
  <si>
    <t>Test to ensure that a trade can be cleared using a Clearing Instruction created by entering details into CI entry screen in the FIS CD UI and processed in back off system</t>
  </si>
  <si>
    <t>Ensure that a full service trade can be manually averaged to a new APS group in the FIS CD UI and processed in back off system</t>
  </si>
  <si>
    <t>Ensure that a full service trade can be manually averaged to a existing APS group in the FIS CD UI and processed in back off system</t>
  </si>
  <si>
    <t>Ensure that a Give-in trade can be manually averaged to a new APS group in the FIS CD UI and processed in back off system</t>
  </si>
  <si>
    <t>Ensure that a Give-in trade can be manually averaged to a existing APS group in the FIS CD UI and processed in back off system</t>
  </si>
  <si>
    <t xml:space="preserve">Ensure a Full Service trade can be cleared to a House Account (Citi= 2) and feed into back off system. </t>
  </si>
  <si>
    <t>1. Go to NCM tab.  2. Select a trade under full service “unmatched”.  3. Allocate it into one of NCM accounts. 4. Go to back off system and validate the trade.   5. Check the GUI and validate the trade.</t>
  </si>
  <si>
    <t xml:space="preserve">1. Go to NCM tab.  2. Select a trade under full service “unmatched”.  3. Create a new destination instruction.  4. Select reference and clearing broker.  5. Trade should move from “unmatched” to give up “pending”.  6. Once external FCM allocates is, the trade will flow to give up “accepted”.  7. Go to back off system and validate it.  8. Go to CCP and validate it. </t>
  </si>
  <si>
    <t xml:space="preserve">1. Go to NCM tab.  2. Select a trade under full service “unmatched”.  3. Allocate it into one of NCM accounts.  4. Go to back off system and validate the trade. 5. Check the GUI and validate the trade.  6. Go to FCD full service “cleared” tile, select the trade and click “unmatch”.  7. The trade goes back to “unmatched” tile.  8. Go to back off system and check if the trade is cancelled from the account.   </t>
  </si>
  <si>
    <t>1. Ask to execute a give in offered to NCM member code.  2. Go to give in “pending” and allocate the trade to NCM account.  3. Trade should move from tile “pending” to “cleared”.  4. Go to back off system and validate.  5. Go to CCP and validate.</t>
  </si>
  <si>
    <t xml:space="preserve">Ensure a Full Service trade can be cleared to a Client Account (Citi= 4) and feed into back off system. </t>
  </si>
  <si>
    <t xml:space="preserve">1. Ask to execute a give in offered to NCM member code.  2. Go to give in “pending” and create a destination instruction.  3. Select a reference and give up broker and give up a trade.  4. From give in “pending” trade will move to give up “pending”.  5. Once clearing broker allocates the trade, it will move to give up “accepted”.  6. Go to back off system and validate.  7. Go to CCP and validate.  </t>
  </si>
  <si>
    <t xml:space="preserve">1. Ask to execute a give in offered to NCM member code.  2. Go to give in “pending” and allocate the trade to NCM account.  3. Trade should move from tile “pending” to “cleared”.  4. Go to back off system and validate the trade.  5. Check the GUI and validate the trade.  6. Go back to FCD give in “cleared” tile, select the trade and click “unmatch”.  7. The trade goes back to “accepted” tile.  8. Go to back off system and check if the trade is cancelled from the account. </t>
  </si>
  <si>
    <t>1. Filter full service tile (Cleared) by “Executing Firm Alias” column and look for the broker code values. 2. Clear trade to the correct NCM account.  3. Check if it feeds to back off system. (Marcin P)</t>
  </si>
  <si>
    <t xml:space="preserve">Ensure a Give In trade can be cleared to a House Account (Citi= 2) and feed into back off system. </t>
  </si>
  <si>
    <t>1. Ask to execute some give ins with ISA acc reference.  2. Check the “give in - pending” tile if trades are in.  3. Allocate it to ISA account – trade should move from “pending” to “cleared”.  4. Validate the trade in back off system.   5. Go to the exchange and check if the trade has a correct account type.</t>
  </si>
  <si>
    <t xml:space="preserve">1. Ask to execute some give ins with ISA acc reference.  2. Check the “give in - pending” tile if trades are in.  3. Allocate it to ISA account – trade should move from “pending” to “cleared”.  4. Validate the trade in back off system.   5. Go to the exchange and check if the trade has a correct account type.  6. Go to “cleared” tile, select the trade and click “unmatch”.  7. Trade should go to “accepted” tile.  8. Go to back off system and check the account if the trade is canceled from the account. </t>
  </si>
  <si>
    <t xml:space="preserve">Ensure a Give In trade can be cleared to a Client Account (Citi= 4) and feed into back off system. </t>
  </si>
  <si>
    <t xml:space="preserve">Ensure a FS trade can be given up to an FCM, reflect in Give-Up Pending tile and this give-up record is displayed in back off system with the receiving firm populated. </t>
  </si>
  <si>
    <t xml:space="preserve">Multiple trades should be selected and then cleared to a Client Account and be reflected in back off system. </t>
  </si>
  <si>
    <t xml:space="preserve">Ensure Multiple trades can be selected and then cleared to a House  Account and be reflected in back off system. </t>
  </si>
  <si>
    <t xml:space="preserve">Ensure Multiple trades can be selected and then cleared to a Give Up Account and be reflected in back off system. </t>
  </si>
  <si>
    <t xml:space="preserve">Ensure that a Full Service trade can be split and cleared. Post clearing these should be reflected in back off system. </t>
  </si>
  <si>
    <t xml:space="preserve">Ensure that a Full Service trade can be split and given up. Post processing these should be  reflected in back off system with receiving FCM details. </t>
  </si>
  <si>
    <t>Verify Corporate Action trades can be cleared - 1. Match with CI as normal, 2. If no CI, allocate to internal account, 3. Verify in back off system</t>
  </si>
  <si>
    <t>Verify Corporate Action trades can be unmatched and cleared - 1. Unmatch trade, 2. Verify trade has been removed from back off system, 3. Allocate to internal account and verify trade is in back off system once again reference</t>
  </si>
  <si>
    <t>Verify CMTA trades are cleared correctly in back off system - 1. Allocate to account, 2. Verify in back off system that GIOCD is correct for broker code and that broker information is populating, i. GI from external broker – GIOCD ‘GI’, ii. GI from Barclays membership – GIOCD ‘TA'</t>
  </si>
  <si>
    <t xml:space="preserve">Ensure that a Full Service trade can be given up and claimed under the Give-Up Accepted tile. Post processing this should be reflected in back off system with the receiving FCM details. </t>
  </si>
  <si>
    <t xml:space="preserve">Ensure a Full Service trade that is given up and rejected by the receiving firm is listed under the Give-Up Rejected tile. This should briefly appear in back off system while pending and then no longer be present after rejection. </t>
  </si>
  <si>
    <t>1. Trade Clearing
2. FS Unmatched
3. Filter on Trade Type of 'STKC' for Stock Contingent Trades
4.. Select trades 
5. Hit Allocate button
6. Select An Account from the drop down list
7. Hit Apply                                                                                                                               8. Trade will move into FS Cleared tile                                                                                                                                     
9. Validate trades appear as daily options in back off system
10. Once trades are validated in back off system request STMT file to be generated for this account from back off system Team
11. On the back off system Statement Trades should be flagged on this account as 'Stock Contingent' Trades</t>
  </si>
  <si>
    <t xml:space="preserve">Ensure when a Full Service trade is given up and rejected by the receiving firm that its listed under the Give-Up Rejected tile. Then we will give-up again to the same firm. The back off system details should briefly appear while pending and then no longer be present after rejection and finally appear again after repeated give-up. </t>
  </si>
  <si>
    <t xml:space="preserve">Ensure that a give in pending acceptance trade can be accepted and that its displayed under the Give-In cleared tile. Post acceptance the trade should be reflected in back off system with firm details. </t>
  </si>
  <si>
    <t xml:space="preserve">Ensure that a give in pending acceptance trade can be rejected and is now displayed under the Give-In rejected tile. Once the trade is alleged again, ensure it can be accepted. It should now be displayed under the Give-In cleared tile. Post processing the trade should be reflected in back off system with the firm details. </t>
  </si>
  <si>
    <t xml:space="preserve">Ensure a trade given up, pending acceptance can be cancelled via the UNMATCH button. The trade should briefly appear in back off system and then be removed automatically after UNMATCH has completed and processed through to back off system. </t>
  </si>
  <si>
    <t>Ensure that a Give-up trade can be canceled using the Unmatch button in the FIS CD UI and processed in back off system</t>
  </si>
  <si>
    <t xml:space="preserve">Ensure a trade allocated via a Clearing Instruction can then be re-allocated by editing the CI. The re-allocation should also be reflected in back off system, initially in the old account and then moved to the new account once this has been completed and processed into back off system. </t>
  </si>
  <si>
    <t xml:space="preserve">Ensure a trade given in can then be re-allocated via the give-up button. The re-allocation should also be reflected in back off system, initially in the old account and then moved to the new account once this has been completed and processed into back off system. </t>
  </si>
  <si>
    <t>Ensure a trade given up, pending acceptance can be cancelled via the UNMATCH button. The trade should briefly appear in back off system and then be removed automatically after UNMATCH has completed and processed through to back off system.   User will reallocate to make sure the new allocation is in back off system as well.</t>
  </si>
  <si>
    <t>Test to ensure that a trade with Clearing Instruction&gt;Exchange trade can be partially cleared using force matching functionality in the FIS CD UI and processed in back off system</t>
  </si>
  <si>
    <t>Test to ensure that an Exchange Trade&gt;Clearing Instruction can be partially cleared using force matching functionality in the FIS CD UI and processed in back off system</t>
  </si>
  <si>
    <t>Test to ensure that a give-in trade can be split allocated in the FIS CD UI and processed in back off system</t>
  </si>
  <si>
    <t>Test to ensure that tech trade can be cleared successfully in the FIS CD UI and processed in back off system</t>
  </si>
  <si>
    <t>Test to ensure that TBLK QTPIP trades can be cleared successfully in the FIS CD UI and processed in back off system</t>
  </si>
  <si>
    <t>Test to ensure that CMP COMPRESSION trades can be cleared successfully in the FIS CD UI and processed in back off system</t>
  </si>
  <si>
    <t>Test to ensure that a give-in trade can be cleared using a Bypass Matching order in the FIS CD UI and processed in back off system</t>
  </si>
  <si>
    <t xml:space="preserve">Ensure that a claimed give-up can then be reversed and re-allocated to another firm. back off system should reflect the initial give-up and then update to the new allocation/receiving firm details post processing being completed. </t>
  </si>
  <si>
    <t>1.Trade Management
2.FS In Progress
3.Choose a trade
4.Contingency Procedures
5.Select clearing acceptance
6.trade should go to cleared
7.Ensure trade hits back off system</t>
  </si>
  <si>
    <t>Test to ensure a Clearing Instruction can be manually registered in the FIS CD UI and processed in back off system</t>
  </si>
  <si>
    <t>Test to ensure a Destination Clearing Instruction can be manually registered in the FIS CD UI and processed in back off system</t>
  </si>
  <si>
    <t>Test to ensure an Exchange Trades can be manually registered in the FIS CD UI and processed in back off system</t>
  </si>
  <si>
    <t xml:space="preserve">1. Trade Clearing
2. Select Unmatched CI
3. Select Create Matching Trade
4. If trade and CI do not auto match then you have to  Force Match
5.Check FS Cleared or GU pending/accepted   
6. Validate trades appear as expected in back off system                                                         
</t>
  </si>
  <si>
    <t>Ensure a Full Service trade can be matched with a single Clearing Instruction. The trade will now be displayed in the Full Service Cleared/GU Pending Tile and the CI displayed in the CI Matched tile. The trade will also feed back off system.</t>
  </si>
  <si>
    <t>Test to ensure that a single Exchange trades can be matched with a single Clearing Instruction carrying multiple accounts in the FIS CD UI and processed in back off system</t>
  </si>
  <si>
    <t>Ensure a Full Service trade can be matched with multiple Clearing Instructions. The trade will now be displayed in the Full Service Cleared/GU Pending tile and the CIs displayed in CI Matched tile.  The trade will also feed back off system.</t>
  </si>
  <si>
    <t>Ensure multiple Full Service trades can be matched with a single Clearing Instruction. The trades will now be displayed in the Full Service Cleared/GU Pending tile and the CI displayed in CI Matched tile. The trades will also feed back off system.</t>
  </si>
  <si>
    <t>Test to ensure that multiple exchange trades can be matched with a single Clearing Instruction carrying multiple accounts in the FIS CD UI and processed in back off system</t>
  </si>
  <si>
    <t>Test to ensure that multiple Full Service trades can be added to an existing APS group by Manually averaging in the FIS CD UI and processed in back off system</t>
  </si>
  <si>
    <t>Test to ensure that an APS trade can be split given up from the FIS CD UI and processed in back off system</t>
  </si>
  <si>
    <t>Test to ensure that a Full Service APS trade can be split on Full Service accounts in the FIS CD UI and processed in back off system</t>
  </si>
  <si>
    <t>Test to ensure that an APS give-in trade can be cleared successfully in the FIS CD UI and processed in back off system</t>
  </si>
  <si>
    <t>Test to ensure that APS average price is displayed in the FIS CD UI and stored in Database and processed in back off system</t>
  </si>
  <si>
    <t>Test to ensure that APS residual is displayed in the FIS CD UI and stored in Database and processed in back off system</t>
  </si>
  <si>
    <t>Test to ensure that multiple Full Services trades can be added to a new APS group by Manually averaging in the FIS CD UI and processed in back off system</t>
  </si>
  <si>
    <t>Test to ensure that multiple Exchange trades can be matched with multiple Clearing Instructions in the FIS CD UI and processed in back off system</t>
  </si>
  <si>
    <t xml:space="preserve">1. Select Hamburger Menu
2. Trade Management, Clearing Setup, Destination Instructions
3. New
4. Name Account - 
5. Description: Testing GU
6. Destination Firm: 978
7. Destination Ref: FIS CD GU                                                                                                                   8. Go to Aliases - Add
9. Code=(B),(),(?????),(?????)
10. Name=(B),(),(?????),(?????)                                                                                                                                                                             11. External System=back off system                                                                                                                           12. Actions=OUT                                                                                                                                             13. Save Alias                                                                                                                                                   14. Save New DI                                                                                                                        </t>
  </si>
  <si>
    <t xml:space="preserve">1. Select Hamburger Menu
2. Trade Management, Clearing Setup, Destination Instructions
3. Search Account Identifier
4. Select Edit
5. Change Destination Ref: Update to 'FIS CD 2 NEW'                                                                                                                 6. Go to Aliases - Edit
9. Code=(B),(),(?????),(?????)
10. Name=(B),(),(?????),(?????)                                                                                                                                                                         9. External System=back off system                                                                                                                           10. Actions=OUT                                                                                                                                             11. Save Alias                                                                                                                                                   12. Save Updated DI                                                                                                                        </t>
  </si>
  <si>
    <t>1.Referential 
2.ETD Instruments
3.New
4.Exchange
5.Type = Future
6.Clearing Code = TEST
7. Description = Product Full Name
8. Alias
9. Add
10. Code = TEST
11. Name = TEST
12. External System = ETD Gateway_IFUS
13. Source Type = In
14. Add
15. Add again for new Alias
16. Code = TEST
17. Name = TEST
18. External System = back off system
19. Source Type = In
20. Add
21. Save
22. Click on New Mapping of TEST
23.Select Maturity Date Tab
24.New
25. Maturity = Dec19
26. Maturity Date - Same as Maturity but just contains log version, i.e. 12/31/2019
27.Save
28.Done</t>
  </si>
  <si>
    <t xml:space="preserve">Test to clear a trade to an account in FIS CD without a back off system BO mapping populated </t>
  </si>
  <si>
    <t>1.Referential
2.Accounts
3.New
4.Owner
5.Account
6.Clearing Account Ref
7.Alias
8.Added Code
9.NAME
10.External System back off system
11.System type IN
12.Code
13.NAME 
14.External System back off system
15.System Type Out
16.Code 
17.Name
18.External System Clearvision
19.System Type In
20.Relationships
21.Add Counterparty Name
22.Owner 
23.Account 
24.Matching Account Ref = 
25.Clearing Account Ref =
26.Hierarchy
27.Processing Firm 
28.Business Category
29.Business Unit = Default
30.Save</t>
  </si>
  <si>
    <t xml:space="preserve">Ensure that a given pending acceptance can be split and cleared. Post clearing these should be reflected in back off system with the firm details. </t>
  </si>
  <si>
    <t xml:space="preserve">Ensure that a Full Service trade can be mixed split and cleared between accounts/destination instructions. The trades should now be reflected in back off system with the destination bookings populating the receiving firms details. </t>
  </si>
  <si>
    <t>Verify indicator for trades on 576 - 1. Allocate to account, 2. Verify in back off system</t>
  </si>
  <si>
    <t xml:space="preserve">1. Accept a give in trade preferably from Credit Suisse to an internal account. 2.	Unmatch it from Give in Cleared tile. 3.	Trade should be now in Give in Accepted tile. 4.	Highlight the trade. Click give up button at the bottom. 5.	Populate Destination Firm Alias (e.g. CSSMD) and Destination Ref with Return value and click Apply. 6.	Trade should be now available in Give up Pending. Expected results: Trade should be removed from back off system. Once trade is accepted by the give up broker trade should be moved to Give up Accepted tile. , </t>
  </si>
  <si>
    <t>1.	Trade Clearing
2.	FS Unmatched
3.	Allocate
4.	Choose an account missing back off system details (You will have to edit a pre-existing account and delete the back off system details before allocating the trades - see that test case details)
5.	Save allocation
6.	Trade should then clear                                                                                      7. Requirement ID BUS - FIS CD - TC-REP-02 'Reporting - Missing back off system BO Mapping' should now be triggered for testing</t>
  </si>
  <si>
    <t xml:space="preserve">1. From Hamburger Menu choose Trade Management then Trade Clearing
2. Change Work board view from Top Day to T+n
3. Go to Full Service Unmatched tile
4.  Select one trade in the middle panel from TBD Exchange
5. Click on allocate button
6. Populate Account number in account field in right hand panel
7. Select apply
8. Trade will go into Clearing in progress then into Full Service Cleared Tile                                                                                                                     9. Log into back off system 
10. RIO Screen
11. Validate trade appears as expected in back off system </t>
  </si>
  <si>
    <t xml:space="preserve">1. From Hamburger Menu choose Trade Management then Trade Clearing                                                                    
2. Change Work board view from Top Day to T+n
3. Go to Full Service Unmatched tile (Note: You cannot allocate trades to one account, must use the split function to allocate to multiple accounts)
4.  Select one trade in the middle panel
4. Select the split button
5. Populate the quantity, Account number or destination instruction and select ADD.
6. Select apply once completed                                                                           
7. Trade will go into Clearing in progress then into GU and GI pending status
8. Log into back off system 
9. 
10. Validate trade appears as expected in back off system                                                                                                         </t>
  </si>
  <si>
    <t>1.Trade Clearing
2.Unmatched FS
3.Choose Weekly Option
4.Allocate/GU 
5.Make sure clears successfully                                                                                                  6.Log into back off system 
7. 
8. Validate trades appear as expected in back off system</t>
  </si>
  <si>
    <t xml:space="preserve">1. Trade Clearing
2. Give-In Pending
3. Allocate the APS internally 
4. Then Unmatch in Give-In Cleared
5. Go to Give-In Accepted and your trade should be sitting there
6. Have the opp broker put out a reversal
7. Confirm the task                                                                                                                                  8. Log into back off system 
9. 
10. Validate reversal appear as expected in back off system
</t>
  </si>
  <si>
    <t>1. Trade Clearing
2. Give-In Pending
3. Allocate the NAVP internally 
4. Then Unmatch in Give-In Cleared
5. Go to Give-In Accepted and your trade should be sitting there
6. Have the opp broker put out a reversal
7. Confirm the task                                                                                                                                  8. Log into back off system 
9. 
10. Validate reversal appear as expected in back off system</t>
  </si>
  <si>
    <t>1. Trade Management
2. Unmatched Full Service
3. Wrote down trade details of random trade
4. Went to Matched Clearing Instruction - Clicked New
5. Added Processing Firm, Trade Date, Instrument Type, Clearing Code, Maturity, Buy/Sell, Qty, Price, Account Owner, Account
6. Saved it
7. Went into Trade/CI Unmatched
8. Force Matched the Exchange Line and Allocation
9. Checked the trade was in Cleared and the Allocation was in the Matched Clearing Instruction                                                                                                        10. Log into back off system 
11. 
12. Validate trades appear as expected in back off system</t>
  </si>
  <si>
    <t>1. Trade Management
2. Trade Clearing
3. Select trade in middle panel
4. Select APS Wizard
5. See candidates on the right panel
6. Create the group ID with up to 6 characters
7. Select Save
8. Log into back off system 
9.                                                                                                                                                              10. Validate trades appear as expected in back off system</t>
  </si>
  <si>
    <t>1. Trade Management
2. Trade Clearing
3. Select trade in middle panel
4. Select APS Wizard
5. See candidates on the right panel
6. Type in a pre-existing  group ID
7. Select Save
8. Log into back off system 
9.                                                                                                                                                              10. Validate trades appear as expected in back off system</t>
  </si>
  <si>
    <t xml:space="preserve">1. Trade Management
2. Matching Rules
3. Select New
4. Exchange IFUS
5. Add Execution account ref 55555
6. Select allocate to 451A
7. Go to trade clearing screen
8. Select trade(s) with account 55555
9. Select resubmit for matching                                                                                                                                    10. All trade should be on the FS cleared screen in account 451A                                 11. Log into back off system 
12.                                                                                                                                                              13. Validate trades appear as expected in back off system 
</t>
  </si>
  <si>
    <t>1. Go to Give In pending Screen
2. Select one trade in the middle panel
3. Select Allocate 
4. Once the right panel populates 
5. Allocate to a customer account 
6. 1800A
7. Select apply                                                                                                                                9. Log into back off system 
9. 
10. Validate trades appear as expected in back off system</t>
  </si>
  <si>
    <t xml:space="preserve">1. From Hamburger Menu choose Trade Management then Trade Clearing 
2. Change Work board view from Top Day to T+n 
3.  Go to Give In Pending Tile 
4. Select one trade in the middle panel from TBD Exchange
5. Click on Allocate button
6. Populate the Full Service Account number in account field in right hand panel
7. Select apply
8. Trade will go into Clearing in progress then into Give In Cleared Tile                                                                                                                           9. Log into back off system 
10. 
11. Validate trade appears as expected in back off system with GI and the broker code </t>
  </si>
  <si>
    <t>1. Trade Clearing
2. FS Unmatched
3. Split
4. You can split the trade as many times you'd like, below are account examples 
5. Save
6. Check GU Pending/FS Cleared/CI Matched
Please note the Trade type can only be viewed on the Trade and it updated from BLK to BLK, OFFSETALLOC for the GUs.                                                             7.Log into back off system 
8. 
9. Validate trades appear as expected in back off system</t>
  </si>
  <si>
    <t>1. Trade Clearing
2. FS Unmatched
3. Select a Trade which will open right hand panel view
4. Go to 'OTHER' Tab and see if Trade Publish Indicator is '1' - You will need a trade with this field populated as '1' to execute this case
5. Once you have a Trade populated with '1' in this field close the window and then Hit Allocate button
6. Select An Account from the drop down list
7. Hit Apply                                                                                                                               8. Trade will move into FS Cleared tile                                                                                                                                     9. Log into back off system 
10. 
11. Validate trades appear as expected in back off system - there is no special indicator for these types of trade</t>
  </si>
  <si>
    <t>1. Trade Clearing
2. FS Unmatched
3. Select a Trade which will open right hand panel view
4. Go to 'OTHER' Tab and see if Trade Publish Indicator is '0' - You will need a trade with this field populated as '0' to execute this case
5. Once you have a Trade populated with '0' in this field close the window and then Hit Allocate button
6. Select An Account from the drop down list
7. Hit Apply                                                                                                                               8. Trade will move into FS Cleared tile                                                                                                                                     9. Log into back off system 
10. 
11. Validate trades appear as expected in back off system - there is no special indicator for these types of trade</t>
  </si>
  <si>
    <t>1. Trade Management
2. Trade Clearing 
3. Unmatched Trade/CI
4. Select Trade
5. Select Give- Up
6. Input Destination Instruction
7. Destination Firm (will auto populate)
8. Destination Firm Alias (will auto populate)
9. Destination Ref (will auto populate)                                                                                                                                   
10.Select Apply/Save.
11. Look for Trade in GU Pending or GU Accepted
12. Log into back off system 
11. 
12. Validate trades appear as expected in back off system with GO + broker code</t>
  </si>
  <si>
    <t>1. Trade Clearing
2. FS unmatched
3. Choose a trade and select Split
4. Choose Accounts
5. Check Full Service Cleared                                                                                                                                                             6. Log into back off system 
7. 
8. Validate trades appear as expected in back off system</t>
  </si>
  <si>
    <t>1. Trade Clearing
2. FS unmatched
3. Choose a trade and select Split
4. Choose an Account from dropdown and allocate some of the lots
5. Add client reference in Comment box
6.Hit Add
7. Select remaining lots
8. Choose another Account from dropdown
9.  Add another client reference in Comment box
10. Hit Save
11. Check Full Service Cleared Tile where split trades should appear                                                                                                                                                             12. Log into back off system 
13. 
14. Validate trades appear as expected in back off system
15. Once trades are confirmed as cleared in back off system request the DTN file to be sent by back off system team
16. Once DTN file is sent, search the file for the respective trades
17. The Exec Account Reference on the trades in FIS CD should appear in the PSRCAC field on the DTN file</t>
  </si>
  <si>
    <t>1. Trade Clearing
2. Give-Ins Pending tile
3. Select Trade
4. Allocate
5. enter account 
5. Save
6. Check trade is in Give In Cleared tile
7. Log into back off system 
8. 
9. Validate trades appear as expected in back off system with (GI + broker code)</t>
  </si>
  <si>
    <t>1. Trade Clearing
2. Give-Ins Pending
3. Select Trade
4. Reject
5. Input Reason
6. Check Give In Rejected tile      
7. Then once the firm re-alleges, accept
8. Allocate
9. Save
10. Check Give In Cleared                                                                                                       
11. Log into back off system 
12. 
13. Validate trades appear as expected in back off system</t>
  </si>
  <si>
    <t xml:space="preserve">1. Trade Management
2. Choose a trade 
3. Click Give-Up
4. Destination Ref - DBAPSPET
5. Save
6. Go to Give Up - Pending
7. back off system - Check in back off system If Give-Up is present
a. Log into back off system  
b. 
c. Validate trades appear as expected in back off system
8. Go back to FIS CD and Click UNMATCH on GU Pending Trade
9. Enter the Unmatch reason
10. Save
11. Make sure the trade moves back to FS Unmatched (it may move into FS Unmatched where you would need to unmatch again)
12. Check that the trade(s) is no longer in back off system (re-execute step 7 and trade should no longer be present in back off system)
</t>
  </si>
  <si>
    <t xml:space="preserve">1. Trade Management
2. Choose a trade 
3. Click Give-Up
4. Destination Ref - DBAPSPET
5. Save
6. Go to Give Up - Pending
7. back off system - Check in back off system If Give-Up is present
a. Log into back off system  
b. 
c. Validate trades appear as expected in back off system
8. Go back to FIS CD and Click Cancel Give-Up on GU Pending Trade
9. Make sure the trade moves back to FS Unmatched (it may move into FS Unmatched where you would need to unmatch again)
10. Check that the trade(s) is no longer in back off system (re-execute step 7 and trade should no longer be present in back off system)
</t>
  </si>
  <si>
    <t>1.	Give In Trade is sent to NextGen
2.	Go to the Trades list view and select this trade and click action "Allocate Trade".
3.	CCP replies with Trade Updates
4.	EDIT account / Clearing Instruction
5.	CCP replies with Registration message
6. Log into back off system 
7. 
8. Validate trades appear as expected in back off system</t>
  </si>
  <si>
    <t>1.	Insert a Give In Trade in the System
2.	Manually allocate trade to another account
3.	CCP replies with registration
4.	The opposite firm now sends a Reversal request
5.	The opposite firm Cancels the Reversal
6.	Go to the Trade and click on "Give Up Trade"                                                                 7. Log into back off system 
8. 
9. Validate trades appear as expected in back off system</t>
  </si>
  <si>
    <t>1. Trade Clearing
2. Ci Unmatched
3. New
4. Create a clearing CI - I made a 3 lot
5. Go to FS/CI and chose a smaller trade than allocation - I chose a 1 lot
6. Force Match
7. Check to make sure trade is in FS Clear, GU Pending or GU cleared
8. The CI should also reduce in Unmatched QTY ( the QTY will stay the same)                                                                                                                                           9. Log into back off system 
10. 
11. Validate trades appear as expected in back off system</t>
  </si>
  <si>
    <t>1. Trade Clearing
2. Select Unmatched Trade 
3. Select Create New CI 
4. Change the Qty to less than the trade
6. Add an Account
6. Force Match
7. Check to make sure trade is in FS Cleared
8. The remaining lots of the trade should be a new trade in FS Unmatched
8. The CI should in Matched status
9. Log into back off system 
10. 
11. Validate trades appear as expected in back off system</t>
  </si>
  <si>
    <t>1. Trade Clearing
2. Unmatched CI
3. Choose a CI without an error
4. Create Matching Trade
5. Check FS Cleared or GU pending/accepted                                                                                 6. Log into back off system 
7. 
8. Validate trades appear as expected in back off system</t>
  </si>
  <si>
    <t>1.Trade Clearing
2.Unmatched CI
3.Choose a CI without an error
4.Create Matching Trade
5.Check FS Cleared or GU pending/accepted 6. Log into back off system 
6.
7.Validate trades appear as expected in back off system</t>
  </si>
  <si>
    <t xml:space="preserve">1. Trade Clearing
2. Make sure you have CIs in CI Matched and in the Unmatched FS/CI screen, CIs/Trades clearing 
3. Log into back off system 
4.                                                                                                                                                              5. Validate trades appear as expected in back off system                   </t>
  </si>
  <si>
    <t>1. Trade Clearing
2. Find a single Trade and CI unmatched
3. Force Match
4. Check Cleared                                                                                                                   5. Log into back off system 
6. 
7. Validate trades appear as expected in back off system</t>
  </si>
  <si>
    <t>1. Trade Management
2. Trade Clearing
3. Select your trade
4. Split
5. Enter Multiple Account (Can be GU or Internal, below are example accounts to use for Account Owner or Dest Instructions)
 - L-ZSL-L4529 (House Account)
 - 911C ( Customer Account)
 - 001 ARAVG ( GU Account)
6. Save
7. Check FS Cleared/GU Pending/GU Accepted                                                                                 8. Log into back off system 
9. 
10. Validate trades appear as expected in back off system</t>
  </si>
  <si>
    <t>1. Trade Clearing
2. FS/CI
3. Find Trade and CIs
4. Force Match
5. If no CI's are present select trades and select new clearing instruction
6. Change the qty and add an account or DI.
7. Select the same trade again and create another CI, change the QTY and account.  
8. Trade should auto match and clear
9. Check FS Cleared, GU pending and Matched CIs to view your cleared trades.                                                                                                                                              10. Log into back off system 
11. 
12. Validate trades appear as expected in back off system</t>
  </si>
  <si>
    <t>1. Trade Clearing
2. CI Unmatched - New
3. After CI created go to FS/CI
4. Force Match (5 lot allo and 4 separate trade equating to 5 lots)
5. Check FS Clear/GU Pending/GU Accepted 
6. Done                                                                                                                                  7. Log into back off system 
8. 
9. Validate trades appear as expected in back off system</t>
  </si>
  <si>
    <t>1.	Trade Management
2.	Trade Clearing
3.	Select your trade
4.	Split
5.	Enter Multiple Account (Can be GU or Internal, below are example accounts to use for Account Owner or Dest Instructions) 
6.	L-ZSL-L4529 (House Account)
911C ( Customer Account)
001 ARAVG ( GU Account)
7.	Save
8.	Check FS Cleared/GU Pending/GU Accepted                                                      9. Log into back off system 
10. 
11. Validate trades appear as expected in back off system</t>
  </si>
  <si>
    <t>1. Trade Clearing
2. Trade/CI Unmatched 
3. Select Trade
4. APS Wizard
5. Select which trades you want and label Group name
6. Save Group or Save/Send to CCP                       7. If you just saved group you can come out of screen go back in later and highlight trade calling up APS Wizard then click Save and send                                                     8. Trade will then go into Clearing in progress then once merged will hit the Unmatched Trade Tile
9. Trade/CI Unmatched 
10. Split
11. Save after inputting accounts
12. Check GU Pending screen                                                                                                          13. Log into back off system 
14. 
15. Validate trades appear as expected in back off system</t>
  </si>
  <si>
    <t>1. Trade Clearing
2. Trade/CI Unmatched 
3. Select Trade
4. APS Wizard
5. Select which trades you want and label Group name
6. Save Group or Save/Send to CCP
7. If you just saved group you can come out of screen go back in later and highlight trade calling up APS Wizard then click Save and send                                                     8. Trade will then go into Clearing in progress then once merged will hit the Unmatched Trade Tile9. Trade/CI Unmatched 
10. Split
11. Save after inputting accounts
12. Check FS Cleared                                                                                                      13. Log into back off system 
14. 
15. Validate trades appear as expected in back off system</t>
  </si>
  <si>
    <t xml:space="preserve">1. Trade Clearing
2. Give-Ins Pending
3. Select Trade
4. Reject
5. Input Reason
6. Check Give In Rejected tile                                                                                            7. Log into back off system 
8. 
9. Validate trades appear as expected in back off system                                                                                               </t>
  </si>
  <si>
    <t>1. Trade Clearing
2. Create CIs if need in CI Unmatched
3. Go to FS/CI
4. Force Match multiple trades and CIs
5. Check FS Cleared/GU Pending/GU Accepted and CI matched                                                   6. Log into back off system 
7. 
8. Validate trades appear as expected in back off system</t>
  </si>
  <si>
    <t>1. Trade Clearing
2. Complete APS and send to CCP
3. APS Merged Screen
4. Look in Cash Residual Amount Field - make sure data is populated                            
5. Log into back off system 
6. 
7. Validate trades appear as expected in back off system</t>
  </si>
  <si>
    <t>Bulk Edit of attribute "Create Clearing Instruction" in BPMR</t>
  </si>
  <si>
    <t>Validate Auto BPMR for give in trade</t>
  </si>
  <si>
    <t>Static data - Bulk Static Update - BPMR</t>
  </si>
  <si>
    <t>Static Data - Bulk Static Insert - BPMR - Paste from Clipboard</t>
  </si>
  <si>
    <t>Static data - Bulk Static Deactivate - BPMR</t>
  </si>
  <si>
    <t>Static Data - Bulk Static Insert - BPMR  - Import File</t>
  </si>
  <si>
    <t>Test to ensure that a give-in trade can be cleared by manually triggering BPMR in the FIS CD UI and processed in back off system</t>
  </si>
  <si>
    <t>Ensure that multiple trades can be averaged to a existing APS group using APS BPMR</t>
  </si>
  <si>
    <t>Ensure that multiple floor trades can be averaged to a new APS group using APS BPMR</t>
  </si>
  <si>
    <t>Ability to bulk update a select set of static data for BPMR ( e.g. - bulk update of Sending Firm for an existing set of BPMR)</t>
  </si>
  <si>
    <t>Test the bulk upload of new BPMR into the Clearing Gui with paste from Clipboard</t>
  </si>
  <si>
    <t>Ability to select set of static data and Bulk deactivate an existing set of BPMR</t>
  </si>
  <si>
    <t>Test the bulk upload of new BPMR into the Clearing Gui with Import File</t>
  </si>
  <si>
    <t xml:space="preserve">Upon enabling this exchange feature, When user bulk edits the BPMR, the value of "Create clearing instruction" will always set to YES, however this field will be editable by the User for By-Pass action Allocate and Give-Up. </t>
  </si>
  <si>
    <t>202112.0.0</t>
  </si>
  <si>
    <t>202105.0.0</t>
  </si>
  <si>
    <t xml:space="preserve">Fix Version </t>
  </si>
  <si>
    <t>202107.0.0</t>
  </si>
  <si>
    <t>202108.0.0</t>
  </si>
  <si>
    <t>202110.0.0</t>
  </si>
  <si>
    <t>202111.0.0</t>
  </si>
  <si>
    <t>202106.0.0</t>
  </si>
  <si>
    <t>202103.3.0
202104.0.0</t>
  </si>
  <si>
    <t>202106.6.0
202109.0.0</t>
  </si>
  <si>
    <t>202109.0.0</t>
  </si>
  <si>
    <t>202109.1.0
202110.0.0</t>
  </si>
  <si>
    <t>202109.2.0
202110.0.0</t>
  </si>
  <si>
    <t>Delete Clearing Instructions created from BPMR when trade is deleted</t>
  </si>
  <si>
    <t>202109.0.0
202201.0.0</t>
  </si>
  <si>
    <t>Filter by "Look for Similar Items" should not include Price in the filter</t>
  </si>
  <si>
    <t>Load a trade and allocate/match with CI
Confirm if trade moves to CIP
Load 10 trades with trans type as 2 with quantity updates
Confirm if there are 10 tasks raised
Load the clearing rejection response from CCP
Confirm if Trade moved to matched tile and all the 10 tasks are resolved at once.
Confirm if trade moves to in progress
Confirm if the clearing request is sent for the final quantity update,</t>
  </si>
  <si>
    <t>When quantity updates are received on trade while clearing in progress, a task is raised for each update. All these tasks are now resolved at once when the trade status is changed from clearing in progress to matched.</t>
  </si>
  <si>
    <t>Add "Use Trade Account Ref" to any account and the counterparty account of the same account.
User exports the details in CSV file and values should be reflecting in the file for the specific account as well as the counterpart account.
User amend the value of "user trade account ref" for account as well as for counterparty account, changes should be reflecting in the UI.
User deletes the value of "User trade account ref" from the excel file and uploads it, the changes should be reflecting in the UI.
User add the value of "use trade account ref" for any account as well as for one of the counterparty account in the excel file and uploads the same, the new details should be reflecting in UI.
The above changes should also be reflecting in the audit trail of the account.</t>
  </si>
  <si>
    <t>202112.0.0   202201.0.0</t>
  </si>
  <si>
    <t>Scenario 1:
Upload a few executed trades
Give them up to member ABC
We received failure messages first and then Acceptance for the same operation requests
Trades will end up under the matched tile
Only recovery can be done using Contingency Procedures
Option 'GiveUp_REGISTRATION' will move our trades to Pending acceptance give up tile
(MANUALLY) check you can then contingency procedure to accept the give-up
Scenario 2:
Upload a few executed trades
Give them up to member ABC (external CI)
Send the responses so the trades will be in pending acceptance tile
User will cancel them--&gt; in progress
Send the responses for cancelation
Trades will end up in Matched tile
Check that Trades that are canceled will not have the ability to be recovered via 'GiveUp_REGISTRATION' option under Contingency.</t>
  </si>
  <si>
    <t>When giving-up a GCM trade to one of the own NCM, the Account drop-down is now displaying the NCM accounts (GCM and Sending firm are the same).</t>
  </si>
  <si>
    <t>NCM accounts on allocation dropdown list, when GCM and Sending firm are same</t>
  </si>
  <si>
    <t xml:space="preserve">Create a Clearing Instruction from Trade - Create and manually trigger to BPMR </t>
  </si>
  <si>
    <t xml:space="preserve">Create clearing instruction from BPMR </t>
  </si>
  <si>
    <t xml:space="preserve">Test BPMR on T+n trades Only </t>
  </si>
  <si>
    <t>Support of "Create clearing instructions" on BPMR rules for RO NCM</t>
  </si>
  <si>
    <t xml:space="preserve">User would be able to create the BPMR rule with create clearing instruction feature for RO NCM trades. </t>
  </si>
  <si>
    <t>Enabling the exchange feature rule-"ALWAYS_CREATE_CLEARING_INSTRUCTION"</t>
  </si>
  <si>
    <t xml:space="preserve">Create clearing instruction for manually allocated trades </t>
  </si>
  <si>
    <t xml:space="preserve">Ensure that NVAP group give-in can be split in different house accounts and in the FS cleared tab maybe the GI cleared tab </t>
  </si>
  <si>
    <t>Ensure that NVAP group give-in can be split in different customer accounts.</t>
  </si>
  <si>
    <t>Ensure that NVAP group give-in can be split in different self give-up accounts.</t>
  </si>
  <si>
    <t>Ensure that NVAP group give-in can be split in e.g. House/Customer/Self give-up/Give-up accounts.</t>
  </si>
  <si>
    <t>Ensure that NVAP group Floor can be split in different house accounts.</t>
  </si>
  <si>
    <t xml:space="preserve">1.Go to Trade/CI Unmatched
2.Select 1 trade
3.Select APS Wizard
4.Check the NAVP Box
5.Select all trades to add to your NVAP Group
6.Create Group ID Name (ALL CAPS &amp; 6 Characters or less)
7.Select Save and Send (to CCP)
8.Review confirmation box with notional value and select OK
9.Go to Trade/CI Unmatched
10.Select NAVP trade (Group Indicator N)
11.Select split
12.Enter qty 
13.Enter price (Same price if one allocation, otherwise stay within range) 
14. Enter account 
15. CTI Code: 2
16. Select add
17.Enter qty 
18.Enter price (Same price if one allocation, otherwise stay within range)
19. Enter account 
20. CTI Code: 2
21.Select add
22.Confirm price, qty and details on bottom of split screen 
23.Save.
</t>
  </si>
  <si>
    <t>Ensure that NVAP group Floor can be split in different customer accounts.</t>
  </si>
  <si>
    <t xml:space="preserve">1.Go to Trade/CI Unmatched
2.Select 1 trade
3.Select APS Wizard
4.Check the NAVP Box
5.Select all trades to add to your NVAP Group
6.Create Group ID Name (ALL CAPS &amp; 6 Characters or less)
7.Select Save and Send (to CCP)
8.Review confirmation box with notional value and select OK
9.Go to Trade/CI Unmatched
10.Select NAVP trade (Group Indicator N)
11.Select split
12.Enter qty 
13.Enter price (Same price if one allocation, otherwise stay within range) 
14. Enter account 
15. CTI Code: 4
16. Select add
17.Enter qty 
18.Enter price (Same price if one allocation, otherwise stay within range)
19.Enter account 
20. CTI Code: 4
21.Select add
22.Confirm price, qty and details on bottom of split screen 
23.Save.
</t>
  </si>
  <si>
    <t>Ensure that NVAP group Floor can be split in different self give-up accounts.</t>
  </si>
  <si>
    <t>Ensure that NVAP group Floor can be split in e.g. House/Customer/Self give-up/Give-up accounts.</t>
  </si>
  <si>
    <t xml:space="preserve">1.Go to Trade/CI Unmatched
2.Select 1 trade
3.Select APS Wizard
4.Check the NAVP Box
5.Select all trades to add to your NVAP Group
6.Create Group ID Name (ALL CAPS &amp; 6 Characters or less)
7.Select Save and Send (to CCP)
8.Review confirmation box with notional value and select OK
9.Go to Trade/CI Unmatched
10.Select NAVP trade (Group Indicator N)
11.Select split
12.Enter qty 
13.Enter price (Same price if one allocation, otherwise stay within range) 
14. Enter account
15. CTI Code: 4
16. Select add
17.Enter qty 
18.Enter price (Same price if one allocation, otherwise stay within range)
19.Input Destination Instruction 
20. CTI Code: 4
21.Select add
22.Confirm price, qty and details on bottom of split screen 
23.Save.
</t>
  </si>
  <si>
    <t>1.	Create NAVP Matching Rule 
2.	Select Matching Rules
3.	Select Rule Type=BYPASS_MATCHING
4.	Select Bypass Matching Action=TRADE CI
5.	Select Rule Set=Bypass Matching CI
6.	Select New 
7.	Condition CCP
8.	Trade-&gt;Give in Indicator is 
9.	Account NAVP 
10.	Bypass action=Add to NAVP Group 
11.	Allocate to 
12.	Create Group name
13.	Go to unmatched
14.	Select NAVP Trade
15.	Select split
16.	Enter qty less than Trade
17.	Enter Destination Instruct.
18.	Save.</t>
  </si>
  <si>
    <t xml:space="preserve">1.Go to Trade/CI Unmatched
2.Select 1 Buy trade
3.Select APS Wizard
4.Check the NAVP Box
5.Select all trades with the same 'Order ID' to add to your NVAP Group
6.Create Group ID Name (ALL CAPS &amp; 6 Characters or less)
7.Select Save and Send (to CCP)
8.Review confirmation box with notional value and select OK
9.Select 1 Sell trade
10.Select APS Wizard
11.Check the NAVP Box
12.Select all trades with the same 'Order ID' as the buy side to add to your NVAP Group
13.Create Group ID Name (ALL CAPS &amp; 6 Characters or less)
14.Select Save and Send (to CCP)
15.Review confirmation box with notional value and select OK
16.Go to Trade/CI Unmatched
17.Select NAVP trade (Group Indicator N)
18.Check you have marked Spread trades as a NVAP
19.Go to Trade/CI Unmatched
20.Select NAVP trade (Group Indicator N)
21.Select split
22.Enter qty 
23.Enter price (Same price if one allocation, otherwise stay within range) 14. Enter account  15. Select add
24.Enter qty 
25.Enter price (Same price if one allocation, otherwise stay within range)
26.Input GU account 
27.Select add
28.Confirm price, qty and details on bottom of split screen 
29.Save.
</t>
  </si>
  <si>
    <t>Ensure that EFR trade is cleared successfully with a proper trade type indicator.</t>
  </si>
  <si>
    <t>Ensure that EFP is cleared successfully with a proper trade type indicator.</t>
  </si>
  <si>
    <t>Ensure that PIT trade is cleared successfully with a proper trade type indicator.</t>
  </si>
  <si>
    <t>Ensure that a Globex trade is cleared successfully with a proper venue indicator.</t>
  </si>
  <si>
    <t>1. Trade Clearing
2. Matched CIs
3. Check column ‚¬ Commission Description Globex
4. Make sure some of the CIs have this populated(you can also click on the CI, Click the down arrow, select other , and you will see the commission description there)
5. Log into back off system 
6.                                                                                                                                                              7. Validate trades appear as expected in back off system</t>
  </si>
  <si>
    <t>1. Trade Clearing
2. Matched CIs
3. Check column ‚¬ Commission Description Clearport
4. Make sure some of the CIs have this populated(you can also click on the CI, Click the down arrow, select other , and you will see the commission description there)
5. Log into back off system 
6.                                                                                                                                                              7. Validate trades appear as expected in back off system</t>
  </si>
  <si>
    <t>Ensure that a transfer trade is cleared successfully with a proper trade type indicator.</t>
  </si>
  <si>
    <t>Ensure that cabinet trades can be cleared successfully with a proper trade type indicator.</t>
  </si>
  <si>
    <t>1.Tasks
2.Check for CI Failures
3.Amend the issue – i.e. add account/alias
4.Submit
5.Make sure CI Fed</t>
  </si>
  <si>
    <t xml:space="preserve">Accept a T+n (Historical) Give In Trade on top day </t>
  </si>
  <si>
    <t>Perform T+n (Historical) Give Up  from UNMATCHED on top day</t>
  </si>
  <si>
    <t xml:space="preserve">Perform a T+n (Historical) FS Split Allocation from UNMATCHED on top day </t>
  </si>
  <si>
    <t xml:space="preserve">1. From Hamburger Menu choose Trade Management then Trade Clearing                                                                             2. Change Work board view from Top Day to T+n 
3. Go to Full Service Unmatched Tile
4. Select one trade in the middle panel
5. Click on Split Button
6. Add quantity for first account
7. Under Allocate Trade Details input the Account
8. Click Add button at bottom left of screen                                                                     9. Repeat steps 6 - 8 until all splits are done and total quantity has been allocated                                                            10. Hit save button on bottom left of screen                                                                        11. Trade will go into Clearing in Progress then into the Full Service Cleared tile                                                                           12. Trades will appear as split in this tile                                                                                                                                         15. Validate trades appear as expected on internal systems </t>
  </si>
  <si>
    <t xml:space="preserve">Perform a T+n (Historical) Give Up Split Allocation from UNMATCHED on top day </t>
  </si>
  <si>
    <t xml:space="preserve">Perform a T+n (Historical) Mixed Split Allocation from UNMATCHED on top day </t>
  </si>
  <si>
    <t>1. From Hamburger Menu choose Trade Management then Trade Clearing                                                                             2. Change Work board view from Top Day to T+n 
3. Go to Full Service Unmatched Tile
4. Select one trade in the middle panel
5. Click on Split Button
6. Add quantity for the first Account
7. Under Allocate Trade Details input the Account
8. Click Add button at bottom left of screen                                                                     9. Add quantity for the Destination Instruction                                                        10. Under Give-Up Details enter Destination Instruction                                                           11. Click Add button at bottom left of screen                                                                      12. Continue steps 6 - 8 or 9 - 11 until full allocation of lots has been processed                                                                                                                 13. Hit save button on bottom left of screen                                                                        14. Trades will go into Clearing in Progress then into the Full Service Cleared tile and Give Up Pending / Give Up Accepted Tile                                                                           15. Trades will appear as split in these tiles                                                                                                                                      
16. Validate trades appear as expected in back off system</t>
  </si>
  <si>
    <t xml:space="preserve">Clear T+n (Historical) Trade on top day using Give Up split </t>
  </si>
  <si>
    <t>1.	Add a Legal entity "MOS" to Baseline Referential.
2.	Add Alias "078" to MOS entity for input sources.
3.	Input Sources : 
‚¬Â¢	ETDGateway_CME
‚¬Â¢	XSIM
‚¬Â¢	XCME
4.	Select MOS give in trade from XSIM/MOS broker
5.	Select Allocate 
6.	Right Panels opens
7.	Select L2204C
8.	Select Apply
9.	Check back off system to make sure the trade and GI broker is Calculated properly</t>
  </si>
  <si>
    <t>1.	Add a Legal entity "MOS" to Baseline Referential.
2.	Add Alias "078" to MOS entity for input sources.
3.	Input Sources : 
‚¬Â¢	ETDGateway_CME
‚¬Â¢	XSIM
‚¬Â¢	XCME
4.	Select unmatched outright trade in account L87800
5.	Select Allocate 
6.	Right Panels opens
7.	Select 958C
8.	Select Apply
9.	Check back off system to make sure the trade and GO broker is Calculated properly.</t>
  </si>
  <si>
    <t>1. FEC
2. Claims
3. TD = not top day
4. Adjust the CTI/Cleared if needed
5. Select Save/Accept
6. Check FCD - Give-In Accepted                                                                                      7. Log into back office systems
8. Validate trades appear as expected</t>
  </si>
  <si>
    <t>Self Give-Up</t>
  </si>
  <si>
    <t>Ability to support Standard / Default matching criteria configured in the FIS CD UI</t>
  </si>
  <si>
    <t xml:space="preserve">1. Trade Management
2. Matching Rules
3. Select Rule Type
4. Select Bypass Matching Action 
5. Select Rule Set = Self Executed and Give-In Bypass...
6. Apply
7. New
8. CCP
9. Exchange 
10. Processing Firm 
11. Any Ref you want 
12. Bypass Strategy Instruction 
13. Bypass Action = Strategy
14. Allocation Strategy = 75/25 ( or if you create a strategy choose that one)
****** Please note the strategy applies to each trade separately and not in bulk. IE if you grab two 2 lots for the 75/25 rule, it'll just distribute the trades evenly between bot accounts it won't recognize the two trades as one and actually split 75/25.
</t>
  </si>
  <si>
    <t>1.Trade Management
2.Matching Rules
3.Select Rule Type = BYPASS_MATCHING
4.Select Bypass Matching Action = Trade CI
5.Select Rule Set = Self Executed and Give-In Bypass...
6.Apply
7.New
8.CCP 
9.Exchange 
10.Processing Firm
11.Any Ref you want 
12.Bypass Strategy Instruction 
13.Bypass Action = Strategy
14.Allocation Strategy = 75/25 ( or if you create a strategy choose that one) ****** Please note the strategy applies to each trade separately and not in bulk. IE if you grab two 2 lots for the 75/25 rule, it'll just distribute the trades evenly between accounts, it won't recognize the two trades as one and actually split 75/25.</t>
  </si>
  <si>
    <t>Trade Clearing using a Clearing Instruction created from Trade</t>
  </si>
  <si>
    <t>Ability to auto-match APS trades with a tolerance matching on average price</t>
  </si>
  <si>
    <t xml:space="preserve">1. Trade Management
2. Trade Clearing
3. If you see any trades / Clearing Instructions with a Red exclamation mark this indicates the trade has an errors
4. Select the trade
5. Select see errors
6. Choose one of the displayed options to fix the error
                                              </t>
  </si>
  <si>
    <t>Trade Clearing using a Clearing Instruction created by entering details to Clearing Instruction entry screen</t>
  </si>
  <si>
    <t>Test FIS CD can consume Clearing instructions sent from Client front office system</t>
  </si>
  <si>
    <t>1. Trade Management
2. Matching Rues
3. Select Rule Type= Bypass Matching
4. Select Bypass Matching Action = Trade CI
5. Select Rule Set = Bypass Matching CI
6. Select New
7. CCP Name
8. Trade Exec Account Ref is = ?
9. Product NAME                                                                                                                                  
10. Bypass Action = ADD_TO_APS_GROUP
11. Group Name = ?
12. SAVE.
13. Go to Trade/CI Unmatched
14. Find 1 Trade with Exec Account Ref = TEST and Contract = ED
15. Select Trades
16. Select "Resubmit for matching"
17. Trades should return to Unmatched screen with Group Indicator "A"</t>
  </si>
  <si>
    <t>1.Trade Management
2.Matching Rues
3.Select Rule Type= Bypass Matching
4.Select Bypass Matching Action = Trade CI
5.Select Rule Set = Bypass Matching CI
6.Select New
7.CCP Name=
8.Trade Exec Account Ref is = ?
9.Product NAME =
10.Bypass Action = ADD_TO_APS_GROUP
11.Group Name = ?
12.SAVE.
13.Go to Trade/CI Unmatched
14.Find Trades with Exec Account Ref = TEST and Contract 
15.Select Trades
16.Select "Resubmit for matching"
17.Trades should return to Unmatched screen with Group Indicator "A"
18. Select More trades and select "Resubmit for matching"
19. The quantity on the APS should have increased</t>
  </si>
  <si>
    <t>Trade Clearing using a Clearing Instruction created by BPMR</t>
  </si>
  <si>
    <t>1. Trade Management                                                                                         2. Trade Clearing - Top Day
2. Click on Trade/CI Unmatched Tile
3. Individual Unmatched Trades and CI's will appear in the middle panel and totals by Exec Ref Account will be in the left hand panel
4. Check the counters in the Trade CI/Tile equals the Totals by Exec ref Account in the left hand panel
5. In Middle panel click Hamburger
6. Export to CSV
7. Open excel File generated in bottom left hand corner                                                       8. Validate total Unmatched Trades &amp; CI lines in CSV equals Total Unmatched Trades / CI's showing in the Tile                             9. The Unmatched Trade / CI tile number should also equal the sum of the Unmatched Full Service Tile plus the Accepted Give-In Tile (see 8)                          *** NB This test has to be executed quickly as the tile numbers will change on a regular basis during UAT testing as the system clears trades</t>
  </si>
  <si>
    <t>1. Trade Management                                                                                         2. Trade Clearing - Top Day
2. Click on Full Service (FS) Unmatched Tile
3. Individual FS Unmatched Trades will appear in the middle panel and totals by Exec Ref Account will be in the left hand panel
4. Check the counter in the FS Unmatched Tile equals the Totals by Exec ref Account in the left hand panel
5. In Middle panel click Hamburger
6. Export to CSV
7. Open excel File generated in bottom left hand corner                                                       8. Validate total FS Unmatched lines in CSV equal the FS Unmatched total showing in the Tile                                                                                             9. Follow same steps for Holding, Matched, In Progress and Cleared tiles                                                                                                                   *** NB This test has to be executed quickly as the tile numbers will change on a regular basis during UAT testing as the system clears trades</t>
  </si>
  <si>
    <t>1. Trade Management                                                                                         2. Trade Clearing - Top Day
2. Click on Give Up Pending Tile
3. Individual Give Up Pending Trades will appear in the middle panel and totals by Destination Firm will be in the left hand panel
4. Check the counter in the Give Up Pending Tile equals the Totals by Destination Firm in the left hand panel
5. In Middle panel click Hamburger
6. Export to CSV
7. Open excel File generated in bottom left hand corner                                                       8. Validate total Pending Give Up lines in CSV equal the Give Up Pending total showing in the Tile                                                                            9. Follow same steps for Rejected and Accepted tiles                                                                                                         *** NB This test has to be executed quickly as the tile numbers will change on a regular basis during UAT testing as the system clears trades</t>
  </si>
  <si>
    <t>1. Trade Management                                                                                         2. Trade Clearing - Top Day
2. Click on Give In Pending Tile
3. Individual Give In Pending Trades will appear in the middle panel and totals by Exec Account Ref will be in the left hand panel
4. Check the counter in the Give In Pending Tile equals the Totals by Exec Account Ref in the left hand panel
5. In Middle panel click Hamburger
6. Export to CSV
7. Open excel File generated in bottom left hand corner                                                       8. Validate total Pending Give in lines in CSV equal the Give In Pending total showing in the Tile                                                                            9. Follow same steps for Rejected, Accepted, Reversed and Cleared tiles                                                                                                                   *** NB This test has to be executed quickly as the tile numbers will change on a regular basis during UAT testing as the system clears trades</t>
  </si>
  <si>
    <t>1. Trade Management                                                                                         2. Trade Clearing - Top Day
2. Click on Clearing Instruction Unmatched Tile
3. Individual Unmatched CI's will appear in the middle panel and totals by Exec Ref Account will be in the left hand panel
4. Check the counters in the Unmatched CI Tile equals the Totals by Exec ref Account in the left hand panel
5. In Middle panel click Hamburger
6. Export to CSV
7. Open excel File generated in bottom left hand corner                                                       8. Validate total Unmatched CI lines in CSV equal Total Unmatched CI's showing in the Tile                                                                                      9. The CI Unmatched tile number should also equal the Unmatched CI number in the Unmatched Trade/CI Tile                                                               10. Follow same steps for Holding, Matched and Deleted tiles                            *** NB This test has to be executed quickly as the tile numbers will change on a regular basis during UAT testing as the system clears trades</t>
  </si>
  <si>
    <t>Full Service Clearing House Account</t>
  </si>
  <si>
    <t>Ability to unmatch trades from an Affiliate account type in FIS CD</t>
  </si>
  <si>
    <t xml:space="preserve">Ability to unmatch full service trades  executed under I and given up to ISA under </t>
  </si>
  <si>
    <t>Ability to unmatch full service T+ trades in FIS CD</t>
  </si>
  <si>
    <t>1. From Hamburger Menu choose Trade Management then Trade Clearing
2. Change Work board view from Top Day to T+n
3. Go to Full Service Unmatched tile
4.  Select one trade in the middle panel from TBD Exchange
5. Click on allocate button
6. Populate Account number in account field in right hand panel
7. Select apply
8. Trade will go into Clearing in progress then into the Full Service Cleared Tile                                                                                                                     9. Log into back off system 
10. RIO Screen
11. Validate trade appears as expected in back off system
12. Select the trade again in the T+n Full Service Cleared Tile
13. Click on the Unmatch button and enter a reason for the Unmatch in the box that comes up and then hit apply
14. Trade should move from the Full Service Cleared Tile to the Full Service Unmatched tile
15. Log into back off system 
16. 
17. Trade should now be removed from back off system Account</t>
  </si>
  <si>
    <t>1. Trade Clearing
2. Full Service Unmatched
3. Select an IFLO Flex Style Option
4. Allocate
5. Choose a Full Service Account based on a BCF trade
6. Trade should move from Full Service Unmatched to Full Service Cleared Tile
7. Log into back off system 
8. 
9. Validate trade(s) appears as expected in back off system and ensure all details are present &amp; correct i.e. Code, Call or Put/Strike Price etc.</t>
  </si>
  <si>
    <t>Ability to extract at EOD all exchange lines and CI's into a excel .csv format</t>
  </si>
  <si>
    <t>1.Go to GI Pending 
2. Select 1 trade
3. Select Allocate
4. Input account
5. Input CTI code 
6. Select Jobbed Out on bottom
7. Select Apply</t>
  </si>
  <si>
    <t>1.Go to Trade/CI Unmatched
2. Select 1 trade
3. Select Give Up 
4. Input Destination Instructions
5. Select Jobbed Out on bottom
6. Select Apply</t>
  </si>
  <si>
    <t>Capability of clearing give ins on Top day</t>
  </si>
  <si>
    <t>Capability of performing crosses vs client on Top day</t>
  </si>
  <si>
    <t>Capability of reversing give ins on Top day</t>
  </si>
  <si>
    <t>Capability of reversing crosses vs client on Top day</t>
  </si>
  <si>
    <t>1.Trade Management
2.Trade Clearing
3.Unmatched Full Service
4.Select Multiple trades with different economic details
5.Select Give Up
6.Input Destination Instructions
7. The Firm name and alias will auto appear
8. The Destination Ref will auto appear 
9.Select Apply
10.Checked the Cleared Full Service Tab for the Trades
11.Log into back off system Screens 
12.
13.Validate trades appear as expected in back off system</t>
  </si>
  <si>
    <t xml:space="preserve">Capability of clearing/booking correction trade type </t>
  </si>
  <si>
    <t>Capability of unmatching various LME time codes</t>
  </si>
  <si>
    <t>Capability of booking various LME environments</t>
  </si>
  <si>
    <t>Capability of unmatching various LME environments</t>
  </si>
  <si>
    <t>1. Trade Clearing
2. Full Service Unmatched
4. Select a TBD European Style Option i.e. TBD
5. Allocate
6. Input a  Account 
7. Trade should move from Full Service Unmatched to Full Service Cleared Tile
8. Log into back off system 
9. 
10. Validate trade(s) appears as expected in back off system and ensure all details are present &amp; correct i.e. Call or Put/Strike Price etc.</t>
  </si>
  <si>
    <t>1. Trade Clearing
2. Full Service Unmatched
4. Select a TBD European Style Option i.e. TBD
5. Allocate
6. Input a Account
7. Trade should move from Full Service Unmatched to Full Service Cleared Tile
8. Log into back off system 
9. 
10. Validate trade(s) appears as expected in back off system and ensure all details are present &amp; correct i.e. Call or Put/Strike Price etc.
11. Select the Client trade again in the Full Service Cleared Tile
12. Click on the Unmatch button and enter a reason for the Unmatch in the box that comes up and then hit apply
13. Trade should move from the Full Service Cleared Tile to the Full Service Unmatched tile
14. Log into back off system 
15. 
16. Trade should now be removed from back off system Client Account</t>
  </si>
  <si>
    <t>1. Trade Clearing
2. Full Service Unmatched
4. Select an TBD American Style Option i.e. TBD 
5. Allocate
6. Choose a Full Service Account based on whether its a BCU or BCF trade
7. Trade should move from Full Service Unmatched to Full Service Cleared Tile
8. Log into back off system 
9. 
10. Validate trade(s) appears as expected in back off system and ensure all details are present &amp; correct i.e. Call or Put/Strike Price etc.</t>
  </si>
  <si>
    <t>1. Trade Clearing
2. Full Service Unmatched
4. Select an TBD American Style Option i.e. TBD
5. Allocate
6. Choose a Full Service Account based on whether its a BCU or BCF trade
7. Trade should move from Full Service Unmatched to Full Service Cleared Tile
8. Log into back off system 
9. 
10. Validate trade(s) appears as expected in back off system and ensure all details are present &amp; correct i.e. Call or Put/Strike Price etc.
11. Select the Client trade again in the Full Service Cleared Tile
12. Click on the Unmatch button and enter a reason for the Unmatch in the box that comes up and then hit apply
13. Trade should move from the Full Service Cleared Tile to the Full Service Unmatched tile
14. Log into back off system 
15. 
16. Trade should now be removed from back off system Client Account</t>
  </si>
  <si>
    <t>1.From Hamburger Menu choose Trade Management then Trade Clearing
2. Change Work board view from Top Day to T+n 
3. Go to Full Service Unmatched Tile
4. Select one trade in the middle panel from TBD Exchange
5. Click on Give- Up
6. Input Destination Instruction in right hand panel
7. Destination Firm (will auto populate)
8. Destination Firm Alias (will auto populate)
9. Destination Ref (will auto populate)
10. Select Apply
11. Trade will go into Clearing in Progress then appear in GU Pending or GU Accepted tile
12. Log into back off system 
13. 
14. Validate trades appear as expected in back off system with GO and the broker code</t>
  </si>
  <si>
    <t>1.From Hamburger Menu choose Trade Management then Trade Clearing
2. Change Work board view from Top Day to T+n 
3. Go to Full Service Unmatched Tile
4. Select one trade in the middle panel from IFEU Exchange
5. Click on Give- Up
6. Input Destination Instruction in right hand panel
7. Destination Firm (will auto populate)
8. Destination Firm Alias (will auto populate)
9. Destination Ref (will auto populate)
10. Select Apply
11. Trade will go into Clearing in Progress then appear in GU Pending tile
12. Log into back off system 
13. 
14. Validate trades appear as expected in back off system with GO and the broker code
15. Select the trade again in the GU Pending Tile
16. Click on the Unmatch button and enter a reason for the Unmatch in the box that comes up and then hit apply
17. Trade should move from the Give Up Pending Tile to the Full Service Unmatched tile
18. Log into back off system 
19. 
20. Trade should now be removed from back off system billing account</t>
  </si>
  <si>
    <t>Return Account</t>
  </si>
  <si>
    <t>XJSE trades feed throughout the day.  XWAR, XIST trades feed throughout the day. but volume is very low.  XLME trades feed once allocation is sent to SocGen.  BVMF trades feed in the afternoon once.  XCBO - 1. Go to trades clearing.  2. Check all tiles within ‘Full service” section.  3. There should be trades in “unmatched” and “cleared” tiles.  4. Go to “cleared” time and scroll right and check “date time created” column to see the latest trade inserted.</t>
  </si>
  <si>
    <t>1. Trade Management
2. Trade Clearing
3. Click FS Cleared and view the RO NCM Trades
4. The Exec Account Ref on the NCM trades should be the reference populated in the Sungard Value Field
5. Log into back off system 
6. 
7. Validate trades appear as expected in back off system 
8. Once trades are confirmed as cleared in back off system request the DTN file to be sent by back off system team
9. Once DTN file is sent, search the file for the respective trades
10. The Exec Account Reference on the trades in FIS CD should appear in the PSRCAC field on the DTN file</t>
  </si>
  <si>
    <t>Users can up date the Clearing Account Reference value from Clearing Instruction in Details panel on Trade Clearing screen</t>
  </si>
  <si>
    <t>Populate Clearing Account Ref value on DEFAULT Account as ABC and/or Default Clearing Account Ref as ABCD
Upload CI 2 from the attached file without R="24" parameter in the Alloc Block
Check that Clearing Account Ref field is blank with a tooltip on the right side of that field in the 'Details' right-hand panel with the following message: "If Clearing Account Ref. is empty, the value sent on the clearing request will be taken from the Account Settings - Clearing Details tab: from Trade, Clearing Account Ref. or Default Account Ref.."
Go to Edit and fill in the Clearing Acc Ref field manually, after saving the changes check if there is no tooltip anymore</t>
  </si>
  <si>
    <t>1. Insert Trade
2. Insert 3 Cis
3. Trades is split. Three new trades are created (MATCHED and CLEARED). Initial trade is retired.
4. Upstream delete message is received for initial trade (event Trade Offline Split Delete Upstream)</t>
  </si>
  <si>
    <t>Trade Clearing Work Board Improvement
New column Outright/Spread is added in APS Wizard on Trade Clearing Work Board.</t>
  </si>
  <si>
    <t>AC:1
 Load a trade with Counterpart Account "N"
 Split the trade and allocate it to "CLIENT1UK_ACC1" and "CLIENT1UK_ACC2"
 Trade goes to in in progress and marked as Cleared after CCP response
 "CLIENT1UK_ACC1" has counterparty account mapped as "N" and CLIENT1UK_ACC2 has counterparty account mapped as "C"
 Both the new legs are reflecting counterparty account as "N" and "C"
 Unmatch both the trades and counterparty account should be set to "N", which is the previous value.
AC:2
 Load a matching clearing instruction for one of the new leg created in above step , trade should get rematch and should be reflecting correct counterparty account as per the allocation details in CI 
 Unmatch the trade again and it should reflect the initial counterparty account, "N"
AC:3
 Allocate the other split cleared trade to some another account and then unmatch.
 Counterparty account should be reflecting the value as "N"
AC:4
 Check above scenarios for NVAP Split screen 
AC:5 Give-Up scenarios needs to be tested after implementation of DEV-55150
AC:6 Non connected market trades should not be impacted, testing needs to be done for Give-In/Give-Up/FS flow for non connected market.</t>
  </si>
  <si>
    <t>Clearing Reversal when triggering Unmatch from singular or bulk Clearing Instruction</t>
  </si>
  <si>
    <t>In the middle panel of Trade Clearing Work Board,
option Export to .CVS for Querying all Trades mode is enabled.</t>
  </si>
  <si>
    <t>1.Open FIS CD with loaded referential.
2. Click on some work board and check if that one is opened and presented on Trade Clearing tab.        3. Repeat the process for all available work boards.</t>
  </si>
  <si>
    <t>Users can perform allocation when selecting Trade and press Split button. +NVAP split. THIS story covers SPLIT SCREENS only.
On each of them, the Open/Close indicator should exist and follow backend logic to be automatically populated from selected Trade.</t>
  </si>
  <si>
    <t>Check all clearing functions are visible from Querying all trades mode.</t>
  </si>
  <si>
    <t>1. Trade Management 
2. Matching Rules
3. Select Rule Type = BYPASS_MATCHING
4. Select Bypass Matching Action = Trade CI
5. Select Rule Type = Select Executed and Give-in Bypass
6. Conditions -Default to Any
7. Select New
8. Input your Rule Definition
a. CCP 
b. Exchange
c. Give-In Indicator = Yes
d. Exec Ref = Test1
9. Bypass Strategy Instruction
a. Bypass Action = Allocate
b. Account = Test2(choose an Account)
10. Save
11. Make sure when a trade comes in as a give-in for the ref you chose that it cleared via bypass matching                                                                                                                12. Log into back off system 
13.                                                                                                                                                              14. Validate trades appear as expected in back off system</t>
  </si>
  <si>
    <t xml:space="preserve">Off-Exchange APS creation CI which will fetch the original trades candidates and create the Closing and the Reopening Trades. </t>
  </si>
  <si>
    <t>1. Trade Management 
2. Matching Rules
3. Select Rule Type = BYPASS_MATCHING
4. Select Bypass Matching Action = Trade CI
5. Select Rule Type = Select Executed and Give-in Bypass
6. Conditions -Default to Any
7. Select New
8. Input your Rule Definition
a. CCP 
b. Exchange 
c. Give-In Indicator = Yes
d. Exec Ref = Test1(make sure to choose a ref that is currently pending on give-ins)
9. Bypass Strategy Instruction
a. Bypass Action = Allocate
b. Account = Test2(choose an Account)
10. Save
11. Go to Give-In Pending
12. Click on your trade and resubmit for matching
13. Make sure trade clears                                                                                                                         14. Log into back off system 
15.                                                                                                                                                              16. Validate trades appear as expected in back off system</t>
  </si>
  <si>
    <t xml:space="preserve">Perform a contingency procedure on a Give-up Reversal Operation-Single action </t>
  </si>
  <si>
    <t>Manual_Register_Clearing Instruction Full Service</t>
  </si>
  <si>
    <t>Manual_Register_Clearing Instruction Destination Clearing Instruction</t>
  </si>
  <si>
    <t>Multiple Trade - Multiple Clearing Instructions (i.e. 3 Trades - 2 Clearing Instructions)</t>
  </si>
  <si>
    <t>1.Trade Management
2.Matching Rues
3.Select Rule Type= Bypass Matching
4.Select Bypass Matching Action = Trade CI
5.Select Rule Set = Bypass Matching CI
6.Select New
7.CCP Name=
8.Trade Exec Account Ref is = "TEST"
9.Product NAME
10.Bypass Action = ADD_TO_APS_GROUP
11.Group Name = "TEST1"
12.SAVE.
13.Go to Trade/CI Unmatched
14.Find 1 Trade with Exec Account Ref = TEST and Contract = ED
15.Select Trades
16.Select "Resubmit for matching"
17.Trades should return to Unmatched screen with Group Indicator "A"
18. Select More trades and select "Resubmit for matching"
19. The quantity on the APS should have increased</t>
  </si>
  <si>
    <t xml:space="preserve">1.Trade Management
2.Matching Rues
3.Select Rule Type= Bypass Matching
4.Select Bypass Matching Action = Trade CI
5.Select Rule Set = Bypass Matching CI
6.Select New
7.CCP Name
8.Trade Exec Account Ref is = "TEST"
9.Product NAME 
10.Bypass Action = ADD_TO_APS_GROUP
11.Group Name = "TEST1"
12.SAVE.
13.Go to Trade/CI Unmatched
14.Find multiple Trades with Exec Account Ref ? and Contract?
15.Select Trades
16.Select "Resubmit for matching"
17.Trades should return to Unmatched screen with Group Indicator "A"
18. Select More trades and select "Resubmit for matching"
19. The quantity on the APS should have increased
</t>
  </si>
  <si>
    <t xml:space="preserve">1.Trade Management
2.Matching Rues
3.Select Rule Type= Bypass Matching
4.Select Bypass Matching Action = Trade CI
5.Select Rule Set = Bypass Matching CI
6.Select New
7.CCP Name=
8.Trade Exec Account Ref is = "TEST"
9.Product NAME 
10.Bypass Action = ADD_TO_APS_GROUP
11.Group Name = "TEST1"
12.SAVE.
13.Go to GI Pending
14.Find 1 Trade with Exec Account Ref = TEST and Contract = ED
15.Select Trades
16.Select "Resubmit for matching"
17.Trades should return to Unmatched screen with Group Indicator "A"
</t>
  </si>
  <si>
    <t>FEC APS Mark As GU FEC+</t>
  </si>
  <si>
    <t xml:space="preserve">1.	Go to Trade CI Unmatched_x000D_
2.	Select the previous GI NVAP Trade _x000D_
3.	Select APS Wizard_x000D_
4.	Check the NAVP Box_x000D_
5.	Add more candidates to your NVAP Group_x000D_
6.	Create Group ID Name  (ALL CAPS &amp; 6 Characters or less)_x000D_
7.	Select Save and Send (to CCP)_x000D_
8.     Review confirmation box with notional value and select OK_x000D_
9.	Go to Trade/CI Unmatched_x000D_
_x000D_
</t>
  </si>
  <si>
    <t>1.Trade Management
2.Matching Rues
3.Select Rule Type= Bypass Matching
4.Select Bypass Matching Action = Trade CI
5.Select Rule Set = Bypass Matching CI
6.Select New
7.CCP Name
8.Trade Exec Account Ref is = ?
9.Product NAME 
10.Bypass Action = ADD_TO_NVAP_GROUP
11.Group Name = ?
12.SAVE.
13.Go to Trade/CI Unmatched
14.Find Trades with Exec Account Ref ? and Contract ?
15.Select Trades
16.Select "Resubmit for matching"
17.Trades should return to Unmatched screen with Group Indicator "N"
18. Select More trades and select "Resubmit for matching"
19. The quantity on the APS should have increased</t>
  </si>
  <si>
    <t>1.	Create NAVP Matching Rule based off the account of many trades
2.	Select Matching Rules
3.	Select Rule Type=BYPASS_MATCHING
4.	Select Bypass Matching Action=TRADE CI
5.	Select Rule Set=Bypass Matching CI
6.	Select New 
7.	Condition CCP
8.	Trade-&gt;Give in Indicator is 
9.	Account 
10.	Bypass action=Add to NAVP Group 
11.	Allocate 
12.	Group name=TESTAA
13.	Go to unmatched
14.	Select NAVP Trade
15.	Select split
16.	Enter qty 
17.	Enter Account
18.	Select apply.
19.	Repeat steps 
20.	Save.</t>
  </si>
  <si>
    <t>Security Admin - ETD Clearing Profile</t>
  </si>
  <si>
    <t>Security Admin - Middle Office Combined Profile (Static Data &amp; Clearing)</t>
  </si>
  <si>
    <t>Security Admin - ETD Static Data Profile</t>
  </si>
  <si>
    <t>ETD Instrument</t>
  </si>
  <si>
    <t>1. Trade Management
2. Matching Rules
3. Select Rule Type
4. Select Bypass Matching Action
5. Select Rule Type 
6. New
7. CCP Name
8. Exchange Name 
9. Trade Give-In Indicator
10. Processing Firm 
11. Trade Account Ref 
12. Bypass Strategy Instruction
13. Bypass Action 
11. Account
12. Save</t>
  </si>
  <si>
    <t>Legal Entity</t>
  </si>
  <si>
    <t>Referential
2. Legal Entities
3. New
4. Name = 
5. Country = USA
6. Roles = CCP
7. Number of clearing days=3
8. Date Roll Time=00:00
9. Time Zone=America New York
10. Membership Type= Clearing Participant
11. Aliases
12. Add
13. Code = T344455666	
14. Name = T344455666
15. External System = 
16. System Type = IN
17. Add
18. Save
19. Relationships
20. Add
21. Clearing entity NEWCCP~CCP
22. Save</t>
  </si>
  <si>
    <t>1. Go to Matching Rules
2. Select Rule Type: BYPASS_MATCHING
3. Select Bypass Matching Action: TRADE CI
4. Select Rule Set: BYPASS MATCHING CI
5. Select New
6. Enter Conditions:
7. CCP: 
8. Execution Account Ref: Test Account
9. Add conditions as you see fit, (ex. Product name, etc.)
10. Bypass Strategy Instruction
11. Bypass Action: ADD_TO_APS_GROUP
12. Group Name: 
13. Save</t>
  </si>
  <si>
    <t>1. Go to Matching Rules
2. Select Rule Type: BYPASS_MATCHING
3. Select Bypass Matching Action: TRADE CI
4. Select Rule Set: BYPASS MATCHING CI
5. Select New
6. Enter Conditions:
7. CCP: 
8. Execution Account Ref: Test Account
9. Add conditions as you see fit, (ex. Product name, etc.)
10. Bypass Strategy Instruction
11. Bypass Action: ADD_TO_NVAP_GROUP
12. Group Name: 
13. Save</t>
  </si>
  <si>
    <t>1.Referential
2.Accounts
3.New
4.Properties:
5.Owner- Preexisting (ex.ABCD)
6.Account Identifier: (ex.1234) 
7. Description- Client Name
8 .Hierarchy:
9.Processing Firm = Should be predetermined based on Owner 
10.Business Category = (ex. C or H)
11.Business Unit = (Ex. Default)
12.Clearing Details:
13.Default Matching Account Ref: (ex. 1234)
14. Default Clearing Account Ref: (ex.1234)
15.Select Add
16. NAME 
17. Owner (ex. ABCD) 
18. Account (ex. C or H)
19. Select Add.
20. Aliases:
21. Select Add
22.Code= (B),(),(1234),()
23.Name = (B),(),(1234),()
24.External System=back off system
25.System Type=Out
26.Select Add
27: Select Save</t>
  </si>
  <si>
    <t xml:space="preserve">1. Hamburger ICON                                               
2. Referential
3. Accounts
4. Click on Search on left hand column
5. In Left hand Panel input the account you want to review in name Field and hit Apply button
6. The Account should appear in the right hand panel
7. Highlight the account in right hand panel and click View Audit Trail Button                                                       8. Audit Trail Should be available on Account Properties, Clearing Details and Aliases Tab                       9. Click on various tabs to validate Audit Trail                                                              10. Audit Trail should show the User, Action, Date etc.             </t>
  </si>
  <si>
    <t>1. Referential
2. ETD Instruments
3. Clearing Code CC - Edit
4. Aliases
5. Edit the Preexisting 
6. Code 
7. Name 
8. External System 
9. In
10. Save</t>
  </si>
  <si>
    <t>Static Data- Add Member</t>
  </si>
  <si>
    <t>Static Data - Add trade type</t>
  </si>
  <si>
    <t>Static Data - Update trade type</t>
  </si>
  <si>
    <t>Static Data - Delete trade type</t>
  </si>
  <si>
    <t>Delete Result
Cannot delete any trade types  with cleared trades.
1. Referential
2. Other Referential
3. Name
4. Select Delete</t>
  </si>
  <si>
    <t>1. From Hamburger Menu choose Referential
2. Then click on Accounts
3. Click on Bulk Insert Button
4. From Hamburger Icon in left hand corner select Sample Template
5. Open excel spreadsheet in bottom left hand corner
6. Add your Account details to be inserted into the template NB the prepopulated fields must contain one of the values in the template
7. Once complete save template to a local location 
8. In Account Bulk Insert Screen Select the Account Owner for the Bulk Accounts
9. Input Business Unit for the Bulk Accounts
10. Then click on Import File
11. Click on Drag &amp; Drop / Choose a File and load template
12. Status should show as Valid when loaded and highlighted in Green 
13. Click on Create Accounts button
14. Go back to Accounts Screen
15. Accounts will now be loaded in FIS CD</t>
  </si>
  <si>
    <t>1. From Hamburger Menu choose Trade Management
2. Then click on Destination Instructions
3. Click on Bulk Insert Button
4. From Hamburger Icon in left hand corner select Sample Template
5. Open excel spreadsheet in bottom left hand corner
6. Add your Destination Instruction details to be inserted into the template NB the prepopulated fields must contain one of the values in the template
7. Once complete save template to a local location
8. In FIS CD click on Import File
9. Click on Drag &amp; Drop / Choose a File and load template
10. Status should show as Valid when loaded and highlighted in Green
11. Click on Create Destination Instructions button
12. Go back to Destination Instruction Screen 
13. Destination Instructions will now be loaded in FIS CD</t>
  </si>
  <si>
    <t>1. From Hamburger Menu choose Referential
2. Then click on Accounts
3. Click on Bulk Insert Button
4. From Hamburger Icon in left hand corner select Sample Template
5. Open excel spreadsheet in bottom left hand corner
6. Add your Account details to be inserted into the template NB the prepopulated fields must contain one of the values in the template
7. Once complete select data and do Ctrl C
8. In Account Bulk Insert Screen Select the Account Owner for the Bulk Accounts
9. Input Business Unit for the Bulk Accounts
10. Select Paste from Clipboard
11. Then paste excel accounts you want to insert into the screen
12. Status should show as Valid when loaded and highlighted in Green 
13. Click on Create Accounts button
14. Go back to Accounts Screen
15. Accounts will now be loaded in FIS CD</t>
  </si>
  <si>
    <t>1. From Hamburger Menu choose Trade Management
2. Then click on Destination Instructions
3. Click on Bulk Insert Button
4. From Hamburger Icon in left hand corner select Sample Template
5. Open excel spreadsheet in bottom left hand corner
6. Add your Destination Instruction details to be inserted into the template NB the prepopulated fields must contain one of the values in the template
7. Once complete select data to include headers and press Ctrl C
8. Click on Paste from Clipboard
9.  Then paste excel accounts you want to insert into the screen
10. Status should show as Valid when loaded and highlighted in Green
11. Click on Create Destination Instructions button
12. Go back to Destination Instruction Screen 
13. Destination Instructions will now be loaded in FIS CD</t>
  </si>
  <si>
    <t>1. From Hamburger Menu choose Trade Management                                                                        2. Then click on Destination Instructions
3. Click on hamburger Icon in Middle panel to ensure 'Active'  Destination Instructions are chosen
4. Click on Search in left hand corner to expand the left hand filter column
5. You can filter on columns such as 'Name' or 'Description' to reduce the number of Destination Instructions available to perform the Bulk deactivation on
6. Once filtered highlight the Destination Instructions in the middle panel you want to deactivate
7. The Deactivate button should now be available to choose                                                                    8. Click on Deactivate button                                                         9. A pop up message will appear and you can click 'Yes' to proceed                                       
10. A message will appear confirming the Destination Instructions have been deactivated and the Destination Instructions will disappear from the 'Active' Destination Instruction view                                                             11. Change filter view in middle panel to show 'Inactive' Destination Instructions                                                          12. The Destination instructions should appear under this view                                                                    13. You can add the 'Status' column from the right hand column chooser and this will also show Status as 'INACTIVE'                                                                     ****** If you want to reverse what you did you can highlight the Destination Instructions and hit the activate button which will make the Destination Instructions active again</t>
  </si>
  <si>
    <t xml:space="preserve">Test ability to support affiliate firm accounts (e.g. London) </t>
  </si>
  <si>
    <t>Validate there are destination instructions set up in FIS CD from the Conversion process</t>
  </si>
  <si>
    <t>Similar to CTI rule that currently exist as a separate Rule type on both Rule Sets and Rule Viewer, we want to introduce something called OPEN_CLOSE as a new Rule Type. See mock-up for RuleSet and Rule Viewer.
We also need to add a ruleSet within the Common business baseline referential (mutable by client) AND Smoke baseline referential for the benefit of our API tests. See 'O/C Indicator calculation' Rule Set (mock-up attached). There is no need for adding any rule in the baseline referential.
The rule set will not be exchange specific, so there is no need for Exchange Feature.
Open Close will be checked before Clearing and when a Trade satisfies the conditions that are defined within Rules, it will trigger a potential change of O/C indicator as describe in story</t>
  </si>
  <si>
    <t>Use Trade Account Ref' to the Clearing Details Counterparty Account relationship</t>
  </si>
  <si>
    <t xml:space="preserve">1. Hamburger ICON                                               
2. Referential
3. Accounts
4. Click on Search on left hand column
5. In Left hand Panel input the account you want to review in name Field and hit Apply button
6. The Account should appear in the right hand panel
7. Highlight the account in right hand panel and click  View Button
8. Select Clearing Details Tab
9. This will show you the Exchange level set up and which Owner, Exchange Account, Matching Account Ref and Clearing Account Ref is associated to that account
</t>
  </si>
  <si>
    <t>"O/C Indicator" drop-down is only displayed if EXCHANGE_FEATURE "OPEN_CLOSE_INDICATOR" exists for the corresponding CCP.</t>
  </si>
  <si>
    <t>1. Trade Management                                                                                              2. Trade Clearing - Change View to T+n
3. Click on Trade/CI Unmatched Tile
4. Individual Unmatched Trades and CI's will appear in the middle panel and totals by Exec Ref Account will be in the left hand panel
5. Check the counters in the Trade CI/Tile equals the Totals by Exec ref Account in the left hand panel
6. In Middle panel click Hamburger
7. Export to CSV
8. Open excel File generated in bottom left hand corner                                                       9. Validate total Unmatched Trades &amp; CI lines in CSV equal Total Unmatched Trades / CI's showing in the Tile                                                                                         10. Follow same steps also for the Full Service, Give Up, Give In and CI T+n Tabs</t>
  </si>
  <si>
    <t>User creates exchange rule for "always create clearing instructions" on BPMR's</t>
  </si>
  <si>
    <t>Support of qty aggregation on trades</t>
  </si>
  <si>
    <t>Enter an NCM R/W Given trade, for which GCM is same as the Sending firm (Basically GCM is giving up a trade to it's on NCM)
Select the  Give-In trade at NCM side and click on allocate button
Verify the list of accounts in dropdown
Expected - NCM accounts should be visible in the dropdown</t>
  </si>
  <si>
    <t>Insert and Update Trade Account Ref on account in bulk</t>
  </si>
  <si>
    <t>User would be able to update the Trade Account Ref through Bulk Update/Insert option using CSV file.</t>
  </si>
  <si>
    <t>BUS -FIS CD -TC-CLR-217-C</t>
  </si>
  <si>
    <t>BUS -FIS CD -TC-TCG-10</t>
  </si>
  <si>
    <t>On pasting split legs, aggregate legs having the same account within a NVAP trade</t>
  </si>
  <si>
    <t>BUS -FIS CD -TC-CLR-09-D</t>
  </si>
  <si>
    <t>BUS -FIS CD -TC-CLR-07-B</t>
  </si>
  <si>
    <t>BUS -FIS CD -TC-CLR-128-B</t>
  </si>
  <si>
    <t xml:space="preserve">Process a Give-up using Contingency procedure in the matched tile </t>
  </si>
  <si>
    <t>Ensure the possibility to use Contingency procedures for GIVEUP_REGISTRATION, to move trade in pending acceptance status as received.</t>
  </si>
  <si>
    <t>BUS -FIS CD -TC-SD-42</t>
  </si>
  <si>
    <t>BUS -FIS CD -TC-CLR-461</t>
  </si>
  <si>
    <t>BUS -FIS CD -TC-CLR-462</t>
  </si>
  <si>
    <t>BUS -FIS CD -TC-CLR-463</t>
  </si>
  <si>
    <r>
      <t xml:space="preserve">Full </t>
    </r>
    <r>
      <rPr>
        <i/>
        <sz val="10"/>
        <rFont val="Calibri"/>
        <family val="2"/>
        <scheme val="minor"/>
      </rPr>
      <t>Service</t>
    </r>
  </si>
  <si>
    <t>Allocate T+n using BPMR</t>
  </si>
  <si>
    <t xml:space="preserve">Give Up </t>
  </si>
  <si>
    <t>Manually trigger BPMR for Give In trades</t>
  </si>
  <si>
    <t>Manually trigger BPMR to reject Give In trades</t>
  </si>
  <si>
    <t>1) Go to Rule viewer
2) Select "BYPASS_MATCHING" under Rule Type
3) Select "TRADE CI" under ByPass matching action
4) Select "BYPASS MATCHING CI" under Rule set
5) Click on New &amp; create a ByPass matching rule by inputing conditions (Give-in Reject) and update the byPass stratergy Instructions</t>
  </si>
  <si>
    <t>New carte blanche / ByPass Matching rules can be setup in TC and trades successfully auto rejected.</t>
  </si>
  <si>
    <t>BUS -FIS CD -TC-SD-43</t>
  </si>
  <si>
    <t xml:space="preserve">1.Go to The exchange- 
2.Go to Trades
3.Select Traded As: Spread
4.Narrow search contract (BR)
5.Select Trades in the same Spread 
6.Select all and input Alloc Type- AG
7.Input Avg Px Grp ID- FECAPS
8.Select Update
9.Go to Search Type: Allocation Groups- enter
10.Confirm all of your APS groups were created 
11.Check Trade/CI Unmatched to find the trades marked with group indicator A
12.Allocate on FISCD or FEC the trades will be in the GI screen before final acceptance
</t>
  </si>
  <si>
    <t>1.	APS Trades and clear it 
2.	back off system 
4.	Look up the account you cleared trades to
5.	Make sure the APS price is populated and the # in the spread code                                                                                                                                                                          6. Log into back off system 
7. 
8. Validate trades appear as expected in back off system</t>
  </si>
  <si>
    <t>1. Trade Clearing
2. Give-In Pending
3. Allocate the APS internally 
4. Check Give-In Cleared
5. Log into back off system 
6. 
7. Validate trades appear as expected in back off system</t>
  </si>
  <si>
    <t xml:space="preserve">Test to ensure that multiple unclaimed give-in trades can be added to a new APS group </t>
  </si>
  <si>
    <t xml:space="preserve">Test to ensure that multiple unclaimed give-in trades can be added to a existing APS group </t>
  </si>
  <si>
    <t xml:space="preserve">Ensure that multiple T+n trades can be averaged to a new APS group </t>
  </si>
  <si>
    <t>1. Trade Clearing
2. Trade/CI Unmatched 
3. Select Trade with sending firm-give-in only
4. APS Wizard
5. Select which trades you want and label Group name
6. Save Group or Save/Send to CCP
7. If you just saved the Group, then go to APS Groups and send to CCP
8. Make sure group goes to CCP (Merged tile)                                                              9. Log into back off system 
10. 
11. Validate trades appear as expected in back off system</t>
  </si>
  <si>
    <t>Manually average multiple T+n trades to new APS group</t>
  </si>
  <si>
    <t xml:space="preserve">Accept  T+n APS Give-in trades </t>
  </si>
  <si>
    <t>Ensure that multiple T+n  APS trades are acknowledge and accepted</t>
  </si>
  <si>
    <t>BUS -FIS CD -TC-CLR-464</t>
  </si>
  <si>
    <t>BUS -FIS CD -TC-CLR-465</t>
  </si>
  <si>
    <t xml:space="preserve"> ICEUS</t>
  </si>
  <si>
    <t>Allocating Daily and weekly options</t>
  </si>
  <si>
    <t>APS GU Split</t>
  </si>
  <si>
    <t>APS FS Split</t>
  </si>
  <si>
    <t xml:space="preserve">Ceate a NVAP trade from GI and Split allocate to a GU </t>
  </si>
  <si>
    <t xml:space="preserve">Ceate a NVAP trade from GI and allocate to a GU </t>
  </si>
  <si>
    <t>Reject a NVAP GI trade</t>
  </si>
  <si>
    <t>202202.0.0</t>
  </si>
  <si>
    <t>202202.0.1</t>
  </si>
  <si>
    <t>Deletion of Bypass Matching Rules, when deleting an Account:</t>
  </si>
  <si>
    <t>Users have the ability to delete BPMR rules when deleting a destination instruction</t>
  </si>
  <si>
    <t>Allocate one leg of a SLED trade, while other remains in Unmatched, the 2nd leg will get cleared when it is matched with a CI having same Account details.</t>
  </si>
  <si>
    <t>Allocating one leg of a SLED trade and the othr autoclears when matched</t>
  </si>
  <si>
    <t>2. Select a trade to be ummatched and ummatch the trade in Trade Clearing UI
3. On the ummatched trade under Trade/CI click on delete and click yes</t>
  </si>
  <si>
    <t>Trades</t>
  </si>
  <si>
    <t>Non E2E Clearing</t>
  </si>
  <si>
    <t xml:space="preserve">AC 1:
Insert the Sled trades and allocate the first trade manually, load the CCP responses for both the legs, the 1st trade should be in Cleared State and 2nd trade should have Account details on it and in Unmatched State.
Insert a matching CI with same Account details, the 2nd leg should be in Cleared state (external clearing not required).
**Test the above scenario using regular clearing instruction as well while clearing the 1st trade.
AC 2:
Insert the Sled trades and clear the first trade, once the first trade is in cleared state and 2nd trade is updated with Account details on it, insert a CI with different Account details.
Trade should get auto-match with the CI and clearing request will be sent to CCP.
The request on the 2nd leg should be sent with account details CI is having and not the Account which is in Trade(copied from 1st leg).
</t>
  </si>
  <si>
    <t>Users can filter and differentiate give-in trades and executed trades to see potential matching candidates under those tiles.</t>
  </si>
  <si>
    <t>Ensure that MOS Give-in trades can be successfully cleared.</t>
  </si>
  <si>
    <t>Clearing MOS Give-In trades</t>
  </si>
  <si>
    <t>Clearing EFR Trades</t>
  </si>
  <si>
    <t>Clearing EFP Trades</t>
  </si>
  <si>
    <t>Clearing PIT Trades</t>
  </si>
  <si>
    <t>Clearing Globex Trades</t>
  </si>
  <si>
    <t>Clearing Clearport Trades</t>
  </si>
  <si>
    <t>Clearing Position Transfer Trades</t>
  </si>
  <si>
    <t>Clearing Cabinet Option  Trades</t>
  </si>
  <si>
    <t>Giving Up MOS trades</t>
  </si>
  <si>
    <t>Clearing MOS SLED trades</t>
  </si>
  <si>
    <t xml:space="preserve">1. Trade Management
2. Trade Clearing 
3. Unmatched Trade/CI
4. Select Trade
5. Select Mark as Give Up 
6. Trade will now have the group Indicator "G"
</t>
  </si>
  <si>
    <t>Manually mrking a trade as a Give Up</t>
  </si>
  <si>
    <t>Add an Exchange Feature to support pending give-ins displayed under top day filter for Japanese CCPs</t>
  </si>
  <si>
    <t xml:space="preserve">Support pending give-ins under top day filter </t>
  </si>
  <si>
    <t>Exchange feature should be added for Japanese CCPs:
JSCC~
JCCH~
TFXCL~
The name of the Exchange Feature should be: "DISPLAY_HISTORICAL_PENDING_GIVE-IN_ON_TOP_DAY"
Make sure that thiss is added as a part of referential-unmutable common business baseline.</t>
  </si>
  <si>
    <t> Japanese Pending Give in Trades are now displayed in Top day filter in TC Workboard.</t>
  </si>
  <si>
    <t>If a give in Trade is PENDING, no matter if Trade date/Clearing dates are in past, we want to see it in TOP day filter.
First clearing date should always be set as TOP day for this particular example.
If later on, the Give in Trade is accepted/cleared, rejected or reversed, give in Trade should stay in TOP day filter until the next day.</t>
  </si>
  <si>
    <t>Give Up trade using BPMR</t>
  </si>
  <si>
    <t>Ensure a trade can be Given Up via a Bypass matching rule</t>
  </si>
  <si>
    <t>1.Referential
2.Rule Viewer
3.New
4.CCP 
5.Exchange 
6.Trade 
7.Bypass Action = Give Up
8.Destination 
9.Save
10.Go back to FS Unmatched
11.Select the trades 
12. Click re-submit for match
13. The trade should now clear and display in GU Pending
14. Log into back off system 
15.Validate trades appear as expected in back off system</t>
  </si>
  <si>
    <t>1.Trade Clearing
2. Unmatched Trade/CI or
3. Unmatched Clearing Instruction
4. The 1st column in the middle panel shows "!"
5. This shows the Invalid/Valid
6. Select Invalid to view all Failed clearing instructions</t>
  </si>
  <si>
    <t>BUS -FIS CD -TC-SD-41</t>
  </si>
  <si>
    <t>BUS -FIS CD -TC-SD-44</t>
  </si>
  <si>
    <t>BUS -FIS CD -TC-SD-45</t>
  </si>
  <si>
    <t>BUS -FIS CD -TC-SD-46</t>
  </si>
  <si>
    <t>BUS -FIS CD -TC-CLR-466</t>
  </si>
  <si>
    <t>BUS -FIS CD -TC-CLR-467</t>
  </si>
  <si>
    <t>BUS -FIS CD -TC-CLR-468</t>
  </si>
  <si>
    <t>BUS -FIS CD -TC-CLR-469</t>
  </si>
  <si>
    <t xml:space="preserve"> Display Japanese Pending Give in Trades </t>
  </si>
  <si>
    <t>User ability to delete Trades</t>
  </si>
  <si>
    <t>Users have the ability to unmatch and delete Trades in Non connected environment</t>
  </si>
  <si>
    <t>Clearing instructions that are created by By-Pass matching rule should be automatically deleted when the trades are deleted for regular as well as NCM trades.</t>
  </si>
  <si>
    <t xml:space="preserve">Test validation of Upstream APS on MFE </t>
  </si>
  <si>
    <t>Clearing instruction would get created when user manually Allocate or Give-Up the trade.</t>
  </si>
  <si>
    <t xml:space="preserve">Perform bulk clearing reversal using unmatch button, for the exchanges where "Clearing Reversal" feature is activated. </t>
  </si>
  <si>
    <t>Preventing automatic matching of Clearing Instructions (CI) with Holding Accounts</t>
  </si>
  <si>
    <t>Go to Rule Sets, try to edit any Matching Rule set (both for Trade to CI and vice versa) and check if new computed field "Account Is Holding" is available.
Edit some Rule Set and add this attribute. Go to Rule Viewer and edit corresponding Rule with new computed field "Account Is Holding", set value from any to false. new computed field "Account Is Holding" is added to Matching Rules Sets for both Trade to CI and CI to Trade.
Insert several Trades and several Clearing Instructions (some of them with Holding accounts)  which should be automatically matched with those trades by edited Rule Set and Rule. Check if CI's with Holding accounts are not matched and the others are.</t>
  </si>
  <si>
    <t>JPX</t>
  </si>
  <si>
    <t>EEX</t>
  </si>
  <si>
    <t>1. Insert several CI's, single and split.
2. Select several CI's, both split and single, and click on "Edit" button.
3. Check if update of attribute "Commission description" is available and update it with some value.
4. Check if all CI's and all leg's have same updated value.</t>
  </si>
  <si>
    <t>BUS -FIS CD -TC-SD-12-I</t>
  </si>
  <si>
    <t>BUS -FIS CD -TC-SD-12-J</t>
  </si>
  <si>
    <t>BUS -FIS CD -TC-CLR-448</t>
  </si>
  <si>
    <t xml:space="preserve">Trades executed under I and given up to  should have correct fees attached to them </t>
  </si>
  <si>
    <t>Test to ensure that allocations from the upstream allocation system can be matched and cleared with exchange trades in the FIS CD UI and processed in back off system</t>
  </si>
  <si>
    <t>BUS -FIS CD -TC-CLR-178-B</t>
  </si>
  <si>
    <t>Validate trade counts and trade economics loaded from FIS CD into Back office Systems to ensure no trades have dropped in the trade feed</t>
  </si>
  <si>
    <t>BUS -FIS CD -TC-CLR-308</t>
  </si>
  <si>
    <t xml:space="preserve">1. Hamburger ICON                                               
2. Referential
3. Accounts
4. Click on Search on left hand column
5. In Left hand Panel input the account you want to review in name Field and hit Apply button
6. The Account should appear in the right hand panel
7. Highlight the account in right hand panel and click  View Button
8. Select Clearing Details Tab
9. This will shouw you the Exchnage level set up and which Owner, Exchange Account, Matching Account Ref and Clearing Account Ref is associatd to that account
</t>
  </si>
  <si>
    <t>BUS -FIS CD -TC-CLR-317</t>
  </si>
  <si>
    <t>BUS -FIS CD -TC-CLR-318</t>
  </si>
  <si>
    <t xml:space="preserve">1. Trade Management 
2. Trade Clearing
3. Change Filter to 'T+n'
4. Click on 'Full Service Cleared' tile
5. Export trades for previous day into CSV file
6. Pivot results by account and transaction count
7. Perform steps 5 &amp; 6 for 'Give Up Pending' tile
8. Perform steps 5 &amp; 6 for 'Give Up Accepted' tile
9. Perform steps 5 &amp; 6 for 'Give In Cleared' tile
10. Take DTN file produced at EOD previous clearing day by Back Office System team
11. Remove REGEN trades
12. Pivot trades based on account and transaction count
13. Compare the data between FIS CD exports and DTN file to highlight differences
14. All differences will need to be investigated and explained or fixed
</t>
  </si>
  <si>
    <t>Reconciliation of a day's clearing activity in Back Office system to Exchange. E2E reconciliation of trades from FIS CD into Back Office System and back to the Exchange.</t>
  </si>
  <si>
    <t>Check that Reg reporting fields Exec trade time and UTI flow Exch to FCD to Back Office System</t>
  </si>
  <si>
    <t xml:space="preserve">1. Choose and export/save trade details - execution trade time - of an  'unmatched ful service trade' in FIS CD to follow F2B,  2. Export/save execution trade time details of the uncleared trade from Exch GUI,  3. Clear the trade on FIS CD to an EMEA Client acct and export/save trade details, including UTI,  4. Export/save cleared trade details and UTI from Exch GUI,  5. Review/validate the trade time in Back Office System,  6. The trade time should match - Exch &gt; FIS CD &gt; Back Office System,  7. Back Office System IT will be required to run a Back Office System transaction query on TRN file and in the queue log 'XFDMLOFF1', that will show the trade time and UTI for comparison with FIS CD and Exch,  8. Validate that all trade time and UTI details match. </t>
  </si>
  <si>
    <t>BUS -FIS CD -TC-CLR-328</t>
  </si>
  <si>
    <t>Validation of the fix tag 1031</t>
  </si>
  <si>
    <t>BUS -FIS CD -TC-CLR-329</t>
  </si>
  <si>
    <t>BUS -FIS CD -TC-CLR-330</t>
  </si>
  <si>
    <t>BUS -FIS CD -TC-CLR-331</t>
  </si>
  <si>
    <t>BUS -FIS CD -TC-CLR-332</t>
  </si>
  <si>
    <t>BUS -FIS CD -TC-CLR-333</t>
  </si>
  <si>
    <t>BUS -FIS CD -TC-CLR-334</t>
  </si>
  <si>
    <t>BUS -FIS CD -TC-CLR-335</t>
  </si>
  <si>
    <t>BUS -FIS CD -TC-CLR-336</t>
  </si>
  <si>
    <t>BUS -FIS CD -TC-CLR-337</t>
  </si>
  <si>
    <t>BUS -FIS CD -TC-CLR-338</t>
  </si>
  <si>
    <t>BUS -FIS CD -TC-CLR-339</t>
  </si>
  <si>
    <t>BUS -FIS CD -TC-CLR-340</t>
  </si>
  <si>
    <t>BUS -FIS CD -TC-CLR-341</t>
  </si>
  <si>
    <t>BUS -FIS CD -TC-CLR-342</t>
  </si>
  <si>
    <t>Clearing - WebICE flag Full Service</t>
  </si>
  <si>
    <t>BUS -FIS CD -TC-CLR-343</t>
  </si>
  <si>
    <t xml:space="preserve">Clearing - WebICE flag Give Up </t>
  </si>
  <si>
    <t>BUS -FIS CD -TC-CLR-344</t>
  </si>
  <si>
    <t>BUS -FIS CD -TC-CLR-345</t>
  </si>
  <si>
    <t>BUS -FIS CD -TC-CLR-346</t>
  </si>
  <si>
    <t>BUS -FIS CD -TC-CLR-347</t>
  </si>
  <si>
    <t>BUS -FIS CD -TC-CLR-348</t>
  </si>
  <si>
    <t>BUS -FIS CD -TC-CLR-349</t>
  </si>
  <si>
    <t>BUS -FIS CD -TC-CLR-350</t>
  </si>
  <si>
    <t>BUS -FIS CD -TC-CLR-352</t>
  </si>
  <si>
    <t>BUS -FIS CD -TC-CLR-359</t>
  </si>
  <si>
    <t>Clearing and Matching of STP Give In CI’s</t>
  </si>
  <si>
    <t>BUS -FIS CD -TC-CLR-360</t>
  </si>
  <si>
    <t>BUS -FIS CD -TC-CLR-361</t>
  </si>
  <si>
    <t>BUS -FIS CD -TC-CLR-362</t>
  </si>
  <si>
    <t>BUS -FIS CD -TC-CLR-363</t>
  </si>
  <si>
    <t>BUS -FIS CD -TC-CLR-364</t>
  </si>
  <si>
    <t>BUS -FIS CD -TC-CLR-365</t>
  </si>
  <si>
    <t>BUS -FIS CD -TC-CLR-366</t>
  </si>
  <si>
    <t>Give-up split allocation rejection</t>
  </si>
  <si>
    <t>BUS -FIS CD -TC-CLR-367</t>
  </si>
  <si>
    <t>Ensure that Trading Member (exLIFFE QRT and FTB) full service business is visible in FIS CD</t>
  </si>
  <si>
    <t>BUS -FIS CD -TC-CLR-368</t>
  </si>
  <si>
    <t>Ensure that Trading Member (exLIFFE QRT and FTB) full service business can be cleared to Internal Accounts</t>
  </si>
  <si>
    <t>BUS -FIS CD -TC-CLR-369</t>
  </si>
  <si>
    <t>Ensure that Trading Member (exLIFFE QRT and FTB) full service business can be given up to external FCM's</t>
  </si>
  <si>
    <t>BUS -FIS CD -TC-CLR-370</t>
  </si>
  <si>
    <t xml:space="preserve">Ensure that Trading Member (exLIFFE QRT and FTB) full service business can be unmatched/cancelled </t>
  </si>
  <si>
    <t>BUS -FIS CD -TC-CLR-371</t>
  </si>
  <si>
    <t>Ensure that Trading Member (exLIFFE QRT and FTB) give in business is visible in FIS CD</t>
  </si>
  <si>
    <t>BUS -FIS CD -TC-CLR-372</t>
  </si>
  <si>
    <t>Ensure that Trading Member (exLIFFE QRT and FTB) give in business can be cleared to Internal Accounts</t>
  </si>
  <si>
    <t>BUS -FIS CD -TC-CLR-373</t>
  </si>
  <si>
    <t>Ensure that Trading Member (exLIFFE QRT and FTB) give in business can be given up to external FCM's</t>
  </si>
  <si>
    <t>BUS -FIS CD -TC-CLR-374</t>
  </si>
  <si>
    <t xml:space="preserve">Ensure that Trading Member (exLIFFE QRT and FTB) give in business can be unmatched/cancelled </t>
  </si>
  <si>
    <t>BUS -FIS CD -TC-CLR-375</t>
  </si>
  <si>
    <t>BUS -FIS CD -TC-CLR-376</t>
  </si>
  <si>
    <t>BUS -FIS CD -TC-CLR-377</t>
  </si>
  <si>
    <t>BUS -FIS CD -TC-CLR-378</t>
  </si>
  <si>
    <t>Integration &amp; Back Office - Back Office accounts</t>
  </si>
  <si>
    <t>BUS -FIS CD -TC-IBO-1</t>
  </si>
  <si>
    <t>BUS -FIS CD -TC-IBO-2</t>
  </si>
  <si>
    <t>BUS -FIS CD -TC-IBO-2A</t>
  </si>
  <si>
    <t>BUS -FIS CD -TC-IBO-2B</t>
  </si>
  <si>
    <t>BUS -FIS CD -TC-IBO-3</t>
  </si>
  <si>
    <t>BUS -FIS CD -TC-IBO-3A</t>
  </si>
  <si>
    <t>BUS -FIS CD -TC-IBO-3B</t>
  </si>
  <si>
    <t>BUS -FIS CD -TC-IBO-3C</t>
  </si>
  <si>
    <t>BUS -FIS CD -TC-IBO-3D</t>
  </si>
  <si>
    <t>BUS -FIS CD -TC-IBO-3E</t>
  </si>
  <si>
    <t>BUS -FIS CD -TC-IBO-3F</t>
  </si>
  <si>
    <t>BUS -FIS CD -TC-IBO-4</t>
  </si>
  <si>
    <t>BUS -FIS CD -TC-IBO-4A</t>
  </si>
  <si>
    <t>BUS -FIS CD -TC-IBO-4B</t>
  </si>
  <si>
    <t>BUS -FIS CD -TC-IBO-4C</t>
  </si>
  <si>
    <t>BUS -FIS CD -TC-IBO-4D</t>
  </si>
  <si>
    <t>BUS -FIS CD -TC-IBO-4E</t>
  </si>
  <si>
    <t>BUS -FIS CD -TC-REP-01-A</t>
  </si>
  <si>
    <t>Reporting - Generate Manually touched / cleared trades report in the Gui and validate data</t>
  </si>
  <si>
    <t>BUS -FIS CD -TC-REP-01-A1</t>
  </si>
  <si>
    <t>Reporting - Generate Manually touched / cleared CI report in the Gui and validate data</t>
  </si>
  <si>
    <t>BUS -FIS CD -TC-REP-01-B</t>
  </si>
  <si>
    <t>Reporting - Review Manually touched / cleared trades report in the View reports Gui Menu (CSV)</t>
  </si>
  <si>
    <t>BUS -FIS CD -TC-REP-01-B1</t>
  </si>
  <si>
    <t>Reporting - Review Manually touched / cleared CI report in the View reports Gui Menu (CSV)</t>
  </si>
  <si>
    <t>Reporting - Missing BO mapping</t>
  </si>
  <si>
    <t>BUS -FIS CD -TC-REP-02</t>
  </si>
  <si>
    <t>BUS -FIS CD -TC-REP-03-A</t>
  </si>
  <si>
    <t>Reporting - Generate Daily STP rates for trades per Market report in the Gui and validate data</t>
  </si>
  <si>
    <t>BUS -FIS CD -TC-REP-03-B</t>
  </si>
  <si>
    <t>Reporting - Generate Weekly STP rates for trades per Market report and validate data</t>
  </si>
  <si>
    <t>BUS -FIS CD -TC-REP-03-C</t>
  </si>
  <si>
    <t>Reporting - Generate Monthly STP rates for trades per Market report and validate data</t>
  </si>
  <si>
    <t>BUS -FIS CD -TC-REP-03-D</t>
  </si>
  <si>
    <t>Reporting - Review STP rates for trades per Market reports in the View reports Gui Menu (CSV)</t>
  </si>
  <si>
    <t>BUS -FIS CD -TC-REP-04-A</t>
  </si>
  <si>
    <t>Reporting - Generate Daily STP rates for trades per Client report in the Gui and validate data</t>
  </si>
  <si>
    <t>BUS -FIS CD -TC-REP-04-B</t>
  </si>
  <si>
    <t>Reporting - Generate Weekly STP rates for trades per Client report and validate data</t>
  </si>
  <si>
    <t>BUS -FIS CD -TC-REP-04-C</t>
  </si>
  <si>
    <t>Reporting - Generate Monthly STP rates for trades per Client report and validate data</t>
  </si>
  <si>
    <t>BUS -FIS CD -TC-REP-04-D</t>
  </si>
  <si>
    <t>Reporting - Review STP rates for trades per Client reports in the View reports Gui menu (CSV)</t>
  </si>
  <si>
    <t>BUS -FIS CD -TC-REP-05</t>
  </si>
  <si>
    <t>Reporting - Real time trade activity</t>
  </si>
  <si>
    <t>BUS -FIS CD -TC-REP-06-A</t>
  </si>
  <si>
    <t>Reporting - disabled/deleted trades/clearing instructions</t>
  </si>
  <si>
    <t>BUS -FIS CD -TC-REP-06-B</t>
  </si>
  <si>
    <t>Audit trail of disabled/deleted trades/clearing instructions</t>
  </si>
  <si>
    <t>BUS -FIS CD -TC-REP-06-C</t>
  </si>
  <si>
    <t>BUS -FIS CD -TC-REP-07-A</t>
  </si>
  <si>
    <t>Reporting - EOD Claimed / Unclaimed transactions report - GENERATE</t>
  </si>
  <si>
    <t>BUS -FIS CD -TC-REP-07-A1</t>
  </si>
  <si>
    <t>Reporting - EOD Claimed / Unclaimed transactions report - REVIEW</t>
  </si>
  <si>
    <t>BUS -FIS CD -TC-REP-07-B</t>
  </si>
  <si>
    <t xml:space="preserve">Export - EOD uncleared transactions report </t>
  </si>
  <si>
    <t>BUS -FIS CD -TC-REP-08-A</t>
  </si>
  <si>
    <t>Reporting - Generate EOD Account Referential Change report and validate data</t>
  </si>
  <si>
    <t>BUS -FIS CD -TC-REP-08-B</t>
  </si>
  <si>
    <t>Reporting - Review EOD Account Referential Change report in the View reports Gui menu (PDF)</t>
  </si>
  <si>
    <t>BUS -FIS CD -TC-REP-09</t>
  </si>
  <si>
    <t>Hourly reporting Dashboard</t>
  </si>
  <si>
    <t>BUS -FIS CD -TC-REP-10</t>
  </si>
  <si>
    <t>Reporting -STP rates by Market - Report Distribution</t>
  </si>
  <si>
    <t>BUS -FIS CD -TC-REP-11</t>
  </si>
  <si>
    <t>Access and view Archived Reports</t>
  </si>
  <si>
    <t>BUS -FIS CD -TC-REP-12</t>
  </si>
  <si>
    <t>Configure, build, run Reports based on Historical/Archived Data</t>
  </si>
  <si>
    <t>BUS -FIS CD -TC-SD-03</t>
  </si>
  <si>
    <t>Running the 1250 comparison file on all fields including in scope Trade Types.</t>
  </si>
  <si>
    <t xml:space="preserve">  Category </t>
  </si>
  <si>
    <t>Validation of the non-connected Allocation file load to FCD from Front Office System</t>
  </si>
  <si>
    <t>Validation of the non-connected Broker file load to FCD from Front Office System</t>
  </si>
  <si>
    <t xml:space="preserve">Ensure that can create CI with split across more than 24 internal split accounts  </t>
  </si>
  <si>
    <t xml:space="preserve">Check to ensure the correct LME forward prompt dates on trades </t>
  </si>
  <si>
    <t xml:space="preserve">Test of FS Split from cleared tile on a fully allocated trade </t>
  </si>
  <si>
    <t xml:space="preserve">Test to ensure can Allocate GiveIn Trades </t>
  </si>
  <si>
    <t xml:space="preserve">Allocate Give-in trades via the account drop down box. </t>
  </si>
  <si>
    <t>Check Trade count details in the bottom panel are working consistently accross all tiles.</t>
  </si>
  <si>
    <t xml:space="preserve">Trade count details are shown when trades selected is less than 100. Test to check for selected trades more than 1000.  </t>
  </si>
  <si>
    <t xml:space="preserve">Test Bulk Account Update in CI </t>
  </si>
  <si>
    <t>When bulk update of accounts is performed, if commission description value is left as blank then the update process clears the existing commission value. Commission value is received from upstream and users rarely modifies it. The purpose of keeping the value of commission description blank is not to overwrite it.  Test if the comment or commision is left as blank then keep the existing value in CI.</t>
  </si>
  <si>
    <t>Test to see if the Edit comment in CI is creating incorrect AUDIT info when CI matches with multiple trades.</t>
  </si>
  <si>
    <t>Test SPLIT editing the account (From Allocate/Split option on CI)</t>
  </si>
  <si>
    <t xml:space="preserve">Test Scenario - CI is received in holding account. - CI is manually split into 2 accounts - each having their own comment and commission. - After split - one leg is properly updated with comment and commission and other leg retains the original commission. - Next user tries to modify the split but it creates one more split split CI with single leg.  </t>
  </si>
  <si>
    <t>Test to create clearing instructions from trades based on pre defined rules</t>
  </si>
  <si>
    <t>Test of Split CI having options instrument auto matching</t>
  </si>
  <si>
    <t>Test Bulk edit of Counterparty</t>
  </si>
  <si>
    <t>Test of Reallocation of accepted give-up</t>
  </si>
  <si>
    <t>Test to ensure WebICE flag is captured on trade in FCD - Full Service</t>
  </si>
  <si>
    <t>Test to ensure WebICE flag is captured on trade in FCD - Give Up</t>
  </si>
  <si>
    <t>Validation of non-connected t+n reversals</t>
  </si>
  <si>
    <t>Validation of non-connected unmatch &amp; reallocate</t>
  </si>
  <si>
    <t>Validation of non-connected House CI</t>
  </si>
  <si>
    <t xml:space="preserve">Validation of non-connected updating CIs </t>
  </si>
  <si>
    <t xml:space="preserve">Validation of non-connected matching CI </t>
  </si>
  <si>
    <t xml:space="preserve">Test Scenario - Split CI (Options) is not auto matching with trade. - Applicable for split CI only. - Apllicable only when the instrument is an option. </t>
  </si>
  <si>
    <t>Test Scenario -  Check if a split CI is selected and drill down and select all split check box is selected - counterparty dropdown in bulk edit option is available? - Check if all the split legs are selected manually and bulk update of counterparty is done the counterparty in header is updated?  Since counterparty is a matching criteria the CI and trade does should match and not have to be force matched.</t>
  </si>
  <si>
    <t>1. Disable trade in FCD</t>
  </si>
  <si>
    <t>Test that a flag 'XX' can be added to all post Cleared trades even when trades clearing using BPMR (+ give-ins)</t>
  </si>
  <si>
    <t>Ensure an executed trade clears and matches versus the CI</t>
  </si>
  <si>
    <t>Ensure that an STP Give In CI matches and clears versus the trade</t>
  </si>
  <si>
    <t>Allocate a EFP Trade</t>
  </si>
  <si>
    <t>Allocate an EFS Trade</t>
  </si>
  <si>
    <t>Allocate an EFM Trade</t>
  </si>
  <si>
    <t>Allocate an EFP Spread Trade</t>
  </si>
  <si>
    <t>Allocate a BLK Spread Trade</t>
  </si>
  <si>
    <t>Allocate an EBF Trade</t>
  </si>
  <si>
    <t>The result should be that the rejected give-ups are allowed to be re-allocated.</t>
  </si>
  <si>
    <t>Test to ensure that Trading Member (exLIFFE QRT and FTB) full service business is visible in FIS CD</t>
  </si>
  <si>
    <t>Test to ensure that Trading Member (exLIFFE QRT and FTB) full service business can be cleared to Internal Accounts</t>
  </si>
  <si>
    <t>Test to ensure that Trading Member (exLIFFE QRT and FTB) full service business can be given up to external FCM's</t>
  </si>
  <si>
    <t>1. Split a trade (either via CI or manually) and give all legs up to another destination firm (CSI in this case).
2. The trades should then be in “Give-up pending”.
3. At CSI, reject the give-ins (reversal).
4. The give-ups in FCD should then be in “Rejected”.
5. Re-allocate those rejected give-ups.</t>
  </si>
  <si>
    <t>1. Select and Allocate a EFP Trade</t>
  </si>
  <si>
    <t>1. Select and Allocate an EFS Trade</t>
  </si>
  <si>
    <t>1. Select and Allocate an EFM Trade</t>
  </si>
  <si>
    <t>1. Select and Allocate an EFP Spread Trade</t>
  </si>
  <si>
    <t>1. Select and Allocate a BLK Spread Trade</t>
  </si>
  <si>
    <t>1. Select and Allocate an EBF Trade</t>
  </si>
  <si>
    <t>IFED</t>
  </si>
  <si>
    <t>IFEU</t>
  </si>
  <si>
    <t>IFLL</t>
  </si>
  <si>
    <t>IFLX</t>
  </si>
  <si>
    <t xml:space="preserve">Test to ensure that Trading Member (exLIFFE QRT and FTB) full service business can be unmatched/cancelled </t>
  </si>
  <si>
    <t>Test to ensure that Trading Member (exLIFFE QRT and FTB) give in business is visible in FIS CD</t>
  </si>
  <si>
    <t>Test to ensure that Trading Member (exLIFFE QRT and FTB) give in business can be cleared to Internal Accounts</t>
  </si>
  <si>
    <t>Test to ensure that Trading Member (exLIFFE QRT and FTB) give in business can be given up to external FCM's</t>
  </si>
  <si>
    <t xml:space="preserve">Test to ensure that Trading Member (exLIFFE QRT and FTB) give in business can be unmatched/cancelled </t>
  </si>
  <si>
    <t>NCM allocation with a single criteria (broker) using BPMR</t>
  </si>
  <si>
    <t>1. Select and Allocate a MK Trade</t>
  </si>
  <si>
    <t>Total Return Future (TAIC) trade with temporary price matched with CI and FCD/Exchange are later updated automatically with the Traded at Index Close (TAIC) price and reflected in Back Office System.</t>
  </si>
  <si>
    <t>Integration &amp; Back Office - Conversion Process - Conversion of Clearing Accounts</t>
  </si>
  <si>
    <t>Integration &amp; Back Office - Conversion Process - Conversion of CV Destination Instructions</t>
  </si>
  <si>
    <t>Integration &amp; Back Office - Conversion Process - Conversion of Legal Entities</t>
  </si>
  <si>
    <t>Integration &amp; Back Office - Conversion Process - Conversion of Clearing House Clearing Firms (Members)</t>
  </si>
  <si>
    <t>Integration &amp; Back Office - Conversion Process - Conversion of Counterparty Accounts</t>
  </si>
  <si>
    <t>Integration &amp; Back Office - Conversion Process - Conversion of Account Relationships</t>
  </si>
  <si>
    <t>Integration &amp; Back Office - Conversion Process - Conversion of Processing Firm Clearing Firm</t>
  </si>
  <si>
    <t>Integration &amp; Back Office - Conversion Process - Conversion of Source Systems</t>
  </si>
  <si>
    <t>Integration &amp; Back Office - Conversion Process - Conversion of Exchange Aliases</t>
  </si>
  <si>
    <t>Integration &amp; Back Office - Conversion Process - Conversion of Account Hierarchies</t>
  </si>
  <si>
    <t>Integration &amp; Back Office - Conversion Process - Conversion of Business Categories</t>
  </si>
  <si>
    <t>Integration &amp; Back Office - Conversion Process - Conversion of Business Units</t>
  </si>
  <si>
    <t>Integration &amp; Back Office - Conversion Process - Conversion of Processing Firm Trading Entities</t>
  </si>
  <si>
    <t>The conversion process from CV into FIS CD should only convert Destination Instructions that have only had activity in Production in the last 6 calendar months. Conversion results will be stored in the Conversion Hub</t>
  </si>
  <si>
    <t>The conversion process will convert a list of active Clearing Members (Clearing House Clearing Firms) from CV and CH into FIS CD. Conversion results will be stored in the Conversion Hub</t>
  </si>
  <si>
    <t>The conversion process will convert a list of Bypass Matching Rules related to active Accounts / DI's from CV into FIS CD. Conversion results will be stored in the Conversion Hub</t>
  </si>
  <si>
    <t>The conversion process will convert a list of Counterparty Accounts from CV into FIS CD. Conversion results will be stored in the Conversion Hub</t>
  </si>
  <si>
    <t>The conversion process will convert a list of Account Relationships from CV into FIS CD. Conversion results will be stored in the Conversion Hub</t>
  </si>
  <si>
    <t>The conversion process will convert 'Processing Firm Clearing Firm = Carrying Broker Relationship = Affiliate' from CV into FIS CD. Conversion results will be stored in the Conversion Hub</t>
  </si>
  <si>
    <t>The conversion process will convert a list of Source Systems from CV into FIS CD. Conversion results will be stored in the Conversion Hub</t>
  </si>
  <si>
    <t>The conversion process will convert a list of Exchange Aliases from CV into FIS CD. Conversion results will be stored in the Conversion Hub</t>
  </si>
  <si>
    <t>Intergration Services</t>
  </si>
  <si>
    <t>Test to continually import back office accounts from BO System into FIS CD on an hourly basis (not just conversion).</t>
  </si>
  <si>
    <t>The conversion process from CV into FIS CD should only convert client accounts that have only had activity in Production in the last 6 calendar months. Accounts converted from BO System and Clearvision for Aliases. Conversion results will be stored in the Conversion Hub</t>
  </si>
  <si>
    <t>The conversion process will convert the below Legal Entities: a) Exchanges and CCP (Baseline Referential); b) Processing Firms (BO System); c) Clearing Firms (CV and CH referential; d)Trading Entities - Account Owners (BO System). Conversion results will be stored in the Conversion Hub</t>
  </si>
  <si>
    <t>Integration &amp; Back Office - Conversion Process - Conversion of BO System Data</t>
  </si>
  <si>
    <t>The conversion process will convert static data from multi BO System Instances (BCI and APC) into FIS CD - Firm, Office etc Conversion results will be stored in the Conversion Hub</t>
  </si>
  <si>
    <t>The conversion process will convert Account Hierarchies from BO System. Conversion results will be stored in the Conversion Hub</t>
  </si>
  <si>
    <t>The conversion process will convert Business Categories (Class) from BO System. Conversion results will be stored in the Conversion Hub</t>
  </si>
  <si>
    <t>The conversion process will convert Business Units (SubClass) from BO System. Conversion results will be stored in the Conversion Hub</t>
  </si>
  <si>
    <t>The conversion process will convert Processing Firm Trading Entities from BO System. Conversion results will be stored in the Conversion Hub</t>
  </si>
  <si>
    <t>Integration &amp; Back Office - Conversion Process - Conversion of BO System Aliases</t>
  </si>
  <si>
    <t>The conversion process will convert BO System Aliases (In - BO System, Out - CV). Conversion results will be stored in the Conversion Hub</t>
  </si>
  <si>
    <t>1) Request the Exchange to give up  T+ trades @ APS
2) Select the APS unmatched give-in trade on TC
3) Accept  / Allocate the trade to internal accuonts
3) Ensure that the trades entry has processed correctly at ICE FEC
4) Check that the trades have fed BO System and validate all trade economics and trade tags with T+ trade date</t>
  </si>
  <si>
    <t>Verify trades can be reallocated from house account to client or vice versa - 1. Allocate trades to house account, 2. Verify trades have cleared to BO System, 3. Unmatch in FCD and reallocate to client account, 4. Verify trades have been removed from house account in BO System and booked to client account</t>
  </si>
  <si>
    <t>Verify CI’s can be updated and cleared to BO System successfully *for team that will send CI’s to FCD client AVIVA_APS behaves as per below instruction* - 1. Update CI (ex: price, prompt date, etc) to match trade, 2. Trade and CI should automatch with no further intervention, 3. Verify trade has cleared to BO System</t>
  </si>
  <si>
    <t>Verify trades can clear with CI - 1. Match trade with CI, 2. Verify in BO System</t>
  </si>
  <si>
    <t>1. Go to Trading Member tab.  
2. Select a trade under full service “unmatched”.  
3. Allocate it into one of Trading Members accounts. 
4. Go to BO System and validate the trade.   
5. Check the GUI and validate the trade.</t>
  </si>
  <si>
    <t>1. Go to Trading Member tab.  
2. Select a trade under full service “unmatched”.  
3. Create a new destination instruction. 
4. Select reference and clearing broker.  
5. Trade should move from “unmatched” to give up “pending”.  
6. Once external FCM allocates is, the trade will flow to give up “accepted”.  
7. Go to BO System and validate it.  8. Go to CCP and validate it.</t>
  </si>
  <si>
    <t xml:space="preserve">1. Go to Trading Member tab.  2. Select a trade under full service “unmatched”.  3. Allocate it into one of Trading Member accounts.  4. Go to BO System and validate the trade. 5. Check the GUI and validate the trade.  6. Go to FCD full service “cleared” tile, select the trade and click “unmatch”.  7. The trade goes back to “unmatched” tile.  8. Go to BO System and check if the trade is cancelled from the account.   </t>
  </si>
  <si>
    <t>1. Ask to execute a give in offered to Trading Member code.  2. Go to give in “pending” and allocate the trade to Trading Member account.  3. Trade should move from tile “pending” to “cleared”.  4. Go to BO System and validate.  5. Go to CCP and validate.</t>
  </si>
  <si>
    <t xml:space="preserve">1. Ask to execute a give in offered to Trading Member code.  2. Go to give in “pending” and create a destination instruction.  3. Select a reference and give up broker and give up a trade.  4. From give in “pending” trade will move to give up “pending”.  5. Once clearing broker allocates the trade, it will move to give up “accepted”.  6. Go to BO System and validate.  7. Go to CCP and validate.  </t>
  </si>
  <si>
    <t xml:space="preserve">1. Ask to execute a give in offered to Trading Member code.  2. Go to give in “pending” and allocate the trade to Trading Member account.  3. Trade should move from tile “pending” to “cleared”.  4. Go to BO System and validate the trade.  5. Check the GUI and validate the trade.  6. Go back to FCD give in “cleared” tile, select the trade and click “unmatch”.  7. The trade goes back to “accepted” tile.  8. Go to BO System and check if the trade is cancelled from the account. </t>
  </si>
  <si>
    <t>1. Navigate to T+n section of Trade Clearing, 2. Within the ‘Give In’ &amp; ‘Pending’ tile select a trade, 3. ‘Allocate’ trade to end account, 4. Trade should move into ‘Cleared’, 5. Log into back off system, , check trade is present with Give In indicator and relevant broker code, 6. Highlight trade in FCD within ‘Cleared’ section, 7. Select ‘Unmatch’ button, 8. Trade should move into ‘Accepted’ state, 9. Log into back off system and check trade is no longer present in account</t>
  </si>
  <si>
    <t xml:space="preserve">1. Select Hamburger Menu
2. Trade Management
3. Trade Clearing
4. Click on Unmatched Trade/CI
5. Select the TRF Trade with the price status is temporary and the trade type is TAIC 
6. Allocate the trades to an internal Account 
7. Trade should appear as cleared                                                                                                                  
8. Validate original trade in BO System                                                                                                                                                                        9. The exchange will update the settlement price                                                                                                                          10. The trade price will change in clearing                                                                                                                                          11. Once price has changed ollow steps 8 and 9                                                                                                                                                  15. Updated price should now be shown on the trade in BO System                                                                                                                      </t>
  </si>
  <si>
    <t>1. Trade Management
2. Trade Clearing
3. Click FS CLeared and view the R/W NCM Trades
4. The Exec Account Ref on the NCM trades should be the reference populated in the Sungard Value Field
5. Validate trades appear as expected in BO System 
6. Once trades are confirmed as cleared in BO System request the DTN file to be sent by BO System team
7. Once DTN file is sent, search the file for the respective trades
8. The Exec Account Reference on the trades in FIS CD should appear in the PSRCAC field on the DTN file</t>
  </si>
  <si>
    <t>In Split Trade Screen, allow uploading CSV file ("Import from File" button) with split legs containing the new columns: "Commission Description" and "Comment" and update the template available through the "Download Template" button.</t>
  </si>
  <si>
    <t>Import "Commission Description" and "Comment" on Split table</t>
  </si>
  <si>
    <t>Testing of Comment code in split screen</t>
  </si>
  <si>
    <t>1.	User selects a Treasury trade at Fractional price (21,25,17,TN,UBE)
2.	User selects the matching Clearing instruction
3.	FCD Dev step 'to get relevant CI prom prod and replay it into UAT. and trade should auto-match with CI.
4.	Users confirms the price matches in back off system as well.
5.	User will see the same price on FEC, Trade, CI and back off system</t>
  </si>
  <si>
    <t xml:space="preserve">1.	User selects a Treasury option trade at Fractional price (W,C,S, 07,06)
2.	User selects the matching Clearing instruction
3.	FCD Dev step 'to get relevant CI prom prod and replay it into UAT. and trade should auto-match with CI.
4.	Users confirms the price matches in back off system as well.
5.	User will see the same price on FEC, Trade, CI and back off system
</t>
  </si>
  <si>
    <t>1.	User selects a Treasury option trade at Fractional price (W,C,S, 07,06)
2.	User selects the matching Clearing instruction
3.	FCD Dev step 'to get relevant CI prom prod and replay it into UAT. and trade should auto-match with CI.
4.	Users confirms the price matches in back off system as well.
5.	User will see the same price on FEC, Trade, CI and back off system</t>
  </si>
  <si>
    <t xml:space="preserve">1.Referential
2.Matching Sets
3.Name = Account Specific Matching
4.Enable = Yes
5.Add
6.Trade - Operator - Clearing Instruction, Save
7.Direction - Equals - Direction, Save 
8.Price - Equals - Price, Save
9.Now go to Main Hamburger – search Rule Sets
10.Define Criteria – Matching, Trade CI
11.New
12.Name – Account Based
13.When – Clearing Instruction: Execution Account Ref(input the ref you want to use)
14.Use- CCP: Name
15.Save
16.Update Criteria – Matching, Trade CI
17.Name – Account Based
18.When – Clearing Instruction: Execution Account Ref(input the ref you want to use, you could also add product to the rule if you want)
19.Use- CCP: Name
20.Save
21.Now go to Rule Viewer
22.Criteria - Matching, Trade CI, Account Based(your rule is now an option)
23.New
24.Matching sets – Account Specific Matching
25.Save
26.Then check and make sure the other rule auto-setups for criteria: Matching, CI Trade, Account Based
27.Now have FCD Dev/DEV bounce the system so the new rule will take effect.                                                                                      </t>
  </si>
  <si>
    <t>1. Work with FCD Dev to confirm 1250 file from UAT has been reconciled back to Production 1250 file for validation of key fields</t>
  </si>
  <si>
    <t xml:space="preserve">1. FCD Dev will feed Clearing Instructions from to FIS CD at the start of each logical business day                                                                                                                        
2. Clearing Instructions will be visible in the Dashboard under CI tiles                 
3. The commission code will determine how the trade is processed.  ~client, STP or #desk 
</t>
  </si>
  <si>
    <t xml:space="preserve">1. FCD Dev will replay Clearing Instructions from FIS CD at the start of each logical business day                                                                                                                        
2. Clearing Instructions will be visible in the Guy Dashboard under CI tiles       
</t>
  </si>
  <si>
    <t>1. FCD Dev will produce a daily FIS CD vs back off system reconciliation during UAT
2. Operations to review and validate the results of the reconciliation and this will show all trades on IFEU / IFED that have been cleared for that business date
3. Alternatively as part of the individual clearing test cases, back off system is used to validate that trades have fed down as expected on day of the test</t>
  </si>
  <si>
    <t>1. Pick a trade and a holding account.  2. Ask FCD Dev IT to send down a holding lines from front office system.  3. Once holding line is in in “holding” tile. Ask IT to update it with an end account.  4. Holding line should be overwritten with an end account and match the trade.  5. Trade should be in “cleared” tile.  6. Go to back off system and validate the trade.  7. Go to the exchange and check if the trade has a correct account type.</t>
  </si>
  <si>
    <t>1. Request from FCD Dev that a split CI is sent into FIS CD UI to clear an Unmatched FS trade
2. The references sent in on the Split CI should be valid CV_IN Aliases set up against the FS Accounts in question
3. Once the split CI has been sent in by FCD Dev it should auto clear the trade
4. Trade should hit FS Cleared tile
5.In Matched CI tile if you look at the splits under the CI you should see the references populated in the Comment field for each leg of the split CI 
6.. Log into back off system 
7. 
8. Validate trades appear as expected in back off system
9. Once trades are confirmed as cleared in back off system request the DTN file to be sent by back off system team
10. Once DTN file is sent, search the file for the respective trades
11. The References from the Comments field of the Split CI should appear in the PSRCAC field on the DTN file</t>
  </si>
  <si>
    <t>1. Search Overdue Configuration                                                                                             2. Select New
3. Name - Clearing In Progress
4. Monitored Element - TRADE
5. Monitoring Status - Request Status
6. Monitoring Value - Clearing In Progress
7. Monitoring Date - T
8. Hours - 0                                                                                                      9. Minutes - 5                                                                                                                                    ****** We may need to ask FCD Dev to configure this in FIS CD as Ops may not have access to set up Alerts</t>
  </si>
  <si>
    <t>1. Search Overdue Configuration                                                                                             2. Select New
3. Name - Partially Matched Clearing Instructions
4. Monitored Element - CLEARING_INSTRUCTION
5. Monitoring Status - Matching Status
6. Monitoring Value - Partially Matched
7. Monitoring Date - T
8. Hours - 0                                                                                                      9. Minutes - 30                                                                                                                                    ****** We may need to ask FCD Dev to configure this in FIS CD as Ops may not have access to set up Alerts                                   10. Overdue rule should appear until Work board tiles                                                  11. If we have Partially Matched CI's after 30 minutes they will appear in the Overdue rule on the Workboard showing the number of CI's fitting this criteria                                    12. When clicking on the Overdue rule it will then open the left hand and middle panel and show the trades that meet this criteria                               13. Validate details in the left hand and middle panel match the number of CI's being flagged as Overdue</t>
  </si>
  <si>
    <t xml:space="preserve">1. FCD Dev / ETD team to produce ETD trade reconciliation based on a full days clearing activity in FIS CD
2. Operations to review and validate the results of the reconciliation
3. Any breaks highlighted on the ETD reconciliation will need to be investigated and explained or fixed
</t>
  </si>
  <si>
    <t xml:space="preserve">1. From Conversion Hub select Hamburger Menu and choose Discrepancy Analyser 
2. Then click on Reconciliations
3. Select Hierarchy from left hand panel
4. Click on Accounts from Middle panel - ensuring there are no errors and everything is matched 100% - errors will need to be raised to FCD Dev / IS
5. Click on Export data into CSV
6. Open CSV file in botttom left hand corner of the screen
7. Save the file 
8. In FIS CD UI from Hamburger Menu select Referential  
9. Then click on Accounts
10. From Hamburger Icon in Accounts middle panel click on export to CSV
11. Open CSV file from bottom left of screen
12. Save the file 
13. Compare data in the CH file to the FIS CD UI file to ensure all data has converted as expected and the number of items converted ties back to the totals displayed in the CH discrepancy analyser
14. Any discrepancies should be raised to FCD Dev / IS for investigation                                         </t>
  </si>
  <si>
    <t xml:space="preserve">1. From Conversion Hub select Hamburger Menu and choose Discrepancy Analyser
2. Then click on Reconciliations
3. Select Hierarchy from left hand panel
4. Click on Destination Instructions from Middle panel - ensuring there are no errors and everything is matched 100% - errors will need to be raised to FCD Dev / IS
5. Click on Export data into CSV
6. Open CSV file in botttom left hand corner of the screen
7. Save the file
8. In FIS CD UI from Hamburger Menu select Trade Management
9. Then click on Destination Instruction
10. From Hamburger Icon in Destination Instructions middle panel click on export to CSV
11. Open CSV file from bottom left of screen
12. Save the file
13. Compare data in the CH file to the FIS CD UI file to ensure all data has converted as expected and the number of items converted ties back to the totals displayed in the CH discrepancy analyser
14. Any discrepancies should be raised to FCD Dev / IS for investigation                </t>
  </si>
  <si>
    <t xml:space="preserve">1. From Conversion Hub select Hamburger Menu and choose Discrepancy Analyser 
2. Then click on Reconciliations
3. Select Hierarchy from left hand panel
4. Click on Entities from Middle panel - ensuring there are no errors and everything is matched 100% - errors will need to be raised to FCD Dev / IS
5. Click on Export data into CSV
6. Open CSV file in botttom left hand corner of the screen and you can filter by Role Type 'TRADING_ENTITY', 'CLEARING_FIRM', 'CLEARING_FIRM,PROCESSING_FIRM,TRADING_ENTITY)
7. Save the file 
8. In FIS CD UI from Hamburger Menu select Referential
9. Then click on Legal Entities    and open left hand Select panel and select Role of 'Trading Entity' 
10. From Hamburger Icon in Legal Entities middle panel click on export to CSV 
11. Open CSV file from bottom left of screen and Filter out the BO System Firms from Column B (B, E, F, G, L, S) 
12. Save the file
13. Follow the same process steps from 9 - 12 for Role 'Clearing Firm' and steps 9, 10 and 12 for 'Processing Firm' 
14. Compare data in the CH file to the FIS CD UI file to ensure all Accounts are linked to a Processing Firm in FIS CD and the number of items converted ties back to the totals displayed in the CH discrepancy analyser
15. Any discrepancies should be raised to FCD Dev / IS for investigation  
                                                            </t>
  </si>
  <si>
    <t xml:space="preserve">1. From FIS CD UI Hamburger menu select Referential
2. Then click on Legal Entities
3. Select the name of the CCP you wish to validate 
4. Click on the name of the CCP in the middle panel
5. Go to Relationships Tab
6. The CCP should be linked to a number of Clearing Firms and these can be viewed by clicking on the Clearing Firm Link and are Valid Clearing Firms for that CCP
7. From the right hand panel select a Clearing Firm and view within the View legal entity screen by typing in the name and clicking on the Clearing firm in the middle panel view
8. This will show how the Clearing Firm is linked to the CCP
9. Any discrepancies should be raised to FCD Dev / IS for investigation 
                                                             </t>
  </si>
  <si>
    <t xml:space="preserve">1. From Conversion Hub select Hamburger Menu and choose Discrepancy Analyser
2. Then click on Reconciliations
3. Select Rules from left hand panel
4. Click on Bypass Matching Rules from Middle panel - ensuring there are no errors and everything is matched 100% - errors will need to be raised to FCD Dev / IS
5. Click on Export data into CSV
6. Open CSV file in botttom left hand corner of the screen
7. Save the file 
8. In FIS CD UI from Hamburger Menu select Referential then Rule Viewer 
9. From Left Panel : Select Rule Type 'BYPASS_MATCHING', Select Bypass Matching Action 'Trade CI', Select Rule Set 'SelfExecuted and GiveIn Bypass' 
10. From Hamburger Icon in Rule Viewer middle panel click on export to CSV
11. Open CSV file from bottom left of screen
12. Save the file
13. Compare data in the CH file to the FIS CD UI file to ensure all data has converted as expected and the number of items converted ties back to the totals displayed in the CH discrepancy analyser 
14. Any discrepancies should be raised to FCD Dev / IS for investigation                                      </t>
  </si>
  <si>
    <t xml:space="preserve">1. From Conversion Hub select Hamburger Menu and choose Discrepancy Analyser
2. Then click on Reconciliations
3. Select Hierarchy from left hand panel
4. Click on Counterparty Accounts from Middle panel - ensuring there are no errors and everything is matched 100% - errors will need to be raised to FCD Dev / IS
5. Click on Export data into CSV
6. Open CSV file in botttom left hand corner of the screen
7. Save the file
8. In FIS CD UI from Hamburger Menu select Referential
9. Then click on Counterparty Accounts 
10. From Hamburger Icon in Counterparty Accounts middle panel click on export to CSV
11. Open CSV file from bottom left of screen 
12. Save the file
13. Compare data in the CH file to the FIS CD UI file to ensure all data has converted as expected and the number of items converted ties back to the totals displayed in the CH discrepancy analyser 
14. Any discrepancies should be raised to FCD Dev / IS for investigation                                          </t>
  </si>
  <si>
    <t xml:space="preserve">1. From Conversion Hub select Hamburger Menu and choose Discrepancy Analyser
2. Then click on Reconciliations
3. Select Hierarchy from left hand pane
4. Click on Accounts from Middle panel - ensuring there are no errors and everything is matched 100% - errors will need to be raised to FCD Dev / IS
5. Click on Export data into CSV
6. Open CSV file in botttom left hand corner of the screen
7. Save the file
8. In FIS CD UI from Hamburger Menu select Referential
9. Then click on Accounts
10. From Hamburger Icon in Accounts middle panel click on export to CSV  
11. Open CSV file from bottom left of screen
12. Save the file 
13. Compare data in the CH file to the FIS CD UI file to ensure all Accounts are linked to a Processing Firm in FIS CD and the number of items converted ties back to the totals displayed in the CH discrepancy analyser 
14. Any discrepancies should be raised to FCD Dev / IS for investigation                                                                                          </t>
  </si>
  <si>
    <t xml:space="preserve">1. From FIS CD UI Hamburger menu select Referential
2. Then click on Legal Entities
3. Select the Name of  'Barclays Bank PLC' or 'Barclays Bank Ireland or Barclays Capital Inc.' from left Hand panel, depending on Exchange testing for 4.  Click on the Name of  'Barclays Bank PLC' or 'Barclays Bank Ireland' or 'Barclays Capital Inc.', depending on Exchange testing for, in the middle panel
5. Go to Relationships Tab
6. There should be a number of Processing Firms linked to 'Barclays Bank PLC' or 'Barclays Bank Ireland' or 'Barclays Capital Inc.', depending on Exchange testing for.
7. Click on 'Processing Firm'
8. This will provide the view of the Processing Firms that are linked which are the other BO System 'Firms'  
9. Any discrepancies should be raised to FCD Dev / IS for investigation                                                                                                           </t>
  </si>
  <si>
    <t xml:space="preserve">1. From Conversion Hub select Hamburger Menu and choose Discrepancy Analyser
2. Then click on Reconciliations
3. Select Static Data from left hand panel
4. Click on Source Systems from Middle panel - ensuring there are no errors and everything is matched 100% - errors will need to be raised to FCD Dev / IS
5. Click on Export data into CSV
6. Open CSV file in botttom left hand corner of the screen
7. Save the file 
8. In FIS CD UI from Hamburger Menu
9. Then click on Source Systems
10. From Hamburger Icon in Source Systems middle panel click on export to CSV  
11. Open CSV file from bottom left of screen 
12. Save the file
13. Compare data in the CH file to the FIS CD UI file to ensure all data has converted as expected and the number of items converted ties back to the totals displayed in the CH discrepancy analyser
14. Any discrepancies should be raised to FCD Dev / IS for investigation                                         </t>
  </si>
  <si>
    <t xml:space="preserve">1. From FIS CD UI Hamburger menu select Referential 
2. Then click on Legal Entities
3. Select the name of the CCP you wish to validate
4. Click on the name of the CCP in the middle panel
5. Go to Relationships Tab
6. The CCP should be linked to Exchanges - these can be viewed by clicking on Exchange link
7. The CCP should also be link to a number of Clearing Firms and these can be viewed by clicking on the Clearing Firm Link and are Valid CLearing Firms for that CCP 
8. Then click on Aliases Tab and this will show the Aliases in place for that CCP 
9. Any discrepancies should be raised to FCD Dev / IS for investigation                                                                                                                 </t>
  </si>
  <si>
    <t>1. Post Conversion process a review session will be held between Operations, FCD Dev and IS 
2. Results of conversion will be reviewed by the group in the CH and FIS CD to validate conversion results and explain any difference
3. Post review of conversion will be sign off that the coversion was successful
4. See Individual BO System Conversion related Requirements for BO System related Teststs</t>
  </si>
  <si>
    <t xml:space="preserve">1. From Conversion Hub select Hamburger Menu and choose Discrepancy Analyser 
2. Then click on Reconciliations
3. Select Hierarchy from left hand panel
4. Click on Hierarchies from Middle panel - ensuring there are no errors and everything is matched 100% - errors will need to be raised to FCD Dev / IS
5. Click on Export data into CSV
6. Open CSV file in botttom left hand corner of the screen
7. Save the file 
8. In FIS CD UI from Hamburger Menu select Referential 
9. Then click on Account Hierarchy 
10. From Hamburger Icon in Account Hierarchy middle panel click on export to CSV
11. Open CSV file from bottom left of screen
12. Save the file 
13. Compare data in the CH file to the FIS CD UI file to ensure all data has converted as expected and the number of items converted ties back to the totals displayed in the CH discrepancy analyser
14. Any discrepancies should be raised to FCD Dev / IS for investigation                                                      </t>
  </si>
  <si>
    <t xml:space="preserve">1. From Conversion Hub select Hamburger Menu and choose Discrepancy Analyser 
2. Then click on Reconciliations
3. Select Hierarchy from left hand panel
4. Click on Business Category from Middle panel - ensuring there are no errors and everything is matched 100% - errors will need to be raised to FCD Dev / IS
5. Click on Export data into CSV
6. Open CSV file in botttom left hand corner of the screen
7. Save the file 
8. In FIS CD UI from Hamburger Menu select Referential  
9. Then click on Business Category
10. From Hamburger Icon in Business Categories middle panel click on export to CSV 
11. Open CSV file from bottom left of screen
12. Save the file
13. Compare data in the CH file to the FIS CD UI file to ensure all data has converted as expected and the number of items converted ties back to the totals displayed in the CH discrepancy analyser 
14. Any discrepancies should be raised to FCD Dev / IS for investigation                                     </t>
  </si>
  <si>
    <t xml:space="preserve">1. From Conversion Hub select Hamburger Menu and choose Discrepancy Analyser
2. Then click on Reconciliations
3. Select Hierarchy from left hand panel
4. Click on Business Units from Middle panel - ensuring there are no errors and everything is matched 100% - errors will need to be raised to FCD Dev / IS
5. Click on Export data into CSV
6. Open CSV file in botttom left hand corner of the screen
7. Save the file 
8. In FIS CD UI from Hamburger Menu select Referential  
9. Then click on Business Units 
10. From Hamburger Icon in Business Unit middle panel click on export to CSV
11. Open CSV file from bottom left of screen
12. Save the file
13. Compare data in the CH file to the FIS CD UI file to ensure all data has converted as expected and the number of items converted ties back to the totals displayed in the CH discrepancy analyser 
14. Any discrepancies should be raised to FCD Dev / IS for investigation                                                          </t>
  </si>
  <si>
    <t xml:space="preserve">1. From Conversion Hub select Hamburger Menu and choose Discrepancy Analyser
2. Then click on Reconciliations
3. Select Hierarchy from left hand panel
4. Click on Entities from Middle panel - ensuring there are no errors and everything is matched 100% - errors will need to be raised to FCD Dev / IS
5. Click on Export data into CSV
6. Open CSV file in botttom left hand corner of the screen and filter by Role TYpe 'TRADING_ENTITY'
7. Save the file
8. In FIS CD UI from Hamburger Menu select Referential
9. Then click on Legal Entities    and open left hand Select panel and select Role of 'Trading Entity'
10. From Hamburger Icon in Legal Entities middle panel click on export to CSV 
11. Open CSV file from bottom left of screen and Filter out the BO System Firms from Column B (B, E, F, G, L, S)
12. Save the file  
13. Compare data in the CH file to the FIS CD UI file to ensure all Accounts are linked to a Processing Firm in FIS CD and the number of items converted ties back to the totals displayed in the CH discrepancy analyser
14. Any discrepancies should be raised to FCD Dev / IS for investigation                                                                                </t>
  </si>
  <si>
    <t xml:space="preserve">1. From Conversion Hub select Hamburger Menu and choose Discrepancy Analyser 
2. Then click on Reconciliations
3. Select Hierarchy from left hand panel
4. Click on Accounts from Middle panel - ensuring there are no errors and everything is matched 100% - errors will need to be raised to FCD Dev / IS
5. Click on Export data into CSV
6. Open CSV file in botttom left hand corner of the screen
7. Save the file  
8. Click on Destination Instructions from Middle panel - ensuring there are no errors and everything is matched 100% - errors will need to be raised to FCD Dev / IS
9. Click on Export data into CSV
10. Open CSV file in botttom left hand corner of the screen  
11. Save the file
12. Validate that BO System Aliases are present against all accounts in both files
13. Log into the FIS CD UI and execute test cases BUS-FIS CD - TC -SD -12 - G / H to spot check BO System Aliases on Accounts and Destination Instructions
14. Any discrepancies should be raised to FCD Dev / IS for investigation                               </t>
  </si>
  <si>
    <t xml:space="preserve">1. FCD Dev will run a 1250 file (UAT vs Prod) comparison on a given day that will ensure to cover all fields are populated as expected, and a review of all relevant Trade Type scenarios first conducted by FCD Dev and then presented to Ops for vaildation,  2. The comparison should now also include a validation of the Commission/Comment Codesby FCD Dev and Ops.  </t>
  </si>
  <si>
    <t xml:space="preserve">Validation of the Commission/Comment Codes- automated CI </t>
  </si>
  <si>
    <t>Validation of the Commission/Comment Codes- BPMR give-in</t>
  </si>
  <si>
    <t>Validation of the Commission/Comment Codes- manual allocation</t>
  </si>
  <si>
    <t xml:space="preserve">Validation of the Commission/Comment Codes-  splits </t>
  </si>
  <si>
    <t xml:space="preserve">Validation of the Commission/Comment Codes-  manual splits </t>
  </si>
  <si>
    <t xml:space="preserve">Test of Commission/Comment Codes- manual splits and validation client reference in back off system Comment code </t>
  </si>
  <si>
    <t>Validation of the Commission/Comment Codes-  RO NCM</t>
  </si>
  <si>
    <t xml:space="preserve">Test of Commission/Comment Codes- RO NCM and validation client reference in back off system Comment code </t>
  </si>
  <si>
    <t>Validation of the Commission/Comment Codes- R/W NCM</t>
  </si>
  <si>
    <t xml:space="preserve">Test of Commission/Comment Codes- R/W NCM and validation client reference in Back Office System &amp; PSRCAC field on the DTN file </t>
  </si>
  <si>
    <t>Validation of non-connected BPMR rules to match broker file from Front Office System</t>
  </si>
  <si>
    <t>Generated daily report of manually touched/cleared trades should be viewable in CSV format post generation in the UI and contain all manually touched / cleared trades</t>
  </si>
  <si>
    <t>Generated daily report of manually touched/cleared CI's should be viewable in CSV format post generation in the UI and contain all manually touched / cleared CI's</t>
  </si>
  <si>
    <t>Validate data from auto scheduled job for the Monitor Manual Touch trades report. Post scheduling report should be available to view in the FIS CD UI</t>
  </si>
  <si>
    <t>Validate data from auto scheduled job for the Monitor Manual Touch CI  report. Post scheduling report should be available to view in the FIS CD UI</t>
  </si>
  <si>
    <t>Generated daily report STP cleared trades per Market should be viewable in CSV format post generation in the UI and contain data for all STP / Non STP transactions</t>
  </si>
  <si>
    <t>Generate weekly report STP cleared trades per Market from the Conversion Hub - post generation report should be available to view in the FIS CD UI</t>
  </si>
  <si>
    <t>Generate monthly report STP cleared trades per Market from the Conversion Hub - post generation report should be available to view in the FIS CD UI</t>
  </si>
  <si>
    <t>Post generation of report in CH you can view the daily report of STP rates for trades per Market in the FIS CD UI and contain data for all STP / Non STP transactions</t>
  </si>
  <si>
    <t>Generated daily report STP rates for trades per Client should be viewable in CSV format post generation in the UI and contain data for all STP / Non STP transactions</t>
  </si>
  <si>
    <t>Generate weekly report STP rates per Client and Market from the Conversion Hub - post generation report should be available to view in the FIS CD UI</t>
  </si>
  <si>
    <t>Generate monthly report STP rates per Client and Market from the Conversion Hub - post generation report should be available to view in the FIS CD UI</t>
  </si>
  <si>
    <t>Post generation of report in CH you can view the daily report of STP per Client and Market in the FIS CD UI and contain data for all STP / Non STP transactions</t>
  </si>
  <si>
    <t>Test to monitor real time clearing activity in the UI - trades clearing in progress, trade flow, outstanding trades vs clearing instructions, volumes realtime</t>
  </si>
  <si>
    <t>1. Click on Hamburger ICON
2. Reporting
3. Generate Clearing Reports 
4. Select Monitor Manual Touch - Trade from left hand panel
5. Select Business Date in Middle Panel
6. Select Generate
7. Open CSV file report generated in left corner of screen 
8. Validate data in report</t>
  </si>
  <si>
    <t>1. Click on Hamburger ICON
2. Reporting
3. Generate Clearing Reports 
4. Select Monitor Manual Touch - Clearing Instructions from left hand panel
5. Select Business Date in Middle Panel
6. Select Generate
7. Open CSV file report generated in left corner of screen 
8. Validate data in report</t>
  </si>
  <si>
    <t xml:space="preserve">1. Click on Hamburger ICON
2. Reporting
3. View Clearing Reports
4. Report should be available in the List of reports from Auto scheduling Job in FIS CD
5. Select A Report - Monitor Manual Touch - Trade
6. Select a Business Date
7. Select report in the middle panel
8. Click on View button
9. Open CSV file in bottom left corner
10. Validate data in the report
                                                                                                              </t>
  </si>
  <si>
    <t xml:space="preserve">1. Click on Hamburger ICON
2. Reporting
3. View Clearing Reports
4. Report should be available in the List of reports from Auto scheduling Job in FIS CD
5. Select A Report - Monitor Manual Touch - Clearing Instructions
6. Select a Business Date
7. Select report in the middle panel
8. Click on View button
9. Open CSV file in bottom left corner
10. Validate data in the report
                                                                                                              </t>
  </si>
  <si>
    <t>1. Click on Hamburger ICON
2. Reporting
3. Generate Clearing Reports 
4. Select Client STP Rates per Market from left hand panel
5. Select Business Date in Middle Panel
6. Select Period - Day
7. Select Generate
8. Open CSV file report generated in left corner of screen 
9. Validate data in report</t>
  </si>
  <si>
    <t>1. Click on Hamburger ICON
2. Reporting
3. Generate Clearing Reports 
4. Select Client STP Rates per Market from left hand panel
5. Select Business Date in Middle Panel
6. Select Period - Weekly
7. Select Generate
8. Open CSV file report generated in left corner of screen 
9. Validate data in report</t>
  </si>
  <si>
    <t>1. Click on Hamburger ICON
2. Reporting
3. Generate Clearing Reports 
4. Select Client STP Rates per Market from left hand panel
5. Select Business Date in Middle Panel
6. Select Period - Monthly
7. Select Generate
8. Open CSV file report generated in left corner of screen 
9. Validate data in report</t>
  </si>
  <si>
    <t xml:space="preserve">1. Click on Hamburger ICON
2. Reporting
3. View Clearing Reports
4. Report should be available in the List of reports from Auto scheduling Job in FIS CD
5. Select A Report - Client STP Rates per Market
6. Select a Business Date
7. Select report in the middle panel (Daily, Weekly or Monthly)
8. Click on View button
9. Open CSV file in bottom left corner
10. Validate data in the report
                                                                                                              </t>
  </si>
  <si>
    <t>1. Click on Hamburger ICON
2. Reporting
3. Generate Clearing Reports 
4. Select Client STP Rate per Client and Market from left hand panel
5. Select Business Date in Middle Panel
6. Select Period - Day
7. Select Generate
8. Open CSV file report generated in left corner of screen 
9. Validate data in report</t>
  </si>
  <si>
    <t>1. Click on Hamburger ICON
2. Reporting
3. Generate Clearing Reports 
4. Select Client STP Rate per Client and Market from left hand panel
5. Select Business Date in Middle Panel
6. Select Period - Weekly
7. Select Generate
8. Open CSV file report generated in left corner of screen 
9. Validate data in report</t>
  </si>
  <si>
    <t>1. Click on Hamburger ICON
2. Reporting
3. Generate Clearing Reports 
4. Select Client STP Rate per Client and Market from left hand panel
5. Select Business Date in Middle Panel
6. Select Period - Monthly
7. Select Generate
8. Open CSV file report generated in left corner of screen 
9. Validate data in report</t>
  </si>
  <si>
    <t xml:space="preserve">1. Click on Hamburger ICON
2. Reporting
3. View Clearing Reports
4. Report should be available in the List of reports from Auto scheduling Job in FIS CD
5. Select A Report - Client STP Rate per Client and Market
6. Select a Business Date
7. Select report in the middle panel (Daily, Weekly or Monthly)
8. Click on View button
9. Open CSV file in bottom left corner
10. Validate data in the report
                                                                                                              </t>
  </si>
  <si>
    <t>1. On initial Log In the Dashboards will be displayed with high level Status numbers - these numbers should be reflective of the underlying dashboard data
2. Click on 'Status' dashboard to see underlying dashboard data 
3. Expand Dashboard view
4. Top Day should be selected and required Exchange
5. Monitor Tiles : Trade / CI; Full Service; Give-Up; Give-In; Clearing Instruction; APS                                                                                                                   6. Tiles should change real time as trade statuses change                                                7. Totals should tie back on the tiles</t>
  </si>
  <si>
    <t xml:space="preserve">1. Trade CI Unmatched
2. Select one trade in the middle panel
3. Select the BLOCK option
4. Double click on the trade
5. See the details in the right panel
6. Select Audit Trail
7. Select Hamburger menu and export to CSV
</t>
  </si>
  <si>
    <t>1. Clearing Instruction Unmatched screen
2. Select one CI in the middle panel
3. Select the DELETE option
4. Go to the delete tile
5. Double click on the CI
6. See the details in the right panel
7. Select Audit Trail
8. Select Hamburger menu and export to CSV</t>
  </si>
  <si>
    <t>1. Click on Hamburger ICON
2. Reporting
3. Generate Clearing Reports 
4. Select Full Service Give In Give Up Status from left hand panel
5. Select Format CSV
5. Select Report Business Date in Middle Panel
6. Select Period - Day or Week
7. Select Generate
8. Open CSV file report generated in left corner of screen 
9. Validate report contains data
NB: This test case is based on being able to manually generate the report and it shows data. The Review test case is used to validate the data in the report from the review screen</t>
  </si>
  <si>
    <t xml:space="preserve">1. Click on Hamburger ICON
2. Reporting
3. View Clearing Reports
4. Report should be available in the List of reports from Auto scheduling Job in FIS CD
5. Select A Report - Full Service Give In Give Up Status
6. Select a Business Date
7. Select the report in the middle panel
8. Click on View button
9. Open CSV file in bottom left corner
10. Data in the report should be validated back to the Pending / Cleared data for that Clearing Date in FIS CD UI
                                                                                                              </t>
  </si>
  <si>
    <t>1. Trade Management
2. Trade Clearing 
3. Click on Trade/CI Unmatched
4. In Middle Panel click on 'Hamburger'
5. Click on Export To Csv                                                                                                    6. Open Csv export file in bottom left corner                                                                          7. View data in excel - line count in excel should tie back to Trade / CI Unmatched tile count when middle step 3 was followed</t>
  </si>
  <si>
    <t>1. Click on Hamburger ICON
2. Reporting
3. Generate Clearing Reports 
4. Select Account Referential Report from left hand panel
5. Select Business Date in Middle Panel
6. Select Generate
7. Open CSV file report generated in left corner of screen 
8. Validate data in report</t>
  </si>
  <si>
    <t xml:space="preserve">1. Click on Hamburger ICON
2. Reporting
3. View Clearing Reports
4. Report should be available in the List of reports from Auto scheduling Job in FIS CD
5. Select A Report - Account Referential Change
6. Select a Business Date
7. Select report in the middle panel
8. Click on View button
9. Open CSV file in bottom left corner
10. Validate data in the report
                                                                                                              </t>
  </si>
  <si>
    <t>** No Ops Steps : Email report should be auto generated from Genios - Dashboard. Confirm with John Gregory / Mike Weston during UAT Cycle</t>
  </si>
  <si>
    <t>1. Check with MSPC (CX) which of the 5 MO reports have been configured for scheduling  in UAT                                                          2. Agree the recipient list of the scheduled report (s)
3. Confirm the delivery time of the scheduled report (s)
4. Once configured by MSPC validate the report is automatically emailed based on the recipient list and the delivery time
5. Get CX to confirm they are happy with the scheduling process</t>
  </si>
  <si>
    <t>FIS CD should have a full audit trail of all BLOCKED trades in the UI</t>
  </si>
  <si>
    <t>FIS CD should have a full audit trail of all deleted clearing instructions in the UI</t>
  </si>
  <si>
    <t>The ability to generate and view an EOD report showing all uncleared transactions</t>
  </si>
  <si>
    <t>The ability to view an EOD report showing all Claimed / Unclaimed transactions</t>
  </si>
  <si>
    <t>The ability to view a report/display of all disabled/deleted trades/clearing instructions</t>
  </si>
  <si>
    <t>Allocate an MK Trade</t>
  </si>
  <si>
    <t>The ability to export to CSV all uncleared transactions at the end of the clearing day from the UI screens</t>
  </si>
  <si>
    <t xml:space="preserve">Generated daily report of Static Data / Account Referential amendments / inserts should be viewable in CSV format post generation in the UI </t>
  </si>
  <si>
    <t>Post generation of report in CH you can view the daily report of Account Referential Changes in the FIS CD UI and contain data for all Static Data / Referential changes</t>
  </si>
  <si>
    <t>An hourly FIS CD dashboard capturing following data per market: orders cleared/orders not cleared, tickets read/tickets not cleared, last reading time, last clearing time, previous day volume.</t>
  </si>
  <si>
    <t xml:space="preserve">The reports need to be automatically produced (minimum) and mailed out to users </t>
  </si>
  <si>
    <t>Clearing and Matching of FRONT OFFICE  executed CI’s</t>
  </si>
  <si>
    <t>Trade Counts</t>
  </si>
  <si>
    <t>Counterparty</t>
  </si>
  <si>
    <t>WebICE</t>
  </si>
  <si>
    <t>Matching</t>
  </si>
  <si>
    <t>TOCOM</t>
  </si>
  <si>
    <t>TFX</t>
  </si>
  <si>
    <t>Hourly report should be generated from the CH for any trades cleared to an account with no backoffice mapping details</t>
  </si>
  <si>
    <t>1. Clearing Hub will generate an email notification to a group of users for any trades cleared with a BLANK BO mapping on a scheduled basis (at least hourly)                                                                                                                                    2. This test case will be triggered only once Requirement ID 'BUS - FIS CD - TC-SD-25' 'Static data - Missing back office mappings' has been executed and passed</t>
  </si>
  <si>
    <t xml:space="preserve">Ensure that the Source information is received from upstream systems, displayed in the GUI and stored in the system for further processing. </t>
  </si>
  <si>
    <t xml:space="preserve">Ensure that the Execution time is accurately received from upstream systems, displayed in the GUI and stored in the system for further processing. </t>
  </si>
  <si>
    <t xml:space="preserve">1. From Hamburger ICON select Trade Management
2. Trades
3. Trade Clearing
4. Expand Dashboard View
5. Click on Clearing Instruction Matched Tile
6. In Middle Panel view look at 'Execution Time' column 
7. These times should reflect the correct execution time as per Front Office System and not have a generic 12:00:00 timestamp                                     </t>
  </si>
  <si>
    <t>1. Trade Management
2. Trade Clearing
3. In Matched CI tile look at CI's from Front Office System that have Matching Reason Automatic
4. In the Comment field for these CI's should be a Client Reference
5. This will be the reference populated in the Sungard Value Field
6. Log into back off system 
7. 
8. Validate trades appear as expected in back off system 
9. Once trades are confirmed as cleared in back off system request the DTN file to be sent by back off system team
10. Once DTN file is sent, search the file for the respective trades
11. The Exec Account Reference on the trades in FIS CD should appear in the PSRCAC field on the DTN file</t>
  </si>
  <si>
    <t>1. Referential
2. Accounts
3. Search left panel
4. Account Identifier
a. 3WL-40051
5. Select Edit
6. Go to Aliases
7. Select Add
8. Add New Alias Screen
a. Code-MCIFM
b. Name-MCIFM
c. External System - Front Office System or CTA
d. System Type - IN
9. Save Details</t>
  </si>
  <si>
    <t>Verify trades can be cleared with house CI’s  1. Match trade with house CI, 2. Verify in BO System</t>
  </si>
  <si>
    <t xml:space="preserve">New Trade attribute "Trade Order Venue" is added to middle panel of Trade Clearing Work Board for all Trade flows and statuses. </t>
  </si>
  <si>
    <t>1. Insert several Trades having different flow statuses and having value for the attribute "Trade Order Venue".
2. Users need to see the new attribute trade.order venue in the middle panel.
3. Ability to filter on trades where this field is "empty" or "not empty".
4. Ability to sort trades by this value
5. The new attribute must be part of cvs exports</t>
  </si>
  <si>
    <t>Static Data - Contracts</t>
  </si>
  <si>
    <t>BUS -FIS CD -TC-CLR-45</t>
  </si>
  <si>
    <t>BUS -FIS CD -TC-CLR-56</t>
  </si>
  <si>
    <t>BUS -FIS CD -TC-SD-02</t>
  </si>
  <si>
    <t>BUS -FIS CD -TC-TCG-07-A</t>
  </si>
  <si>
    <t>BUS -FIS CD -TC-TCG-07-B</t>
  </si>
  <si>
    <t>BUS -FIS CD -TC-CLR-252</t>
  </si>
  <si>
    <t>Unlock Clearing Instruction</t>
  </si>
  <si>
    <t>NON E3E CLEARING</t>
  </si>
  <si>
    <t>CONVERSION HUB</t>
  </si>
  <si>
    <t xml:space="preserve">REPORTING </t>
  </si>
  <si>
    <t>1250  Compare</t>
  </si>
  <si>
    <t xml:space="preserve">1031 Tag </t>
  </si>
  <si>
    <t>Reglatory Reporting</t>
  </si>
  <si>
    <t>MOBO</t>
  </si>
  <si>
    <t>FOMO</t>
  </si>
  <si>
    <t>STP</t>
  </si>
  <si>
    <t>Archived</t>
  </si>
  <si>
    <t xml:space="preserve">Manual </t>
  </si>
  <si>
    <t>Uncleared</t>
  </si>
  <si>
    <t>1.	User selects Trade with “100” lots
2.	User matches with a split CI with multiple allocation totaling “50” lots
3.	CI is in matched status
4.	Trade is in unmatched status as “100 lots with matched qty 50”
5.	User selects the original split CI in Matched status
6.	User select split and allocates the remaining “50” lots
7.	Allocate to multiple accounts
8.	Once applied all trades should be in cleared status and the split CI will have an updated qty and in matched status.</t>
  </si>
  <si>
    <t>Test to ensure that T+1 trades should not be viewed in the market watch on T day but are clearing the next day in FIS CD UI (i.e. traded on late session 20:00-24on 31/10/19 for clearing on 1/11/19)</t>
  </si>
  <si>
    <t>Auto-match using APS Force Matching set</t>
  </si>
  <si>
    <t>BRD</t>
  </si>
  <si>
    <t>Requirement ID</t>
  </si>
  <si>
    <t>BDM</t>
  </si>
  <si>
    <t xml:space="preserve">Ability to Demerge multiple trade matched with one CI </t>
  </si>
  <si>
    <t>202203.0.0</t>
  </si>
  <si>
    <t>E2E CLEARING</t>
  </si>
  <si>
    <t>User has ability to demerge an aps trade from the FISCD UI.</t>
  </si>
  <si>
    <t>One Step APS Merge and Demerge operations</t>
  </si>
  <si>
    <t>1. Load 2 trades
2. Load one APS CI that will match those two trades
3. Select one trade and select APS Wizard. Apply CCP responses to create APS trade
4. Create the APS and (force) Match with CI  
5. APS trade is successfully created and the request is processed.  
6. Perform demerge operation 
7. Demerge is successfully performed, 
8. Original trades are reopened, 
9. CI is shown as unmatched and blocked for matching</t>
  </si>
  <si>
    <t>User can perform APS demerge, when the APS created is using CIs.</t>
  </si>
  <si>
    <t>Support Secondary Source System</t>
  </si>
  <si>
    <t>Setup Source System (e.g. "ETDGateway_IFEU" with "Account/DI Secondary Alias Source" as "SGX_Gateway")
Create ACC1 where clearing details will be IFEU as exchange, Source System ETDGateway_IFEU with alias code 123 and another secondary Source System SGX_Gateway with different alias 555.
Upload a CI with Source System ETDGateway_IFEU on IFEU as 555 (account alias)
Check that Clearing Instruction will be successfully resolved on ACC1
Create ACC2 where clearing details will be IFEN as exchange, Source System ETDGateway_IFEU with alias code 456 and another secondary Source System SGX_Gateway with a different alias 777.
Upload a Trade on IFEU
Upload a Clearing Instruction on IFEU, using the same Source System as on a Trade ETDGateway_IFEU, alias 777 
The task should be raised to fix "missing account/DI", as account details on ACC2 (exchange) are not satisfied
Resolve the task by adding the alias on one of the accounts that are displayed in the drop-down
Check that task is successfully resolved using the source system from the CI (original one-ETDGateway_IFEU)
There is no other task raised for the same request and trade and CI are automatically in progress tile</t>
  </si>
  <si>
    <t>2022.04.0</t>
  </si>
  <si>
    <t>Account resolution-
When the User relates the Original Source System to Secondary Source System</t>
  </si>
  <si>
    <t>NOSA and GOSA support on IDEM (CGIT/XDMI)</t>
  </si>
  <si>
    <t>Net and Gross Omnibus Segregated [counterparty] Accounts are listed as member codes on CCP such as CGIT (IDEM/XDMI).</t>
  </si>
  <si>
    <t>In order to configure to allocate to NOSA or GOSA at the CCP, we sometimes need to give-up the trade to the fake member and we need to allocate the give-in and clear it into the fake member account.
In order to achieve this in the FCD, we need to change the way we set up those Counterparty accounts
1. Add Exchange Feature for CCP CGIT named: "GIVE-UP_GIVE-IN_FOR_N/GOSA_CLEARING"
2.  Allow showing Counterparty Account in Clearing Details when
(a) EXCHANGE FEATURE is available for CCP and
(b) 'Counterparty Account Owner' != (is not equal) 'Account Owner' for the specific CCP
Extra requirement in different Jira to be raised:
3. Irrespective of Exchange Feature, only show the Counterparty Account where Origin is the same as the Origin of the Business Category (from Account Hierarchy) of the current ACCOUNT.   
Other Option:
Add to Smoke: Fake Member + CounterParty Acc.
Add Exchange Feature for CCP CGIT named: "ALLOW_TAKE-UP_FOR_ISA-NOSA-GOSA_CLEARING"
[Add to immutable Client Ref]
Allow showing Counterparty Account in Clearing Details when
(a) 'Counterparty Account Owner' is registered with CCP with EXCHANGE FEATURE above
and
(b)  'Counterparty Account Owner' is clearing through the same Processing Firm in the hierarchy of the client</t>
  </si>
  <si>
    <t>User has the ability to choose on which source he wants to add the alias, only if there is relation between Original and Secondary Source System added before. If not, only Original Source will be automatically selected.</t>
  </si>
  <si>
    <t>Review Task resolution to make sure the correct Source System when resolving alias</t>
  </si>
  <si>
    <t>UI needs to be changed to support the Secondary Source System alias.
Scenario:
Relate Source System ETDGateway_IFEU with SGX one
Upload a Clearing Instruction using Source System ETDGateway_IFEU, with the account that doesn't exist ( there is no account alias, an alias for secondary source system, name of the account, nor DI alias, DI secondary source DI name)
So the task is raised to fix missing account /DI
Go to account alias resolution
Make sure that the popup is opened with the radio buttons:
* External Source System: &lt;ESS&gt;
Secondary Source System: &lt;SSS&gt;
So if there is a Secondary Source system related to original Source, we should display both Sources with empty radio buttons under mandatory *.
Users should choose between those 2 Source Systems. He can not leave it blank. If it is blank and the user presses &lt;add alias&gt;, error message should be raised the same as for other tasks related to the same thing, not populating the mandatory field.
If there is no connection between Original Source System and Secondary one, then we should display only one External Source from which CI is coming from, again using the radio button but automatically selected.</t>
  </si>
  <si>
    <t>User changes the account from Holding Account to Clearing Account by editing the Clearing Instruction.</t>
  </si>
  <si>
    <t>Manually Updating BPMR Holding Account CI to a Clearing Account</t>
  </si>
  <si>
    <t>Support of clearing on TMF Account from CMF trade</t>
  </si>
  <si>
    <t>202205.0.0</t>
  </si>
  <si>
    <t xml:space="preserve">As a middle office operator, I need to clear a CMF trade on a TMF account so that the trade is will booked on the account of the TMF and not on any account of the CMF. the system should be able to support the clearing of a trade matched with one clearing instruction, but also the case of splits (either using many clearing instructions, or by using a group clearing instruction)
CMF: Clearing Member Firm = GCM
TMF: Trading Member Firm  = NCM
When a trade is received it has:
Processing firm = CMF
Executing Firm = [Empty]
However, it needs to be cleared on an account owned by the TMF
TMF will be created as an RC:
trading entity, as a client of the CMF
is registered on Euronext
mnemonic: alias with source = Exchange or CCP
Account of the TMF:
account owner: TMF
hierarchy : CMF
Counterparty account owner: TMF
 The clearing request must include party role 4 with the alias of the TMF at the CCP ord Exchange level.
New task to be created:
If the alias of the TMF does not exist (neither at the exchange level nor at the CCP level), then a task must be raised:
Task message: “Clearing not possible. Fix missing alias for entity [TMF] with source set to exchange of CCP”
Resolution: 
a button “Add alias”, and the popup where we see the TMF name, a text box to add the name, and ideally the sources should be the exchange of the trade, and the CCP of the trade.
a cancel button to cancel the clearing attempt
 </t>
  </si>
  <si>
    <t>Ability to clear such CMF trade on a TMF account so that the trade will booked on the account of the TMF and not on any account of the CMF.</t>
  </si>
  <si>
    <t>1.	Trade Management
2.	Trade Clearing
3.	Unmatch FS
4.	Give-Up
5.	Clearing Instruction 
6.	Remaining details will auto-populate
7.	Once the trade is claimed, post a reversal 
8.	Once the reversal is confirmed, the trade should appear in the Unmatched screen
9.	Select the trade
10.	Give-Up
11.	You can GU to any broker 
12.	Make sure the trade show up in tile Give-Up Pending/Give-Up Accepted
13. Log into back off system 
14. 
15. Validate trades appear as expected in back off system</t>
  </si>
  <si>
    <t>1.	Trade Management
2.	Trade Clearing
3.	Unmatch FS
4.	Give-Up
5.	Once the trade is claimed, post a reversal 
6.	Once the reversal is confirmed, the trade should appear in the Unmatched screen
7.	Select the trade
8.	Give-Up
9.	You can GU to any broker 
10.	Make sure the trade show up in tile Give-Up Pending/Give-Up Accepted
11. Log into back off system  
12. Validate trades appear as expected in back off system</t>
  </si>
  <si>
    <t xml:space="preserve">1. Trade Clearing
2. Make sure you have CIs in CI Matched
3.Select a Destination Instruction CI which has been traded under the I Membership to Clear at the  Membership
4. Trade should be in Give Up Accepted Tile for I and under the Give In Accepted Tile for  
5. Log into back off system 
6. Validate trade has hit the Full Service account in back off system with "?" in the Comment Code field to denote Front Office System Executed                   </t>
  </si>
  <si>
    <t>Both Confirmation and failiure should be availabe in the operations drop down
For Giveup Reversal Operation in Contingency Procedures only Failure option is displayed, which also user is unable to apply.
1. Login FIS-CD application.
2. Go to trades screen
3. Manually enter the Trade
4. Now, select the Give-Ins &amp; Give-up button and select the Give-up Trade option.
5. Go to Contingency Procedure through Clearing button and select Give-up Accepted
6. Check whether Give-up Status is Accepted.
7. Now again select the Give-Ins &amp; Give-up button and select the Send Reversal Request
8. Go to Contingency Procedure through Clearing button and perform Action on it.
But, user is unable to perform any action on it.</t>
  </si>
  <si>
    <t>1. Trade Clearing
2. Give-Ins Pending
3. Split
4. Add Details
5. Go to Cleared Give-In
6. Unmatch Trade(s)
7. Go to Accepted Give-In
8. Allocate9. Put in new account 
10. Save                                                                                                                              11. Log into back off system 
12. 
13. Validate trades appear as expected in back off system</t>
  </si>
  <si>
    <t>BUS -FIS CD -TC-CLR-156</t>
  </si>
  <si>
    <t>BUS -FIS CD -TC-CLR-470</t>
  </si>
  <si>
    <t>BUS -FIS CD -TC-CLR-471</t>
  </si>
  <si>
    <t>BUS -FIS CD -TC-TCG-11</t>
  </si>
  <si>
    <t>BUS -FIS CD -TC-TCG-13</t>
  </si>
  <si>
    <t>BUS -FIS CD -TC-TCG-12</t>
  </si>
  <si>
    <t>BUS -FIS CD -TC-SD-48</t>
  </si>
  <si>
    <t>BUS -FIS CD -TC-SD-49</t>
  </si>
  <si>
    <t>BUS -FIS CD -TC-SD-50</t>
  </si>
  <si>
    <t>Test to ensure a give-in claimed byfirmcan be reversed via a task initiated by the opposite broker in the FIS CD UI and processed in back off system</t>
  </si>
  <si>
    <t>Market</t>
  </si>
  <si>
    <t>Automatable</t>
  </si>
  <si>
    <t>Not Automatable</t>
  </si>
  <si>
    <t>Total</t>
  </si>
  <si>
    <t>To Automate</t>
  </si>
  <si>
    <t>Barclays to implement</t>
  </si>
  <si>
    <t>To Confirm</t>
  </si>
  <si>
    <t xml:space="preserve">Eurex </t>
  </si>
  <si>
    <t>ICEUS</t>
  </si>
  <si>
    <t>MEFF</t>
  </si>
  <si>
    <t>NOMX</t>
  </si>
  <si>
    <t>IDEM</t>
  </si>
  <si>
    <t>MONEP</t>
  </si>
  <si>
    <t>MATIF</t>
  </si>
  <si>
    <t>Automated Markets Number</t>
  </si>
  <si>
    <t>Techinically Automatable</t>
  </si>
  <si>
    <t>SIT Automated</t>
  </si>
  <si>
    <t>SIT Automated %</t>
  </si>
  <si>
    <t>Perform a contingency procedure on Give Up reversal- Bulk action</t>
  </si>
  <si>
    <t>1. Login FIS-CD application.
2. Go to trades screen
3. Manually enter the Trade
4. Now, select the Give-Ins &amp; Give-up button and select the Give-up Trade option.
5. Go to Contingency Procedure through Clearing button and select Give-up Accepted
6. Check whether Give-up Status is Accepted.
7. Now again select the Give-Ins &amp; Give-up button and select the Send Reversal Request
8. Go to Contingency Procedure through Clearing button and perform Action on it.
But, user is unable to perform any action on it.</t>
  </si>
  <si>
    <t>202102.0.0</t>
  </si>
  <si>
    <t>Filter both trades and CIs in order to see potential matching candidates under those tiles.</t>
  </si>
  <si>
    <t>Apply Block Matching rules for a specific maturity at a specific date</t>
  </si>
  <si>
    <t>Insert a CI for IFLL and XCEC (or any exchange of CMECL) , with DI instruction as "DI_1" - A task will be raised stating "cross exchange give-up is not supported for the exchange XXX(exchange name) and user will have resolution to allocate the trade.
Insert a CI for XCME having R=83 as DI_1 - Give-Up request should be sent without any error/notification. 
Impacted Screens:
Allocate/Give-Up right hand panel
Give-Up tab in the Edit screen for CI details
Split Screen/NVAP Split Screen
Give-Up screen from Trade/CI List viewer</t>
  </si>
  <si>
    <t>Create a CI using a MOS account on non cross exchange and create one on cross exchange</t>
  </si>
  <si>
    <t>“Cross Exchange Give-Up” in the allocation panel will only be displayed on the exchange XCME where this attribute is required.</t>
  </si>
  <si>
    <t xml:space="preserve">Enable "CROSS EXCHANGE GIVE UP" rule and Create a DI having Exchange and CCP as ANY and Cross Exchange Give-Up as YES </t>
  </si>
  <si>
    <t>Insert a Trade for XCME and perform Give-Up action using "DI_1", ensure the cross exchange radio button is enabled and user should be able to perform the Give-Up action.
Insert a Trade for IFLL and XCEC (or any exchange of CMECL) and perform Give-Up action using, "DI_1", ensure cross exchange radio button is not available and also a error pop-up should raise stating, "Selected DI is having cross exchange give-up and not supported for this CCP"</t>
  </si>
  <si>
    <t xml:space="preserve">Matching </t>
  </si>
  <si>
    <t>Add new legs to existing split CI</t>
  </si>
  <si>
    <t>1.Select a Spread trade in FCD (Shown under Outright/Spread flag),  2.Allocate to account,  3. Log into back office system,  and make sure the spread code is noted.</t>
  </si>
  <si>
    <t>1. Trade Clearing
2. Choose a Trade
3. Split
4. Add Split Details
a. Partial Quantity 
b. Allocate Trade Details elect Account
5. Add
6. Partial Quantity
7. Give Up Details select a Destination Instruction 
8. Add
9. Once all lots are allocate hit Save
10. Check CI Matched, FS Cleared and GU Pending
11. In CI Matched, Unmatch the CI
12. Make sure the trades pull back to FS Unmatched                                                             13. Log into Back Office System
14. Validate trades appear as expected</t>
  </si>
  <si>
    <t xml:space="preserve">To test when the gateway is down so the trade become stuck CIP
1. Trade Clearing
2. Create a CI
3. Match the trade and CI
4. Go to Matched CI - the Unmatch button should be greyed out
5. You'll now need to address the Trade to 'unlock' the CI
6. Go to FS in progress
7. Select the trade(s)
8. Select Contingency Procedures
9. Select the trade under Pending Requests
10. Then select Operation
11. For this test purpose, you can Fail or Accept the trade
12. If you Fail then you'll need to address all trades in 'In progress', before it'll allow you to do anything with the CI. So if you Fail both trades, they now would be in FS Matched. You'll then need to unmatch 1 or all of them(by unmatching one the matching qty will update and now the CI will appear in unmatched CI with a partially matched qty and 'unlocked'). By unmatching at least one trade, this will 'unlock' the CI. Once you fully unmatch all trades, then they will all appear in FS Unmatched and the CI in CI Unmatched with 0 matched qty.
13. Log into Back Office System
14. Validate trades appear as expected                     </t>
  </si>
  <si>
    <t>1.Referential 
2.ETD Instruments
3.New
4.Exchange = 
5.Type = Future
6.Clearing Code = i.e. TST2
7. Description = Product Full Name
8. Alias
9. Add
10. Code = i.e. TST2
11. Name = i.e. TST2
12. External System = ETD Gateway_xxxx
13. Source Type = In
14. Add
15. Add again for new Alias
16. Code = i.e.TST2
17. Name = i.e. TST2
18. External System = 
19. Source Type = In
20. Add
21. Save
22. Click on New Mapping of i.e. TST2
23.Select Maturity Date Tab
24.New
25. Maturity = mmmyy
26. Maturity Date - Same as Maturity but just contains log version, i.e. mm/dd/yyyy
27.Save
28.Done</t>
  </si>
  <si>
    <t>Ensure that a split allocation to customer account can be partially or fully re-allocated.</t>
  </si>
  <si>
    <t>Ensure that Spread trade type is cleared successfully with a proper trade type indicator in the FIS CD UI and processed in Back Office System</t>
  </si>
  <si>
    <t>Test to ensure that a Full Service trade can be split allocated in the FIS CD UI and processed in Back Office System</t>
  </si>
  <si>
    <t>1. Trade Clearing Screen
2. Select Un-matched Trade to allocate
3. Select the split option to allocate to 2 or more customer accounts (Ideally 4)
4. Check that the trade and CI has moved to cleared state.
5. Log into Back Office System
6. Go the Clearing Instruction - matched tile and select the CI that has been used for matching.
7. Select 1 or more split allocations and press unmatch.
8. After successful operation -&gt; CI should move to unmatched tile.
9. Verify the allocation details are deleted from Back Office System
10. Re-allocate the unmatched allocations to different customer account.
11. After matching between CI and trade verify the new allocation details are in Back Office System.</t>
  </si>
  <si>
    <t>Test to ensure that a Clearing Instruction can be successfully unlocked from 'Clearing in Progress' in the FIS CD UI and processed in Back Office System</t>
  </si>
  <si>
    <t>Ensure that a split allocation of give-in trade to customer account can be partially or fully re-allocated.</t>
  </si>
  <si>
    <t>Ensure that a split allocation to destination instruction can be partially or fully re-allocated.</t>
  </si>
  <si>
    <t>Ensure that a mix split allocation to destination instruction can be partially or fully re-allocated</t>
  </si>
  <si>
    <t>Ensure that a single allocation to customer account can be re-allocated to mix split account (customer and destination instruction)</t>
  </si>
  <si>
    <t>1. Trade Clearing Screen
2. Select Un-matched Trade to allocate
3. Select the split option to allocate to 2 or more destination instruction (Ideally 4)
4. Check that the trade has moved to GU accepted and CI has moved to matched state.
5. Log into Back Office System and validate the trades are in Back Office System
6. Go the Clearing Instruction - matched tile and select the CI that has been used for matching.
7. Select 1 or more split allocations and press unmatch.
8. After successful operation -&gt; CI should move to unmatched tile.
9. Verify the allocation details are deleted from Back Office System.
10. Re-allocate the unmatched allocations to different destination instruction.
11. After matching between CI and trade verify the new allocation details are in Back Office System</t>
  </si>
  <si>
    <t>1. Trade Clearing Screen
2. Select Un-matched Trade to allocate
3. Select the split option to allocate to 2 customer account and 2 destination instruction
4. Check that the trade has moved to GU accepted and CI has moved to matched state.
5. Log into Back Office System and validate the trades are in Back Office System
6. Go the Clearing Instruction - matched tile and select the CI that has been used for matching.
7. Select 1 customer allocation and 1 give-up allocation and press unmatch.
8. After successful operation -&gt; CI should move to unmatched tile.
9. Verify the allocation details are deleted from Back Office System.
10. Re-allocate the unmatched FS allocations to destination instruction.
11. Re-allocate the unmactched give-up allocation to customer account
12. After matching between CI and trade verify the new allocation details are in Back Office System</t>
  </si>
  <si>
    <t>Trade Clearing Screen
Click on on Trade/CI Unmatched Tile. Select a trade greater than 1 qty.
Select the new Clearing Instruction option to allocate to 1 customer account
Check that the trade and CI has moved to cleared and matched state.
Log into Back Office System and validate the trades are in Back Office System
Go the Clearing Instruction - matched tile and select the CI that has been used for matching.
Select the CI and press unmatch.
After successful operation -&gt; CI should move to unmatched tile.
Verify the allocation details are deleted from Back Office System.
Re-allocate the unmatched CI to mix of customer account and destination instruction and use force matching wizard to match with the trade.
After matching between CI and trade verify the new allocation details are in Back Office System.</t>
  </si>
  <si>
    <t>1.	Add a Legal entity "MOS" to Baseline Referential.
2.	Add Alias "078" to MOS entity for input sources.
3.	Input Sources : 	ETDGateway_CME   XSIM  XCME
4.	Select unmatched Spread trades in account L87800
5.	Select Allocate 
6.	Right Panels opens
7.	Select 958C
8.	Select Apply
9.	Check back off system to make sure the trade type and GO broker are calculated properly</t>
  </si>
  <si>
    <t>User will be able to change the "Create Clearing Instruction" on the by-pass matching rule using bulk Edit options.</t>
  </si>
  <si>
    <t>BUS -FIS CD -TC-CLR-45-C</t>
  </si>
  <si>
    <t>1. Trade Management
2. Trade Clearing 
3. Give In Pending Tile
4. Select a trade that is being offered in from a Credit Suisse Entity (Project Team can arrange give ins from Credit Suisse)
5. Give details of this trade to the FCD Dev team and the Full Service Account you would like the trade to clear to
6. FCD Dev will create a Give In CI based on the information provided and feed this into FIS CD
7.Go into Trade/CI Unmatched Tile
8. Select the Give In Trade and the Created CI and then Force Match
9. Check the trade goes into the Give In Cleared tile and the  Clearing Instruction into the Matched Clearing Instruction Tile                                                                         
10. Log into back off system 
11. Validate the trade has hit back off system as expected with the appropriate Give In Indicator and Sending Firm code</t>
  </si>
  <si>
    <t>ISIN number Alias management</t>
  </si>
  <si>
    <t>Test of Allocation file load to FCD from Front Office System</t>
  </si>
  <si>
    <t>TMF/CMF</t>
  </si>
  <si>
    <t>NVAP Give-in Unmatched</t>
  </si>
  <si>
    <t>NVAP Give-up Unmatched</t>
  </si>
  <si>
    <t>NVAP Reversed Externally on FEC</t>
  </si>
  <si>
    <t>NVAP PIT Floor</t>
  </si>
  <si>
    <t>Insert data to FIS CD.
Go to TCWB middle panel, select some trade and click on APS Wizard.
Check the hamburger menu on APS wizard and can you see Outright/Spread column added.</t>
  </si>
  <si>
    <t>Overall Client CI Automation Status</t>
  </si>
  <si>
    <t>SIT Automation Status</t>
  </si>
  <si>
    <t>Build Out Status - Barclays (First Adopter)</t>
  </si>
  <si>
    <t>Build Out</t>
  </si>
  <si>
    <t>Build Out %</t>
  </si>
  <si>
    <t>Automatable %</t>
  </si>
  <si>
    <t>The Type of Test Case</t>
  </si>
  <si>
    <t>The Test Case ID number</t>
  </si>
  <si>
    <t xml:space="preserve">Client </t>
  </si>
  <si>
    <t>Client Specific Test Cases</t>
  </si>
  <si>
    <t>Name of Test case</t>
  </si>
  <si>
    <t>Description of Test Case</t>
  </si>
  <si>
    <t>Version the Feature was Created</t>
  </si>
  <si>
    <t>Test Steps</t>
  </si>
  <si>
    <t>Test Features for Gerkins Automation</t>
  </si>
  <si>
    <t>Number of Markets its Automated</t>
  </si>
  <si>
    <t>Exchanges with SGW Connection</t>
  </si>
  <si>
    <t>Exchanges Connected to SGW</t>
  </si>
  <si>
    <t>Non Connected Exchange</t>
  </si>
  <si>
    <t xml:space="preserve">Automation Created </t>
  </si>
  <si>
    <t>Automation Successfully Tested</t>
  </si>
  <si>
    <t xml:space="preserve">Gerkins Script Completed by QA Team </t>
  </si>
  <si>
    <t xml:space="preserve">Automated on SIT for Trade CI </t>
  </si>
  <si>
    <t>Automated &amp; build out successfully on Client CI</t>
  </si>
  <si>
    <t>BUS -FIS CD -TC-CLR-472</t>
  </si>
  <si>
    <t>Default source system will auto populate when copy &amp; paste or uploading allocations on the split screen</t>
  </si>
  <si>
    <t>The default source system should auto populate under the grid, the way its reflecting under Allocate part. The Split using copy paste or Import feature, spilt legs should be successfully added to the split screen.</t>
  </si>
  <si>
    <t>teps to replicate:
Go to the admin screen, set use alias to allocate trade to yes and select CV_IN source system
Select trade and click on split action (I used trade TS9336_T1 from tcwb pre-populated data)
Pick 2 accounts from referential that have set CV_IN alias and in a split template create 2 legs with those aliases and do copy/paste or upload
Expected: Split legs are successfully added to split screen</t>
  </si>
  <si>
    <t>IFLO</t>
  </si>
  <si>
    <t>NDEX-DB</t>
  </si>
  <si>
    <t>FISH</t>
  </si>
  <si>
    <t>BUS -FIS CD -TC-CLR-473</t>
  </si>
  <si>
    <t>Support of clearing on Trading Member Firm(TMF) Account from Clearing member Firm(CMF) trade:</t>
  </si>
  <si>
    <t>FISCD would be able to clear CMF trade on a TMF account and the trade will booked on the account of the TMF and not on any account of the CMF.</t>
  </si>
  <si>
    <t>Trading Entity:
FISCD: RTP will have the role of Trading Entity in FISCD and it will have a relationship with the CCP eg: JSCC
The 2 relationships for the Registered Customer are: 
Trading Entity is registered on JSCC~
Trading Entity clears through [Processing Firm]-GCM
Alias of Trading entity-RTP should be set up on the source JSCC~ or XOSE
Counterparty Account:
RTP's are known by the CCP, so they should be the owner of the Counterparty Account of the trades which are for RTP.
Account:
While sending the request for such trades, if system finds that the owner of the Counterparty account is the trading entity having relationship of "is registered on CCP" then in the request system will send party role 4 with alias of the RTP at the CCP or Exchange level along with R=38.
AC1:</t>
  </si>
  <si>
    <t>BUS -FIS CD -TC-CLR-474</t>
  </si>
  <si>
    <t>APAC Referential - No of Clearing Days</t>
  </si>
  <si>
    <t>Csetting up Clearing days as part of post deployment checks and manually set post deployment.</t>
  </si>
  <si>
    <t>Currently the target configuration is manually set in Production.
These are part of post deployment checks and manually set post deployment.       CCP Referential
Update the number of clearing days as follow:
JSCC~ 3
TFXCL~ 3
JCCH~ 3
ASXFU~ 10
XSIM 10
HKCC~ 1
SEOCH~ 1
CCFX 1
ICEEU~ 5</t>
  </si>
  <si>
    <t>Addition of a new column to support Secondary Source System</t>
  </si>
  <si>
    <t>Introduce a second level of Alias (Global) to account resolution level</t>
  </si>
  <si>
    <t>202204.0.0</t>
  </si>
  <si>
    <t>1.	Go to Source System.
2.	click on button "New".
3.	Enter Name , Description, System Type.
a.	Select check boxes for "Alias Mandatory for the entities" field. (Check boxes to be selected for Products, Accounts and DIs)
then click Save.
4.	On Source System screen select "TEST5532" and click View and click on "Close"
5.	On Source System screen, select "TEST5532" and click Edit.
a.	Change below details on edit screen:
Name - TEST5532_New
Remove Secondary Alias Source
Products - No
Accounts - Yes
DIs - No
And click on save.</t>
  </si>
  <si>
    <t>BUS -FIS CD -TC-SD-51</t>
  </si>
  <si>
    <t>BUS -FIS CD -TC-SD-52</t>
  </si>
  <si>
    <t xml:space="preserve">1.	Select many trades to split 
2.	Select the Split Button
3.	Check the total quantity on the trade details section 
4.	Input the quantity and enter clearing details
5.	You have the option to import clearing details as well
6.	Select save
7.	This will create a new split CI and it should auto clear. </t>
  </si>
  <si>
    <t xml:space="preserve">1.	Select many trades to split 
2.	Select the Split Button
3.	Check the total quantity on the trade details section 
4.	Input the quantity and enter clearing details
5.	You have the option to import clearing details as well
6.	Select save
7.	If you input the same account twice you will receive a pop up message, letting you know the system will aggregate the like data together
8.	 Check to make sure the total quantities are same as client allocation 
9.	This will create a new split CI and it should auto clear. </t>
  </si>
  <si>
    <t xml:space="preserve">
1.	Select many trades to split 
2.	Select the Split Button
3.	Check the total quantity on the trade details section 
4.	Input the quantity and enter clearing details
5.	You have the option to import clearing details as well
6.	Select save
7.	If you input the same account and price more than once you will receive a pop up message, letting you know the system will aggregate the like data together
8.	 Check to make sure the total quantities are same as client allocation 
9.	This will create a new split CI and it should auto clear. </t>
  </si>
  <si>
    <t>OSE</t>
  </si>
  <si>
    <t>BUS -FIS CD -TC-CLR-178-C</t>
  </si>
  <si>
    <t>BUS -FIS CD -TC-CLR-360-A</t>
  </si>
  <si>
    <t>EFP  trade</t>
  </si>
  <si>
    <t>EFP_ trade_Index Future</t>
  </si>
  <si>
    <t>1. Select and Allocate an EFP Trade - Index Future</t>
  </si>
  <si>
    <t>BUS -FIS CD -TC-CLR-379</t>
  </si>
  <si>
    <t>OTC  trade</t>
  </si>
  <si>
    <t>Allocate an OTC Trade</t>
  </si>
  <si>
    <t>1. Select and Allocate a OTC Trade</t>
  </si>
  <si>
    <t>BUS -FIS CD -TC-CLR-380</t>
  </si>
  <si>
    <t>VWAP  trade</t>
  </si>
  <si>
    <t xml:space="preserve">Allocate a VWAP </t>
  </si>
  <si>
    <t>1. Select and Allocate a VWAP Trade</t>
  </si>
  <si>
    <t>BUS -FIS CD -TC-CLR-381</t>
  </si>
  <si>
    <t xml:space="preserve">Settlement Trade </t>
  </si>
  <si>
    <t>Allocate a Settlement Trade</t>
  </si>
  <si>
    <t>1. Select and Allocate a Settlement Trade</t>
  </si>
  <si>
    <t>BUS -FIS CD -TC-CLR-382</t>
  </si>
  <si>
    <t xml:space="preserve">Enlight Triggered Trade </t>
  </si>
  <si>
    <t xml:space="preserve">Allocate an Enlight Triggered Trade </t>
  </si>
  <si>
    <t>1. Select and Allocate a Enlight Triggered Trade</t>
  </si>
  <si>
    <t>BUS -FIS CD -TC-CLR-383</t>
  </si>
  <si>
    <t xml:space="preserve">Block QTPIP Trade </t>
  </si>
  <si>
    <t xml:space="preserve">Allocate a Block QTPIP Trade </t>
  </si>
  <si>
    <t>1. Select and Allocate a QTPIP Trade</t>
  </si>
  <si>
    <t>BUS -FIS CD -TC-CLR-384</t>
  </si>
  <si>
    <t>Clearing - read only NCM business</t>
  </si>
  <si>
    <t>Validate Read Only NCM FS Split Trades Feed GMI</t>
  </si>
  <si>
    <t>BUS -FIS CD -TC-CLR-385</t>
  </si>
  <si>
    <t xml:space="preserve">Amended Trade type </t>
  </si>
  <si>
    <t xml:space="preserve">Allocate a Amended Trade type </t>
  </si>
  <si>
    <t>1. Select an Amended Trade type (W)</t>
  </si>
  <si>
    <t>BUS -FIS CD -TC-CLR-386</t>
  </si>
  <si>
    <t xml:space="preserve">Cross Trade type </t>
  </si>
  <si>
    <t xml:space="preserve">Allocate a Cross Trade type </t>
  </si>
  <si>
    <t>1. Select and  Cross Trade type (H)</t>
  </si>
  <si>
    <t>BUS -FIS CD -TC-CLR-387</t>
  </si>
  <si>
    <t xml:space="preserve">xRolling Trade type </t>
  </si>
  <si>
    <t xml:space="preserve">Allocate a xRolling Trade type </t>
  </si>
  <si>
    <t xml:space="preserve">1. Select and Allocate a xRolling Trade type </t>
  </si>
  <si>
    <t>BUS -FIS CD -TC-CLR-388</t>
  </si>
  <si>
    <t xml:space="preserve">RFQ Trade type </t>
  </si>
  <si>
    <t xml:space="preserve">Allocate a RFQ Trade type </t>
  </si>
  <si>
    <t>1. Select and Allocate a RFQ Trade type (3)</t>
  </si>
  <si>
    <t>BUS -FIS CD -TC-CLR-389</t>
  </si>
  <si>
    <t>Allocating a trade to a holding account upon execution with an OMS CI to a destination instruction</t>
  </si>
  <si>
    <t>HOLD ACCOUNT EXECUTION &amp; CI FOLLOWED BY API DELETION OF CI &amp; UPDATE FOR - Destination Instruction</t>
  </si>
  <si>
    <t>1) Request holding account CI for trade. Trade and CI moved to Trade/CI Holding tile
2) Request CI to be updated and allocated to GU account
3) Give Up leg moved to Give Up Accepted tile</t>
  </si>
  <si>
    <t>BUS -FIS CD -TC-CLR-390</t>
  </si>
  <si>
    <t>Allocating a trade to a holding account upon execution with an OMS CI to a full service account</t>
  </si>
  <si>
    <t xml:space="preserve">HOLD ACCOUNT EXECUTION &amp; OMS CI FOLLOWED BY API DELETION OF CI &amp; UPDATE FOR - Full Service Account </t>
  </si>
  <si>
    <t>1) Request holding account CI for trade. Trade and CI moved to Trade/CI Holding tile
2) Request CI to be updated an allocated to a Full service account 
3) Full service leg moved to Full Service Cleared tile</t>
  </si>
  <si>
    <t>BUS -FIS CD -TC-CLR-391</t>
  </si>
  <si>
    <t xml:space="preserve">Allocating a trade to a holding account upon execution with an OMS CI to a mixed split </t>
  </si>
  <si>
    <t>HOLD ACCOUNT EXECUTION &amp; OMS CI FOLLOWED BY API DELETION OF CI &amp; UPDATE FOR - Mixed Split</t>
  </si>
  <si>
    <t>1) Request holding account CI for trade. Trade and CI moved to Trade/CI Holding tile
2) Request CI to be updated with split allocation between FS and GU accounts
3) Full service leg moved to Full Service Cleared tile and Give Up leg moved to Give Up Accepted tile</t>
  </si>
  <si>
    <t>BUS -FIS CD -TC-CLR-392</t>
  </si>
  <si>
    <t>Allocating to a holding  account using OMS CI followed by manual unmatch and manual CI creation for - destination instruction</t>
  </si>
  <si>
    <t>HOLD ACCOUNT EXECUTION &amp; OMS CI FOLLOWED BY MANUAL UNMATCH AND MANUAL CI CREATION FOR - Destination Instruction</t>
  </si>
  <si>
    <t>1) Request holding account CI for trade
2) Trade and CI matched off and moved to Trade/CI Holding tile
3) Unmatch the trade. Trade moved back to Trade/CI Unmatched tile. CI remained in Trade/CI Holding tile but in Blocked status
4) Allocate trade. Trade matched with CI – Give Up trade moved to Give up pending/accepted and CI moved to Clearing Instruction Matched tile</t>
  </si>
  <si>
    <t>BUS -FIS CD -TC-CLR-393</t>
  </si>
  <si>
    <t>Allocating to a holding  account using OMS CI followed by manual unmatch and manual CI creation for - full service account</t>
  </si>
  <si>
    <t>HOLD ACCOUNT EXECUTION &amp; OMS CI FOLLOWED BY MANUAL UNMATCH AND MANUAL CI CREATION FOR - Full Service Account</t>
  </si>
  <si>
    <t>1) Request holding account CI for trade
2) Trade and CI matched off and moved to Trade/CI Holding tile
3) Unmatch the trade. Trade moved back to Trade/CI Unmatched tile. CI remained in Trade/CI Holding tile but in Blocked status
4) Allocate trade. Trade matched with CI – Full Service leg moved to Full Service Cleared tile and CI moved to Clearing Instruction Matched tile</t>
  </si>
  <si>
    <t>BUS -FIS CD -TC-CLR-394</t>
  </si>
  <si>
    <t xml:space="preserve">Allocating to a holding account using OMS CI followed by manual unmatch and manual CI creation for - mixed split </t>
  </si>
  <si>
    <t xml:space="preserve">HOLD ACCOUNT EXECUTION &amp; OMS CI FOLLOWED BY MANUAL UNMATCH AND MANUAL CI CREATION FOR - Mixed Split </t>
  </si>
  <si>
    <t>1) Request holding account CI for trade
2) Trade and CI matched off and moved to Trade/CI Holding tile
3) Unmatch the trade. Trade moved back to Trade/CI Unmatched tile. CI remained in Trade/CI Holding tile but in Blocked status
4) Split trade. Trade matched with CI – Full Service leg moved to Full Service Cleared tile and Give Up leg moved to Give Up Accepted tile. CI moved to Clearing Instruction Matched tile</t>
  </si>
  <si>
    <t>BUS -FIS CD -TC-CLR-395</t>
  </si>
  <si>
    <t>Ability to reject GI trades from another broker</t>
  </si>
  <si>
    <t>To test the ability to claim/clear a trade once it is rejected and reallocated by the EB</t>
  </si>
  <si>
    <t>BUS -FIS CD -TC-CLR-475</t>
  </si>
  <si>
    <t xml:space="preserve">On cancellation a topday trade will change to a 'cancelled' state. 
</t>
  </si>
  <si>
    <t>Canceled / Busted trade should not feed to back off system &amp; should be processed-out in CD_TC UAT.</t>
  </si>
  <si>
    <t xml:space="preserve">1. Select Dashboard -&gt; Click on status on ERONXT
2. Select Trade from Full service unmatched tab -&gt; select allocate-&gt; update client account under account -&gt; Click Apply
3. Check trades cleared at exchange and feed to Back Office System correctly
4. Send an email to Exchange to bust the trade-&gt; Post Exchange cancels the trades check if trades are busted at exchange side and feed removed from FIS TC and Back Office System
</t>
  </si>
  <si>
    <t>BUS -FIS CD -TC-CLR-476</t>
  </si>
  <si>
    <t>Refers to the reallocation of trades by canceling the clearing.</t>
  </si>
  <si>
    <t>Unaccepted Trades broked Should be able to cancel clear and allocate to New Account in CD_TC (Reallocating by performing Give up)</t>
  </si>
  <si>
    <t>1. Select Pending Give up-&gt; Click on Cancel Give up -&gt; Check if trades are removed from Give up Screen -&gt; Check Trades Full Service unmatched tab for single give up/ Full Service Matched Tab for Split allocations -&gt; if Trades under Full Service Matched Tab-&gt; Select Trade and click on Unmatch -&gt; Trade will move to Full service Unmatch tab
Note: If trades moved to Full service unmatched no need to follow the unmatch function
2. Select Full Service Unmatched Trade -&gt; Select Allocate -&gt; Update account under Account drop down -&gt; Click on apply
3) Check that original give-up has been cancelled &amp; trade has re-cleared on the new account on Exchange.
4) Check that the trade has been pulled out of XO account &amp; refeed to new account in Back Office System and validate all trade economics.</t>
  </si>
  <si>
    <t>BUS -FIS CD -TC-CLR-477</t>
  </si>
  <si>
    <t>User required to force match trades &amp; clearing instructions</t>
  </si>
  <si>
    <t>The force match action should fail (Raise an alert) because the core trade economics do not match.</t>
  </si>
  <si>
    <t>1. Select Trade/CI Unmatched tab
2. Select Front Office software CI line with Incorrect prompt or direction -&gt; click on matching wizard-&gt; De-select the expiry or direction from matching wizard -&gt; Select Trade from matching wizard -&gt;click on Fore Match -&gt; Check if we are getting the pop up with error</t>
  </si>
  <si>
    <t>Matching Wizard</t>
  </si>
  <si>
    <t>BUS -FIS CD -TC-CLR-478</t>
  </si>
  <si>
    <t>The user is sometimes required to force match trades &amp; clearing instructions</t>
  </si>
  <si>
    <t>The force match action should work as expected. (Partial lots / Clearing info mis-match)</t>
  </si>
  <si>
    <t>1. Select Trade/CI Unmatched tab
2. Select Front Office software line with correct trade economics-&gt; click on matching wizard-&gt; Select Trade from matching wizard -&gt;click on Fore Match -&gt; Check If trades are matched
3. Check if trades are cleared to respective tabs</t>
  </si>
  <si>
    <t>BUS -FIS CD -TC-CLR-479</t>
  </si>
  <si>
    <t>Clearing full service trades to Client Accounts</t>
  </si>
  <si>
    <t>Full Service Allocation:The user must be able to clear full service trades to Client Accounts</t>
  </si>
  <si>
    <t xml:space="preserve">1. Select Dashboard -&gt; Click on status on ERONXT
2. Select MONEP GLOBEX Trade from Full service unmatched tab -&gt; select allocate-&gt; update client account under account -&gt; Click Apply
3. Check trades cleared at exchange and feed to Back Office System correctly
</t>
  </si>
  <si>
    <t>BUS -FIS CD -TC-CLR-481</t>
  </si>
  <si>
    <t>Clearing full service Night Session trades fo NCM Business</t>
  </si>
  <si>
    <t>Full Service Allocation:The user must be able to clear full service trades for NCM business</t>
  </si>
  <si>
    <t>1. Select Dashboard -&gt; Click on status on ERONXT
2. Select MONEP GLOBEX Trade from Full service unmatched tab -&gt; Add column Trader under unmatched trade -&gt; select the trade for NCM -&gt; Allocate the trade using Allocate function
3. Check trades cleared at exchange and feed to Back Office System correctly</t>
  </si>
  <si>
    <t>BUS -FIS CD -TC-CLR-482</t>
  </si>
  <si>
    <t>Give up Night Session trades to an external Broker</t>
  </si>
  <si>
    <t>Give Ups:The user must be able to give up trades to an external Broker to Multi Broker &amp; Full Service</t>
  </si>
  <si>
    <t>1. Select Full Service unmatched-&gt; Select unmatched GLOBEX trade
2. Click on Split -&gt; Select destination instruction -&gt; Update Give up References &amp; accounts under split -&gt; Click on Apply
3. Select Give up Pending/ Cleared -&gt; Check if trades under pending/Cleared tab.
4. Select Full service cleared tab -&gt; Check if trades are updated under cleared tab
5. Check trades are processed at Exchange</t>
  </si>
  <si>
    <t>BUS -FIS CD -TC-CLR-483</t>
  </si>
  <si>
    <t>Give up Night Session trades to multi brokers &amp; are fully accepted</t>
  </si>
  <si>
    <t>Give Ups: The user must be able to give up trades to an external Broker Multi Broker &amp; Fully Acceptance</t>
  </si>
  <si>
    <t>1. Select Full Service unmatched-&gt; Select unmatched GLOBEX trade
2. Click on Split -&gt; Select destination instruction -&gt; Update Give up References -&gt; Click on Apply
3. Select Give up Pending/ Cleared -&gt; Check if trades under pending/Cleared tab
4. Check trades are processed at Exchange</t>
  </si>
  <si>
    <t>BUS -FIS CD -TC-CLR-484</t>
  </si>
  <si>
    <t>The facilitation of client allocations into Trade Clearing</t>
  </si>
  <si>
    <t>Able to view &amp; utilize client feeds in TCWB for matching wizard.</t>
  </si>
  <si>
    <t>Trade &amp; CI should auto match
                OR
1. Select Trade/CI Unmatched tab
2. Select Give in Front Office software line with correct trade economics-&gt; click on matching wizard-&gt; Select Trade from matching wizard -&gt;click on Fore Match -&gt; Check If trades are matched
3. Check if trades are cleared to respective tabs</t>
  </si>
  <si>
    <t>BUS -FIS CD -TC-CLR-485</t>
  </si>
  <si>
    <t>Perform Contingency procedure to simulate reversal on accepted give-ups on CCP that does not support</t>
  </si>
  <si>
    <t>Local Reversal on Give-Up Accepted Trades: New feature has been introduced under Give-Up Accepted Tile, available in Contingency Procedure button called "Local Reversal". This feature is not applicable while bulk selection of trades. After Local Reversal Action, the Give-Up accepted trade will move to Matched tile and will be in Blocked state.</t>
  </si>
  <si>
    <t>202207.0.0</t>
  </si>
  <si>
    <t>New feature has been introduced under Give-Up Accepted Tile, available in Contingency Procedure button called "Local Reversal". This feature is not applicable while bulk selection of trades. After Local Reversal Action, the Give-Up accepted trade will move to Matched tile and will be in Blocked state.</t>
  </si>
  <si>
    <t>BUS -FIS CD -TC-CLR-486</t>
  </si>
  <si>
    <t>Destination Instruction Secondary Source System Alias</t>
  </si>
  <si>
    <t xml:space="preserve">When uploading a CI with the Destination Instruction alias, DI will be picked if there is a link between original Source System from which CI is coming and the secondary source and if alias code is the same as on the Clearing Instruction. </t>
  </si>
  <si>
    <t xml:space="preserve">Check for DI aliases for specified 1 st and 2nd Source Systems
•IF "Account/DI Secondary Alias Source" exist on the specified Source System Entity, check for DI aliases for the "Account/DI Secondary Alias Source"
•Check for DI names 
</t>
  </si>
  <si>
    <t>BUS -FIS CD -TC-CLR-487</t>
  </si>
  <si>
    <t>Support for Summer daylight time change in Rule time conditions</t>
  </si>
  <si>
    <t>Rule Time Condition
Rule Time Condition supports daylight saving (summer time) switch across all timezone</t>
  </si>
  <si>
    <t>BUS -FIS CD -TC-CLR-488</t>
  </si>
  <si>
    <t>Support of upstream give-up</t>
  </si>
  <si>
    <t xml:space="preserve">Internal Clearing Instruction to be creation in case of upstream Give-Up's. </t>
  </si>
  <si>
    <t>When an upstream give-up is done, the trade is marked as cleared, with a destination firm and destination ref, however this trade is not successfully exported to Back Office System because there is no internal clearing instruction.
The requirement is to add an internal clearing instruction when an upstream give-up is performed and when give-up status is set to "ACCEPTED"</t>
  </si>
  <si>
    <t>Giveup</t>
  </si>
  <si>
    <t>BUS -FIS CD -TC-CLR-489</t>
  </si>
  <si>
    <t>Resolution of the CI with invalid value of O/C Indicator</t>
  </si>
  <si>
    <t xml:space="preserve">When uploading a Clearing Instruction with the invalid value of O/C Indicator, the task will be raised and user has the ability to resolve it via adding the correct value O, C, D or to leave it blank. </t>
  </si>
  <si>
    <t>202206.0.0</t>
  </si>
  <si>
    <t xml:space="preserve">Upload a Clearing Instruction with the value of O/C Indicator as T (or any other value that is not O , C or D). The task should be raised to fix the Invalid field for O/C Indicator, and the resolution 'Fix CI' should be added.
We want to add a correct resolution so that users can put value O OR C OR D OR to leave it blank. Only in those cases after saving it, the task should be completed and CI becomes valid. </t>
  </si>
  <si>
    <t>BUS -FIS CD -TC-CLR-490</t>
  </si>
  <si>
    <t>Raise a task on the CI in case when the value for Open/Close Indicator is not valid</t>
  </si>
  <si>
    <t xml:space="preserve">When uploading a Clearing Instruction with the invalid value of O/C Indicator, the task will be raised. </t>
  </si>
  <si>
    <t>1.	Upload a CI with the value of O/C Indicator set to M (or any other value that is not O, C OR D).
2.	At this point since the value is not valid, we want to raise a task, so to validate the CI.
3.	Currently, the task is not raised, the CI is uploaded in the system as a valid one with an empty O/C Indicator, which later on causes issues when CI is matched with the trade 
4.	Trade can be cleared on the value that is not expected following the current logic.</t>
  </si>
  <si>
    <t>BUS -FIS CD -TC-CLR-491</t>
  </si>
  <si>
    <t>Support of BPMR when a legal entity of the conditions contains  AND</t>
  </si>
  <si>
    <t xml:space="preserve">Any attributes of Bypass matching rule which contains " AND " will be valid in system </t>
  </si>
  <si>
    <t>1.	Create Trading Entities which contains - AND, and, EQ, eq, IS, is, MATCH_TYPE
2.	Create Bypass Matching Rules's having above entities as Sending Firm and additional attributes like Exec Acc Ref, ByPass Action and Insert the trades with matching above values used in Bypass Matching Rules.
3.	Bypass matching rules should be triggered.   
4.	Trades will get process with the rules without raising any notification or error.</t>
  </si>
  <si>
    <t>BUS -FIS CD -TC-CLR-492</t>
  </si>
  <si>
    <t>Support of RTP clearing (OSE NCM)</t>
  </si>
  <si>
    <t>Support of clearing on Trading Member Firm(TMF) Account from Clearing member Firm(CMF) trade</t>
  </si>
  <si>
    <t>Trading Entity: 
 FISCD: RTP will have the role of Trading Entity in FISCD and it will have a relationship with the CCP eg: JSCC 
 The 2 relationships for the Registered Customer are:  
 Trading Entity is registered on JSCC~ 
 Trading Entity clears through [Processing Firm]-GCM 
 Alias of Trading entity-RTP should be set up on the source JSCC~ or XOSE 
Counterparty Account: 
 RTP's are known by the CCP, so they should be the owner of the Counterparty Account of the trades which are for RTP. 
Account: 
 While sending the request for such trades, if system finds that the owner of the Counterparty account is the trading entity having relationship of "is registered on CCP" then in the request system will send party role 4 with alias of the RTP at the CCP or Exchange level along</t>
  </si>
  <si>
    <t>BUS -FIS CD -TC-CLR-493</t>
  </si>
  <si>
    <t>Support O/C indicator for offline split</t>
  </si>
  <si>
    <t xml:space="preserve">When the Trade on a non-connected market is split to a couple of accounts using the split button OR external CIs OR external Split CIs, the Open/Close Indicator will be automatically populated on a cleared Trades following the logic, from CIs, if exists, then from the Rule, if there is no rule, then it will stay as it was on original Trade. </t>
  </si>
  <si>
    <t>In case of non-connected markets, we want to cover the case where we upload a Trade, then user perform split into 2 or more different accounts, populating O/C indicator as well. 
 Trades should be cleared following the order of precedence:
 -CI
 -Rule
 -trade</t>
  </si>
  <si>
    <t>non e2e clearing</t>
  </si>
  <si>
    <t>BUS -FIS CD -TC-CLR-494</t>
  </si>
  <si>
    <t>Open/Close Indicator management for non-connected exchange Trade/CI</t>
  </si>
  <si>
    <t xml:space="preserve">On the non-connected market, we support logic for Open/Close Indicator following the order of precedence, from the CI, then from the rule, if not exist then keep the value from the Trade . </t>
  </si>
  <si>
    <t>Prerequisite: Make sure that there is an exchange feature for the Trade that you will upload 
Scenario 1:
◦Upload a Trade with Open indicator set on it.
◦Manually Allocate a Trade to acc1, populate O/C indicator as Close
◦Make sure that rule for O/C already exist with Instruction part populated as Open
◦Check that Trade is cleared with O/C indicator populated as Close
Scenario 2:
◦Upload a Trade with Open indicator set on it.
◦Upload an external CI with acc2, Indicator is set to C
◦Make sure that rule is in place with the indicator set to O
◦Check that Cleared Trade has O/C indicator set to C, from the external CI
Scenario 3:
◦Upload a Trade with Open indicator set on it.
◦Upload an external CI with acc2, with no O/C indicator set
◦Make sure there is no rule in place
◦Check that Cleared Trade has O/C indicator set to Open
Scenario 4:
◦Upload a Trade with Close indicator set on it.
◦Allocate a trade on acc2, with no O/C indicator set
◦Make sure there is the rule in place with O/C indicator set to Open
◦Check that cleared Trade has O/C indicator set to Open
Scenario 5:
◦Upload a Trade with Open indicator set on it.
◦Allocate a trade on acc2, with no O/C indicator set
◦Make sure there is the rule in place with O/C indicator set to Trade copy
◦Check that Trade is cleared on the O/C set to O</t>
  </si>
  <si>
    <t>BUS -FIS CD -TC-CLR-495</t>
  </si>
  <si>
    <t xml:space="preserve">Deletion of BPMR rules when deleting an DI-Validation of CCP and Exchange </t>
  </si>
  <si>
    <t>When a user deletes an account from the UI, the system should check if there is any existing BPMR rule,  linked to the record being deleted.</t>
  </si>
  <si>
    <t>The Popup message as below :
"The selected Destination Instructions are having By-Pass matching rule associated with it, deletion of this DI will also delete the associated rules.  Press Ok to confirm the deletion of the rules, or Cancel to keep the Destination Instruction and Rules."
Only one DI is selected:
"The selected Destination Instruction has By-Pass matching rules associated with it. The deletion of this DI will also delete the associated rules having the same CCP and Exchange. Press Ok to confirm the deletion of the rule, or Cancel to keep the Destination Instruction and Rule".
As we have for Account deletion.
2. Create one DI DI_TEST where CCP: CMECL and use same DI in Bypass Matching Rules with CCP: Any and Exchange: Any . Create the rule.
Now delete the DI
Expected: DI should get deleted but Bypass Matching Rules not. If we try to edit that rule and save it again, It should not saved successfully as DI is not exists. One warning pop-up should be displayed while saving it. 
Actual: Rule is successfully getting saved after edit it.
3. Create 2 DIs as below.
Delete the DI. No Bypass Matching Rules will get deleted as CCP conditions are not matched.
Expected: Try to edit the Bypass Matching Rules and save it. Error Pop-up should be displayed saying that no DI is exists instead of "New rule cannot be saved because the DI/Account is not valid for selected conditions".
Actual: Error Pop-up is displayed saying that no DI is exists instead of "The rule cannot be saved as the selected Destination Instruction does not exist".
4. Bulk delete the DIs and associated Rules will also get deleted.
Expected: All selected DI and Rules are deleted.
Actual: All selected Destination Instruction and Rules are deleted.
</t>
  </si>
  <si>
    <t>BUS -FIS CD -TC-CLR-496</t>
  </si>
  <si>
    <t>When uploading a Trade for connected CCP - populate ETD Product and Instrument automatically</t>
  </si>
  <si>
    <t xml:space="preserve">When inserting a Trade with a new instrument, should not raise a task for the missing product but is automatically added </t>
  </si>
  <si>
    <t>Connected market
Trade can be uploaded without uploading ETD Instrument before it, without raising a task for missing product only in case the trade has the same Counterparty and CCP, where the product is a part of uploaded Trade.</t>
  </si>
  <si>
    <t>BUS -FIS CD -TC-CLR-497</t>
  </si>
  <si>
    <t>Deletion of BPMR rules when deleting an DI-Bulk Deletion</t>
  </si>
  <si>
    <t>User deletes an account from the UI, the system should check if there is any existing BPMR rule,  linked to the record being deleted.</t>
  </si>
  <si>
    <t>Create DI_1, DI_2 having Bypass Matching Rules rules associated with it and DI_3 with no Bypass Matching Rules rule.
Perform the Bulk Delete on above DI_1 and D-3, User should get the popup message and upon clicking on Yes, both the DI's and associated rules should get deleted and upon clicking on Cancel will cancel the bulk delete operation.
Create a Trade and Give-Up it to DI_1 and Perform bulk deletion by selecting DI_1 and DI_2, user should get a popup message and upon clicking on Yes, only DI_2 should get deleted and DI_1 should not get deleted as it is been used on trade and user should get error message for the same.</t>
  </si>
  <si>
    <t>BUS -FIS CD -TC-CLR-498</t>
  </si>
  <si>
    <t>Deletion of BPMR rules when deleting an DI-Validation of CCP and Exchange</t>
  </si>
  <si>
    <t>The system validates the CCP and Exchange of the DI's with the BPMR's CCP and DI, if it matches the BPMR will get deleted and if not, BPMR should not get deleted.</t>
  </si>
  <si>
    <t>Bulk Deletion of Bypass Matching Rules, when deleting Destination Instruction(DI):
When a user performs Bulk deletion of DI's from the UI, the system will check if there is any existing Bypass Matching Rules rule associated with the selected DI's.
If it is the case, then a popup will be opened to inform the user that those rules will also be deleted, asking for a confirmation [Yes or Cancel]
Also, system will validate the CCP and Exchange of the DI's with the by-pass matching rule's CCP and DI, if it matches the Bypass Matching Rules will get deleted and if not, rule will not get deleted.</t>
  </si>
  <si>
    <t>BUS -FIS CD -TC-CLR-499</t>
  </si>
  <si>
    <t>Deletion of BPMR rules when deleting an account-Bulk Deletion</t>
  </si>
  <si>
    <t>When a user performs Bulk deletion of an account from the UI, the system will check if there is any existing BPMR rule, linked to the record being deleted.
If it is the case, then a popup will be opened to inform the user that those rules will also be deleted, asking for a confirmation [Yes or Cancel]</t>
  </si>
  <si>
    <t>Create ACC_1, ACC_2 having Bypass Matching Rules rules associated with it and ACC_3 with no Bypass Matching Rules rule.
Perform the Bulk Delete on above ACC_1 and ACC_3, User should get the popup message and upon clicking on Yes, both the Account's and associated rules should get deleted and upon clicking on Cancel will cancel the bulk delete operation.
Create a Trade and Allocate it to ACC_1 and Perform bulk deletion by selecting ACC_1 and ACC_2, user should get a popup message and upon clicking on Yes, only ACC_2 should get deleted and ACC_1 should not get deleted as it is been used on trade and user should get error message for the same.</t>
  </si>
  <si>
    <t>BUS -FIS CD -TC-CLR-500</t>
  </si>
  <si>
    <t>Always display Open/Close Indicator label on the UI, when allocating/split the Trade</t>
  </si>
  <si>
    <t>The label is displayed on allocate and split screens no matter of which exchange is populated on a Trade</t>
  </si>
  <si>
    <t>Upload common business baseline referential
Upload a Trade on ICEEU~, allocate/split the Trade and make sure that O/C label is displayed
Upload a Trade on CMECL~ and make sure, when allocating/splitting a Trade, O/C indicator is available on the UI</t>
  </si>
  <si>
    <t>BUS -FIS CD -TC-CLR-501</t>
  </si>
  <si>
    <t>Keep the O/C value on a Cleared Trade for connected markets</t>
  </si>
  <si>
    <t>When trade is uploaded on the exchange that is not part of the supported list of exchanges, the value of the O/C Indicator will not be sent in the operation request as a part of Alloc block.</t>
  </si>
  <si>
    <t>Scenario 1: (not in the optional on exchanges config flow)
Upload a trade on CMECL~ with NO O/C value set
Make sure there is a rule in place with the O/C indicator set to C
Allocate the trade to acc1 and populate the O/C indicator to O
Check that the allocation request is sent with no AllocPosEfct field in the AMQ
Then we receive a cleared trade from SGW and the value PosEfct should be set to O
Scenario 2:
Upload a trade on CMECL~ with the O/C value set to O
Make sure there is a rule in place with the O/C indicator set to C
Allocate the trade to acc1 without populating the O/C indicator
Check that the allocation request is sent with no AllocPosEfct field in the AMQ
Then we receive a cleared trade from SGW and the value PosEfct should be set to C</t>
  </si>
  <si>
    <t>BUS -FIS CD -TC-CLR-502</t>
  </si>
  <si>
    <t>Allow unmatching on trades cleared via "NOT_TO_MATCH" rule</t>
  </si>
  <si>
    <t>Unmatch functionality has been added to the trades which are marked as cleared by using bypass matching rules using Not To Match action.</t>
  </si>
  <si>
    <t>Create a Bypass Matching Rules with Bypass action as DO NOT MATCH with Create CI as NO. mnaually created trades and trades must be indentifiable in order to use th not to match rule.    
AC-1 Load a trade R83 on it. confirm if the Bypass Matching Rules is triggered
Confirm if the trade is matched as cleared. 
Select the trade and click on UNMATCH.
Confirm if the trade is unmatched and moved to Unmatched tab, with Matching status as Unmatched and Clearing status as Pending.
Check if the audit trails has captured the unmatch action.
Pre-requisite - Crate a Bypass Matching Rules with Bypass action as DO NOT MATCH with Create CI as YES.
AC-2 Load a trade R83 on it. confirm if the Bypass Matching Rules is triggered
Confirm if the trade is matched as cleared and CI is created nd is having matched status.
Select the trade and click on UNMATCH.
Confirm if the trade and CI are unmatched and moved to Unmatched tab, with Matching status as Unmatched and Clearing status as Pending.
Check if the audit trails has captured the unmatch action.</t>
  </si>
  <si>
    <t>BUS -FIS CD -TC-CLR-503</t>
  </si>
  <si>
    <t xml:space="preserve">Auto-matching of APS Group Trade and External Clearing Instruction
</t>
  </si>
  <si>
    <t>APS Group trade should trigger auto-matching with a Regular as well as Group CI having Full Service/Give-Up clearing details.</t>
  </si>
  <si>
    <t xml:space="preserve">Ener a clearing instruction, which should automatch with an APS group trade
Create an APS group trade using CI/APS Wizard
Expected - Automatching should happen
Note - If CI was inserted after the creation of APS group trade, then automatching would have happened. The issue only exists, when APS group trade comes later. </t>
  </si>
  <si>
    <t>BUS -FIS CD -TC-CLR-504</t>
  </si>
  <si>
    <t>Split CI showing many different O/C Indicators on legs</t>
  </si>
  <si>
    <t>Improved visibility of Open/Close Indicator attribute in case of split Clearing Instruction having legs with different value of this attribute</t>
  </si>
  <si>
    <t>1.	Upload a Trade with empty O/C
2.	Upload a split CI where one leg has Open and another Close indicator
3.	Check that when Trades are cleared each leg has an indicator set as when performing split
4.	Check that Split CI has &lt;many&gt; instead of O, populated on UI under Open/Close indicator.</t>
  </si>
  <si>
    <t>BUS -FIS CD -TC-CLR-505</t>
  </si>
  <si>
    <t>Add "Force Open/Close" action under "Contingency" TCWB entitlement</t>
  </si>
  <si>
    <t>BUS -FIS CD -TC-CLR-506</t>
  </si>
  <si>
    <t>Contingency procedure to simulate reversal on accepted give-ups</t>
  </si>
  <si>
    <t>New feature has been introduced under Give-Up Accepted Tile, available in Contingency Procedure button called "Local Reversal".</t>
  </si>
  <si>
    <t>This feature is not applicable while bulk selection of trades. After Local Reversal Action, the Give-Up accepted trade will move to Matched tile and will be in Blocked state.
1.	Load a Trade and a Matching CI having Give-Up details. The trade and a CI gets Auto-matched and request sent to CCP and the trade is in Give-Up Accepted Tile.
2.	User performs the Local Reversal by Clicking on a new button "Contingency Procedure"
3.	On bulk selection of the Give-Up Accepted trades, the Local Reversal option on the Contingency Button would be Disabled.
4.	User selects the GU Accepted trade and clicks on the Local Reversal.
Local Reversal:
The Trade gets BLOCKED and goes to the Matched Tile with below Status:
1. clearing status = PENDING
2. Give-up status = "LOCALLY_REVERSED"
3. Matching Reason = "Blocked by User after Give-Up Local Reversal."
User Manual Action on Blocked Trade:
1.	All the Buttons in the UI would be Enabled and upon performing any manual action, user will get an error: All actions on this trade are blocked by System.
2.	Upon clicking on the button "New Clearing Instruction", the CI would get created however it will not get matched with the Trade.
API Update on Blocked Trade:
1.	On the Blocked Trade, FISCD receives an Price Update, the price should get updated however the Trade should remain in Blocked State.</t>
  </si>
  <si>
    <t>Reversal</t>
  </si>
  <si>
    <t>BUS -FIS CD -TC-CLR-507</t>
  </si>
  <si>
    <t>Allocation Method Attribute in CI to differentiate BPMR and Manual Allocation</t>
  </si>
  <si>
    <t xml:space="preserve">Allocation method attribute in right hand panel of Trade Clearing Workboard to be populated with value "Automatic", when a trade hits bypass matching rule and with value "Manual", when trade is allocated manually. </t>
  </si>
  <si>
    <t>In case of External CI from a Bypass Matching Rules:
1.	Prerequisites: create Clearing Instruction dropdown box is set to Yes
2.	Actions:
a.	Bypass Matching Rules
3.	Resulting Value in Attribute Allocation Method:  1
In case of External CI from a Manual allocation:
1.	Prerequisites: Exchange Feature 'Always Create Clearing Instruction' is Enabled
2.	Actions:
a.	CI created via "alllocate &amp; Give-up"
b.	CI created via split screen
3.	Resulting Value in Attribute Allocation Method: 3</t>
  </si>
  <si>
    <t>BUS -FIS CD -TC-CLR-508</t>
  </si>
  <si>
    <t xml:space="preserve">OSE Split Give-Up Cancellations </t>
  </si>
  <si>
    <t>Split Give-Up cancellations are fully supported on OSE</t>
  </si>
  <si>
    <t>202208.0.0</t>
  </si>
  <si>
    <t>Prerequisite: Create an Exchange feature for JSCC~ to allow deletion on a split.
Steps to replicate:
Upload a Trade on OSE
Perform a split on 3 legs: one account and 2 DIs
Send the responses from CCPs
Send upstream messages:
one to be cancelled
last GU is cancelled as well
Expected behaviour :
When we receive a cancellation, we should delete the GU leg from the UI and update the Parent Trade with the Quantity from the cancelled one.
The parent Trade should be matched with the split CI from before and GU leg since-deleted should be unmatched.</t>
  </si>
  <si>
    <t>Spliting</t>
  </si>
  <si>
    <t>BUS -FIS CD -TC-CLR-509</t>
  </si>
  <si>
    <t>Give-up Rejection by the destination Firm</t>
  </si>
  <si>
    <t>OSE Split Give-Up rejections Split Give-Up rejections are fully supported on OSE</t>
  </si>
  <si>
    <t>Prerequisite: Create an Exchange feature for JSCC~ to allow deletion on a split.
Steps to replicate:
Upload a Trade on OSE
Perform a split on 4 legs: one account and 3 DIs
Send the responses from CCPs
Send upstream messages:
one GU leg to be accepted
one to be rejected
last GU is rejected as well
**order doesn't matter on the upstream updates
-after sending the rejection of a GU leg and an update of a parent trade the task is generated automatically
Expected behavior:
When we receive a rejection, we should delete the GU leg from the UI and update the Parent Trade with the Quantity from the rejected one.
The parent Trade should be matched with the split CI from before and GU leg since deleted should be unmatched.</t>
  </si>
  <si>
    <t>BUS -FIS CD -TC-CLR-510</t>
  </si>
  <si>
    <t>Partial Split on OSE where some legs are cancelled</t>
  </si>
  <si>
    <t>OSE Split Give-Up cancellations Partial Split Give-Up cancellations and rejections are fully supported on OSE</t>
  </si>
  <si>
    <t>Steps to replicate:
Upload a Trade on OSE
Perform a partial split on 3 legs: one account and 2 DIs
Send the responses from CCPs
Send upstream messages:
one to be cancelled
last GU is cancelled as well
Expected behaviour :
When we receive a cancellation, we should delete the GU leg from the UI and update the Parent Trade with the Quantity from the cancelled one.
The parent Trade should be matched with the split CI from before and GU leg since-deleted should be unmatched. The same goes to the second cancelled leg.</t>
  </si>
  <si>
    <t>BUS -FIS CD -TC-CLR-511</t>
  </si>
  <si>
    <t>Give-up Rejection by Destination Firm and reallocate into FS account</t>
  </si>
  <si>
    <t>Receive a Give-up Rejection on a CCP Trade and reallocate into FS Account</t>
  </si>
  <si>
    <t>Insert a Trade
Insert a give-up CI
Ensure give-up operation is sent to CCP and Trade is pending Give-up acceptance
Receive a give-up rejection from upstream
Trade should be in give-up rejected status
Insert a full allocation on own account CI update
Ensure Trade is cleared into own account</t>
  </si>
  <si>
    <t>BUS -FIS CD -TC-CLR-512</t>
  </si>
  <si>
    <t>Give-up Rejection by Destination Firm and reallocate into a mixed split</t>
  </si>
  <si>
    <t>Receive a Give-up Rejection on a CCP Trade and reallocate into Mixed Split accounts</t>
  </si>
  <si>
    <t>Insert a Trade
Insert a give-up CI
Ensure give-up operation is sent to CCP and Trade is pending Give-up acceptance
Receive a give-up rejection from upstream
Trade should be in give-up rejected status
Insert a split CI update
Ensure Trade is split</t>
  </si>
  <si>
    <t>BUS -FIS CD -TC-CLR-513</t>
  </si>
  <si>
    <t>Give-up Rejection by Destination Firm and reallocate into a GU account</t>
  </si>
  <si>
    <t>Receive a Give-up Rejection on a CCP Trade and reallocate into Give Up account</t>
  </si>
  <si>
    <t xml:space="preserve">Insert a Trade
Insert a give-up CI
Ensure give-up operation is sent to CCP and Trade is pending Give-up acceptance
Receive a give-up rejection from upstream
Trade should be in give-up rejected status
Insert a give-up CI update
Ensure give-up operation is sent to CCP and Trade is pending Give-up acceptance
</t>
  </si>
  <si>
    <t>BUS -FIS CD -TC-CLR-514</t>
  </si>
  <si>
    <t>Off-Exchange APS - Original trades IN APS Account</t>
  </si>
  <si>
    <t>Off-Exchange APS will be performed on each of the Original Trades forming the APS group</t>
  </si>
  <si>
    <t>Add the Group Name
Update the Group Status to INTERNAL-OPEN
SAVE AND PERFORM action :
Add the Group ID
Add the Group Name (maybe already done)
Add "OO" in the Group Indicator field
Update the Group Status to INTERNAL-CLOSE
This story deals with the SAVE only button implementation plus SAVE and Perform off exchange
Attach APSGroup – Create New
We need new Group for off exchange APS? - Yes
Or do we need to update it with Average Price Method we are going to apply on Off -Exch APS? - No
Set GroupID: Create Group ID internally using some pre-defined logic.
Set Group Indicators "OO" to Original Trades.</t>
  </si>
  <si>
    <t>BUS -FIS CD -TC-CLR-515</t>
  </si>
  <si>
    <t>Off-Exchange APS - Reopening trades in an OE APS</t>
  </si>
  <si>
    <t xml:space="preserve"> Off-Exchange APS will be performed, a Reopening trade will be created.</t>
  </si>
  <si>
    <t>When Off Exchange APS is performed by the user:
Reopening trade will be created with Green color in Group Indicator
Uncleared trade will be created with BLOCK STP.
Quantity and Open Quantity is the Sum of all original Trade quantities
AVg Price on the trade Will be:Trades Value (Price * Quantity) divided by the sum of the trades quantities present in the group.
Group Id.. Group Name.. Group Indicator OR
Update the Group Status to INTERNAL-CLOSE
No Account and Account owner
Same direction as of original trades
Flag the trade to not trigger any CCP related activity (it's an off-Exchange trade). It should not triggger matching etc. ? BLOCK STP will be the Matching status
Clearing Status = uncleared
SourceSystem = SYSTEM</t>
  </si>
  <si>
    <t>BUS -FIS CD -TC-CLR-516</t>
  </si>
  <si>
    <t>Off-Exchange APS - Closing trades in an OE APS</t>
  </si>
  <si>
    <t>When the Off-Exchange APS will be performed, a Closing trade will be created.</t>
  </si>
  <si>
    <t>When Off Exchange APS is performed by the user:
Closing trade will be created with Red color in Group Indicator
Same Account as of Original Trades
Quantity and Open Quantity is the Sum of all original Trade quantities
AVg Price on the trade Will be:Trades Value (Price * Quantity) divided by the sum of the trades quantities present in the group.
Group Id.. Group Name.. Group Indicator OC
Update the Group Status to INTERNAL-CLOSE- 
Reverse the Buy/Sell value (i.e if all the trades from the group are Buys, the closing trade will be a Sell)
Flag the trade to not trigger any CCP related activity (it's an off-Exchange trade). It should not triggger matching etc. ? NOT_TO_MATCH will be the Matching status
Clearing Status = CLEARED
SourceSystem = SYSTEM</t>
  </si>
  <si>
    <t>BUS -FIS CD -TC-CLR-517</t>
  </si>
  <si>
    <t>Off-Exchange APS - Reverse the process</t>
  </si>
  <si>
    <t>When an user will have "Save group" or "Save and performed" actions one, we might need to reverse the grouping.</t>
  </si>
  <si>
    <t>Reverse the APS:
Case 1: Reversing a Saved only Group
Remove the Original Trades from the Group. Remove Group Name from the original Trades. Remove Grp Id etc. 
Delete the group?
Case 2: Reversing Save and Perform APS:
Remove Grp name/GrpId/Grp indicator etc from the original Trades.
Delete the group?
Delete the Closing trade and Reopening trade which were created as a part of Off exchange APS process.</t>
  </si>
  <si>
    <t>BUS -FIS CD -TC-CLR-518</t>
  </si>
  <si>
    <t>Distinguishing RTP (NCM) accounts from regular accounts while allocating the GCM Trade</t>
  </si>
  <si>
    <t>User wants to allocate a regular GCM Trade where the Processing firm and Executing firm are the same</t>
  </si>
  <si>
    <t>202210.0.0</t>
  </si>
  <si>
    <t>While resolving tasks, add aliases for Processing/Executing firm from Trade on Bofa Sec Japan.
Also in order for Trade to be displayed under XJPX and not XOSE, you need to delete the alias on XOSE for Source System and add it on XJPX.
Requirement:
Add the following logic (in orange below) to the ISA/../RC case to exclude RTP accounts to avoid showing them in the drop-down when allocating a GCM trade:
Case of ISA/NOSA/GOSA/RC, Give-In ISA/NOSA/GOSA/RC and TMF executed by CMF (accounts are only visible if TMF is configured as an RC too) + excluding RTPs on JSCC~:
ELSE IF ( Trade/CI.Counterparty = Trade/CI.CCP// Connected CCP
   AND Trade/CI.CCP != (not equal to) 'JSCC~' // Exclude RTP accounts to avoid showing them in drop-down when allocating a GCM trade
   AND Trade/CI.ProcessingFirm is NOT EMPTY (NOT NULL) //  Redundant with the following XOR logic but still needed to avoid the risk of a technical NULL Pointer Exception as ProcessingFirm is Mandatory in the data model.
   AND ( Trade/CI.ExecutingFirm is EMPTY (NULL)  XOR Trade/CI.ExecutingFirm = Trade/CI.ProcessingFirm ) // GCM business
   AND Account.ClearingDetails.CounterpartyAccountOwner != (not equal to) Trade/CI.ProcessingFirm // Not a GCM counterparty account
   AND Account.ClearingDetails.CounterpartyAccountOwner != (not equal to) Trade/CI.ExecutingFirm // Not a R/W NCM counterparty account
   AND Account.ClearingDetails.CounterpartyAccountOwner/LegalEntity.relationships = Trading Entity 'is registered on' Trade/CI.CCP 
   AND Account.ClearingDetails.CounterpartyAccountOwner/LegalEntity.relationships = Trading Entity 'clears through' Trade/CI.ProcessingFirm )
THEN This is a valid Account (we stop and proceed with this account</t>
  </si>
  <si>
    <t>yes</t>
  </si>
  <si>
    <t>BUS -FIS CD -TC-CLR-519</t>
  </si>
  <si>
    <t>Cancellation of Local Reversal: Perform contingency procedure to simulate reversal on accepted give-ups</t>
  </si>
  <si>
    <t>After performing Local Reversal on Give-Up Accepted trades, trades moves to matched tile, in Matched Tile a new action has been introduced- "Cancel Local Reversal" in contingency procedure tab, wherein user will have an option to Undo the Local Reversal. Bulk or single trades</t>
  </si>
  <si>
    <t>202209.0.0</t>
  </si>
  <si>
    <t>Load a Trade and a Matching CI having Give-Up details. The trade and a CI gets Auto-matched and request sent to CCP and the trade is in Give-Up Accepted Tile.
User performs the Local Reversal by Clicking on a new button "Contingency Procedure"
User selects the GU Accepted trade and clicks on the Local Reversal.
Local Reversal:
The Trade gets BLOCKED and goes to the Matched Tile with below Status:
1. clearing status = PENDING
2. Give-up status = "LOCALLY_REVERSED"
3. Matching Reason = "Blocked by User after Give-Up Local Reversal."
User Manual Action on Blocked Trade:
All the Buttons in the UI would be Enabled and upon performing any manual action, user will get an error: All actions on this trade are blocked by System.
The matching Status of the CI will not be changed after initiation of Local Reversal or Cancellation of Local Reversal.
Upon initiation of Local Reversal the Internal CI should not get deleted if the trade was manually allocated or matched with Bypass Matching Rules.
All the manual action should be possible on the Regular CI/Group CI or individual legs after cancellation of local reversal</t>
  </si>
  <si>
    <t>BUS -FIS CD -TC-CLR-520</t>
  </si>
  <si>
    <t xml:space="preserve">Option Expiration: Assignment Report screen </t>
  </si>
  <si>
    <t>Validate grid data filters on Assignment screen</t>
  </si>
  <si>
    <t>Pre-requisite: Ensure Options Menu is visible upon expanding hamburger icon in FISCD
Consider the following UI changes for  Assignment Report screen:
There will be only One filter in the header row which should have two filtering options :
All : this filter will display messages from all dates
Top Day : this filter will show messages from Top date
Settings and '+' icon will be present next to the above dropdown box
Main filtering parameters will now be:
Exec Account Ref
Clearing Code
Exchange
Maturity
Clearing Date
From the grid:
Remove message type column
Biz Dt will be replaced with Clearing Date
Message Unique ID will be replaced with Report ID
Qty will be replaced with Quantity across all columns ; eg: Total Qty Short will become Total Quantity Short</t>
  </si>
  <si>
    <t>Option Exercise &amp; Assignment</t>
  </si>
  <si>
    <t>BUS -FIS CD -TC-CLR-521</t>
  </si>
  <si>
    <t xml:space="preserve">Option Expiration: Position Maintenance Report Screen </t>
  </si>
  <si>
    <t>Validate Position Maintenance and Assignment Report</t>
  </si>
  <si>
    <t>There will be ceonly One filter in the header row which should have two filtering options :
All : this filter will display messages from all dates
Top Day : this filter will show messages from Top date
Settings and '+' icon will be present next to the above dropdown box
Main filtering parameters will now be:
Exec Account Ref
Clearing Code
Exchange
Maturity
Clearing Date
From the grid:
Remove message type column
Biz Dt will be replaced with Clearing Date
Message Unique ID will be replaced with Report ID
Qty will be replaced with Quantity across all columns ; eg: Total Qty Short will become Total Quantity Short</t>
  </si>
  <si>
    <t>BUS -FIS CD -TC-CLR-522</t>
  </si>
  <si>
    <t>Option Expiration: Create Events for Position Maintenace Report &amp; Assignment Report messages</t>
  </si>
  <si>
    <t>Insert, Update &amp; Delete Position Maintenace Report &amp; Assignment Report messages</t>
  </si>
  <si>
    <t>Scenario 1: Raising of Insert, Update and Delete events for  Position Maintenance message
Pre-requisite: Position Maintenance screen should be open
Insert a New Position Maintenance message
Finalize the Name of the INSERT event
Check that the event entry is logged in node logs
Check the link between FISCD Events and Protobuf events
If the duplicate message is received, ensure that it is present in Gateway logs and not in node logs as it will be ignored
On the similar lines, finalize the Name of the UPDATE event
Finalize the Name of the DELETE event
Scenario 2: Raising of Insert event for Assignment report message
Pre-requisite: Assignment report screen should be open
Insert a Assignment report message
Finalize the Name of the INSERT event
Check that the event entry is logged in node logs
Check the link between FISCD Events and Protobuf events
If the duplicate message is received, ensure that it is present in Gateway logs and not in node logs as it will be ignored</t>
  </si>
  <si>
    <t>BUS -FIS CD -TC-CLR-523</t>
  </si>
  <si>
    <t>Full Split  and Partial on OSE where some legs are cancelled from downstream</t>
  </si>
  <si>
    <t>OSE Split Give-Up cancellations
Split Give-Up cancellations from downstream</t>
  </si>
  <si>
    <t>Partial/Full Split:
Upload a Trade on OSE
Perform a split on 4 legs: 1 account and 3 DIs
Send the responses from CCPs
Cancelled one (any) give-up leg from FCD
Cancelled another (any) give-up leg from FCD
Expected behaviour :
When we receive a GU cancellation,
the corresponding GU leg should be deleted from the UI
the Parent Trade should be updated with the Quantity from the cancelled GU leg
the parent Trade should be in matched tile (still matched with the split CI)
Expected behaviour :
When we receive the 2nd GU cancellation,
the Parent Trade doesn't stay in matched tile (isn't still matched with the split CI)</t>
  </si>
  <si>
    <t>Splitting</t>
  </si>
  <si>
    <t>BUS -FIS CD -TC-CLR-524</t>
  </si>
  <si>
    <t>New attribute username to be added in TC for trades and clearing instructions</t>
  </si>
  <si>
    <t>Username attribute added to TCWB middle panel for Trades and Clearing instructions</t>
  </si>
  <si>
    <t>As a middle office operator, i want to see and filter all the trades and clearing instructions on which i took a manual action, so that I can correct the last action done which was a mistake. I need to the same for any user (not only me).
A new attribute "username" is created to store the name of the user who took the last manual action.
Unlike in the audit trail, this attribute will keep on showing the last user name who took an action, even after some updates on the records were done by the SYSTEM.
This attribute will be populated first on clearing instructions but will also be populated on trades (it will be needed if a user allocates/give-up a trade, an internal clearing instruction is created, and users will only see the trade).
This attribute must be visible in all tiles, include the "view all statuses".
Users should be able to filter on it, to create and save a filter, in the middle panel.
the scope of this story is to add this new attribute in the protobuf structure, add the new column (not visible by default), add a filter on it on the filter bar.</t>
  </si>
  <si>
    <t>BUS -FIS CD -TC-CLR-525</t>
  </si>
  <si>
    <t>New attribute username to be added in TCWB middle panel for trades and clearing instructions</t>
  </si>
  <si>
    <t>1. Send several unmatched and matched trades and CIs with the new username attribute
2. Check if the username attribute is first visible in the column picker, and can be activated
3. Check if the username value is visible for all inserted trades and CIs in the middle panel
4. Check if there is a filter in the filter bar for this attribute</t>
  </si>
  <si>
    <t>BUS -FIS CD -TC-CLR-526</t>
  </si>
  <si>
    <t xml:space="preserve">RO NCM trade is deleted upon receiving give up acceptance update from the upstream </t>
  </si>
  <si>
    <t>New Exchange Feature for RO NCM Trades:
New exchange feature (by CCP): "KEEP_RO_NCM_TRADE_GU_ACCEPTED" for ECAG has been introduced, upon enabling this feature, trade will not be deleted after GU acceptance from Upstream.</t>
  </si>
  <si>
    <t>202211.0.0</t>
  </si>
  <si>
    <t>Steps to replicate:
Preprequest: add all required aliases 
Set exchange feature to always create CI for ECAG market
Set new exchange feature "KEEP_RO_NCM_TRADE_GU_ACCEPTED" for ECAG CCP
Set NCM Bypass matching rule which will create actual CI
Load trade from the attached file,
Trade is matched, CI is created and trade is moved to cleared tile
Load give up pending acceptance update from the upstream
Trade is moved to Pending Acceptance give up tile.
Load Give up accepted upstream update message
Expected: Trade is moved to give up accepted tile , and ci is still matched with the trade. ci is not updated                                                                                                                                                                                                                                                                                                                                           Enable the new Exchange feature rule and ensure trade is not deleted and should be reflecting in GU Accepted tile for below scenarios:
When trade hits Bypass Matching Rules and internal CI is being created.
When Exchange feature "Always Create Clearing Instruction" is enabled and trade has been Given-Up by creating External CI.
When trade hits Bypass Matching Rules which creates external clearing instruction.
Upon disabling the New Exchange Feature rule, the trade should get deleted after Give-Up acceptance.</t>
  </si>
  <si>
    <t>BUS -FIS CD -TC-CLR-527</t>
  </si>
  <si>
    <t>Automatic Give-Up Cancellation After CI Qty Update</t>
  </si>
  <si>
    <t>When the clearing instruction that is matched to the trade being given-up is firstly increased and then decreased to its initial value.</t>
  </si>
  <si>
    <t>Steps to reproduce:
Give-Up cancellation to be sent when the Quantity of CI is lesser than the matching trade after receiving updates.
Give-Up cancellation should not be sent, if the quantity is equal or more than the matching trade. 
upload a CME trade with qty 1, price 95
upload a split give-up clearing instruction to match the trade, so that give-up request is sent
update the clearing instruction quantity from 1 to 2
send former message for the original trade and group trade
update the clearing instruction quantity from 2 to 3
two tasks are raised due to CI updates
send group trade update (qty reduced to 0) and pending acceptance trade</t>
  </si>
  <si>
    <t>Give Up</t>
  </si>
  <si>
    <t>BUS -FIS CD -TC-CLR-528</t>
  </si>
  <si>
    <t>User has ability to accept Reversal Requested by 3rd Party under reversing tile</t>
  </si>
  <si>
    <t>Users will accept Trade reversal with reversal status "Requested".</t>
  </si>
  <si>
    <t>Insert several Give-in trades with pending status
Accept the inserted Give-in trades so they move the Accepted tile
Send response from CCP in order to clear the inserted trades
Send reversal requests for the Accepted trades
Check if the trades are under the Reversing tile
Check if the Accept reversal button is visible and functional for single, bulk and select all action for trades with reversal status '''Requested'</t>
  </si>
  <si>
    <t>BUS -FIS CD -TC-CLR-529</t>
  </si>
  <si>
    <t>Adjust Input &amp; Output Events for Option Expiration Audit Screen</t>
  </si>
  <si>
    <t>Receive and view Exercise/Assignment/Abandon on Options</t>
  </si>
  <si>
    <t>Enhance the Audit screen as per below:
removing the view Button
Create new Input events for Position Maintenace Create, Position Maintenance Update
The Output Events column which shows NA currently while it should show the Events raised for Protobuf
The right-hand panel should populate the appropriate data not the error</t>
  </si>
  <si>
    <t>BUS -FIS CD -TC-CLR-530</t>
  </si>
  <si>
    <t>[TS2090708] Enable select all for cancel give up action</t>
  </si>
  <si>
    <t>Cancel Give Up action is now enabled when trades are selected using select all checkbox.</t>
  </si>
  <si>
    <t xml:space="preserve">1.	Select all should be enabled for cancel give up action. Currently this operation is enabled as bulk, but the action is disabled when "select all" checkbox is ticked.
2.	A user needs the ability to perform this action with "select all" option also in case a huge number of trades is incorrectly given up. </t>
  </si>
  <si>
    <t>BUS -FIS CD -TC-CLR-531</t>
  </si>
  <si>
    <t xml:space="preserve"> [TS2147976] Enable Contingency Procedure Action for select all option</t>
  </si>
  <si>
    <t>Contingency procedure action is now enabled when trades are selected using select all checkbox</t>
  </si>
  <si>
    <t>1.	As a user, I need to be able to perform contingency procedure action using "select all" option so I can select all trades in one go rather than selecting trades in batches and being forced to scroll in order to select trades. 
2.	In case there is some outage on exchange and I need to move a large number of trades to the appropriate status in order to feed the BO system, it can be very time-consuming to do this multiple times with scrolling and selecting sets of trades.
3.	Once contingency action is triggered Bulk contingency form should be open, same as in the case when a bulk operation on the set of trades is performed. Currently, the contingency procedure action is enabled for bulk operation, but is disabled in case of  "select all".</t>
  </si>
  <si>
    <t>BUS -FIS CD -TC-CLR-532</t>
  </si>
  <si>
    <t>[TS2446732] Holding account is not removed when splitting the Trade after</t>
  </si>
  <si>
    <t>When Trade is allocated on the holding account, and then split into a couple of Destination Instructions, the holding account will be removed, but only Destination Istruction details will stay.</t>
  </si>
  <si>
    <t>Scenario 1:
1.	Create a bypass matching rule where the account is populated with Holding one
2.	Upload a Trade to match the Bypass Matching Rules
3.	Trade is displayed under holding tile
4.	Then perform a split on 2 DIs (via button)
5.	Trades ended up accepted, cleared with only give up details, AND NO Holding account
6.	Check that there are no notifications or task raised
Scenario 2: With external split 
1.	Even if you have Trade triggering bypass rule which ends into Holding tile and perform unmatch action, Trade should be displayed under unmatched FS tile, WITHOUT holding account.</t>
  </si>
  <si>
    <t>BUS -FIS CD -TC-CLR-533</t>
  </si>
  <si>
    <t>[TS1863621][TS2165433][TS2324756] [TS 2436228] Concurrent Matching sets</t>
  </si>
  <si>
    <t>BUS -FIS CD -TC-CLR-534</t>
  </si>
  <si>
    <t>[Mandatory][TS2380589]Enabling Select all option for Block/Unblock action</t>
  </si>
  <si>
    <t>BUS -FIS CD -TC-CLR-535</t>
  </si>
  <si>
    <t>Ignore CI Updates/Deletes in case Trade has already been cleared after allocating from holding to regular account</t>
  </si>
  <si>
    <t>BUS -FIS CD -TC-CLR-536-A</t>
  </si>
  <si>
    <t>Update User Name on on Trade when doing Create and Edit operations</t>
  </si>
  <si>
    <r>
      <t>Client will need a new attribute in the Trade which will contain the information about the user  </t>
    </r>
    <r>
      <rPr>
        <b/>
        <sz val="11"/>
        <color indexed="62"/>
        <rFont val="Segoe UI"/>
        <family val="2"/>
      </rPr>
      <t>creating or updating the Trade in UI.</t>
    </r>
  </si>
  <si>
    <t>1.	Login into FISCD by Ted user. ** 
2.	Navigate to new TCWB screen
3.	Insert a new Trade
4.	Select the above trade from the middle panel and in the right hand panel under Other tab verify that "User" attribute is added with the user name as Blank as the trade is entered from FIXML
5.	Select the trade from middle panel and click on edit button, edit the trade and save
6.	Select the above trade from the middle panel and in the right hand panel under Other tab verify that "User" attribute is updated with the user name as Ted</t>
  </si>
  <si>
    <t>BUS -FIS CD -TC-CLR-536-B</t>
  </si>
  <si>
    <t>Update User Name on on Trade when doing Allocation operations</t>
  </si>
  <si>
    <t>1.	Login into FISCD by Ted user.
2.	Navigate to new TCWB screen
3.	Insert a new Trade
4.	Select the above trade from the middle panel and in the right hand panel under Other tab verify that "User" attribute is added with the user name as Blank as the trade is entered from FIXML
5.	Select the trade from middle panel and click on allocate button, allocate the trade to an account and save
6.	Select the above trade from the middle panel and in the right hand panel under Other tab verify that "User" attribute is updated with the user name as Ted</t>
  </si>
  <si>
    <t>BUS -FIS CD -TC-CLR-536-C</t>
  </si>
  <si>
    <t>Update User Name on on Trade when doing Force match and Unmatch operations</t>
  </si>
  <si>
    <t xml:space="preserve">1.	Login into FISCD by Ted user.
2.	Navigate to new TCWB screen
3.	Insert a Trade
4.	Create a New CI from FISCD (which should not auto match with the above trade) and Save
5.	Ensure that in the CI User is appearing as Ted in Other tab in right hand panel and on trade User should be blank
6.	Select the trade and go to matching wizard, force match it with trade
7.	Ensure that User is updated to Ted on Trade
8.	Now, login from another Super user say John
9.	Navigate to new TCWB and select the above trade from cleared tile
10.	Click on unmatch button at the bottom of middle panel.
11.	Ensure that User is updated to John on Trade
NOTE: Ensure that there should not be any impact on Audit Trail screen; this change should only be done on Trade Other Tab of Right Hand panel of new TCWB.
</t>
  </si>
  <si>
    <t>BUS -FIS CD -TC-CLR-536-D</t>
  </si>
  <si>
    <t>Update User Name on on Trade when doing Bulk Editing operations</t>
  </si>
  <si>
    <t xml:space="preserve">1.	Login into FISCD by Ted user. 
2.	Navigate to new TCWB screen
3.	Insert 5 new Trades using FIXML
4.	Select the above trades one by one from the middle panel and in the right hand panel under Other tab verify that "User" attribute is added with the user name as Blank as the trade is entered from FIXML
5.	Select all the trades from middle panel and click on edit button, edit the trades and save
6.	Select the above trades one by one from the middle panel and in the right hand panel under Other tab verify that "User" attribute is updated with the user name </t>
  </si>
  <si>
    <t>BUS -FIS CD -TC-CLR-537-A</t>
  </si>
  <si>
    <t>Removing holding accounts from Trade at the point of unmatching</t>
  </si>
  <si>
    <t xml:space="preserve">BPMR Holding accounts removed at Deleting Internal CI </t>
  </si>
  <si>
    <t>1.	Create a bypass matching rule where the account is populated with Holding one
2.	Upload a Trade to match the BPMR
3.	Trade is displayed under the holding tile
4.	Delete the internal CI
5.	Holding account should be deleted from Trade</t>
  </si>
  <si>
    <t>BUS -FIS CD -TC-CLR-537-B</t>
  </si>
  <si>
    <t xml:space="preserve">Holding accounts removed when Unmatching External CI </t>
  </si>
  <si>
    <t>202211.0.1</t>
  </si>
  <si>
    <t>1.	Upload a Trade
2.	Upload an external CI (or use internal to allocate it on the holding account)
3.	Perform unmatch via button
4.	Trade should be unmatched without the holding account on it</t>
  </si>
  <si>
    <t>BUS -FIS CD -TC-CLR-537-C</t>
  </si>
  <si>
    <t>Removing regular accounts from Trade at the point of unmatching</t>
  </si>
  <si>
    <t xml:space="preserve">Allocated FS Trades removed when Unmatching External CI </t>
  </si>
  <si>
    <t>202211.0.2</t>
  </si>
  <si>
    <t xml:space="preserve">1.	Upload a Trade and external CI with the regular account
2.	Trade is matched and Cleared
3.	Perform unmatch via button
4.	Trade should be unmatched without the regular account
</t>
  </si>
  <si>
    <t>BUS -FIS CD -TC-CLR-537-D</t>
  </si>
  <si>
    <t xml:space="preserve">Allocated Split  Trades removed when Unmatching External CI </t>
  </si>
  <si>
    <t>202211.0.3</t>
  </si>
  <si>
    <t xml:space="preserve">1.	Upload a Trade and Split CI with the regular account
2.	Trade is matched and Cleared
3.	Perform unmatch via button
4.	Trade should be unmatched without all of the regular account
</t>
  </si>
  <si>
    <t>BUS -FIS CD -TC-CLR-538</t>
  </si>
  <si>
    <t>Add Information about User for any manual input on the Trade</t>
  </si>
  <si>
    <t>Populate User details on Trade for Split Operation</t>
  </si>
  <si>
    <t>1.	Login into FISCD
2.	Select an executed trade 
3.	Navigate to new TCWB, click on Trade/CI Unmatched tile
4.	Select the above trade from middle panel and click on split button at the bottom
5.	Enter split details and click on save
6.	Now, select the child trades one by one from cleared tile
7.	Ensure that user details are now populated on each of the Legs</t>
  </si>
  <si>
    <t>BUS -FIS CD -TC-CLR-539</t>
  </si>
  <si>
    <t>New Time Unit as a new trade attribute in details (Weekly)</t>
  </si>
  <si>
    <t>Users want to see the "Time Unit" on the clearing code of a weekly product. This new attribute must be visible in trade details screen in view mode only, but not editable.</t>
  </si>
  <si>
    <t>1.	The Weekly Time Unit attribute will be added as a new attribute on the trade details and middle Panel of the Workboard.
2.	Insert trade with Time Unit "Wk" clearing code TEST, the new field Time Unit should be reflecting the value as (WK) in the new field in UI.
3.	Split the above trade in Full Service clearing, Partial Split and Give-Up, load the split responses with tag Time Unit as "Wk" and the new legs should be reflecting the value as (Wk) in the new attribute Time Unit in UI.
4.	Insert trade with without Time Unit tag, Time Unit field in the UI should be empty.
5.	The new attribute should also be visible in the audit trail of the trade. "Ex. Clearing Code: WNU (Wk)"</t>
  </si>
  <si>
    <t>BUS -FIS CD -TC-CLR-540</t>
  </si>
  <si>
    <t>New Time Unit as in TCWB middle panel (Daily)</t>
  </si>
  <si>
    <t>Users want to see the "Time Unit" on the clearing code of a Daily product. This new attribute must be visible in trade details screen in view mode only, but not editable.</t>
  </si>
  <si>
    <t>1.	The Daily Time Unit attribute will be added as a new attribute on the trade details and middle Panel of the Workboard.
2.	Insert trade with Time Unit "D", clearing code TEST, the new field Time Unit should be reflecting the value as (D) in the new field in UI.
3.	Split the above trade in Full Service clearing, Partial Split and Give-Up, load the split responses with tag Time Unit as "D" and the new legs should be reflecting the value as (D) in the new attribute Time Unit in UI.
4.	Insert trade with without Time Unit tag, Time Unit field in the UI should be empty.
5.	The new attribute should also be visible in the audit trail of the trade. "Ex. Clearing Code: WNU (D)"</t>
  </si>
  <si>
    <t>BUS -FIS CD -TC-CLR-541</t>
  </si>
  <si>
    <t>When an upstream give-up is performed, the system should look for a Destination Instruction and add it to the internal clearing instruction</t>
  </si>
  <si>
    <t>Destination Instruction on Internal Clearing Instruction:
When receiving the upstream message, the system will look for the right destination instruction and save it on the internal clearing instruction that is created at the time</t>
  </si>
  <si>
    <t>1.	When a user performs a give-up on a trade, from the CCP UI, he provides a destination firm and a destination ref. 
2.	That information is received in FIS CD and the trade is updated with this, but the destination instruction remains empty. However, the destination instruction is mandatory to export the trade successfully to the back office.
3.	When receiving the upstream message, the system should look for the right destination instruction and save it on the internal clearing instruction that is created at the time</t>
  </si>
  <si>
    <t>BUS -FIS CD -TC-CLR-542-A</t>
  </si>
  <si>
    <t xml:space="preserve">Publishing of User information on CI: Manual Allocation Flow
</t>
  </si>
  <si>
    <t>Username is publised on trade when user clicks on allocate on a trade, a CI is created by the System (exchange feature always create CI)</t>
  </si>
  <si>
    <t>1.	Login into FISCD
2.	Create a rule for allocation and enable exchange feature always create CI
3.	Now, insert a trade and allocate to an account
4.	Ensure that the CI created in the above step should have the User details in middle panel as well as in other tab of right hand panel
5.	Ensure that the trade allocated above should have the User details in middle panel as well as in other tab of right hand panel</t>
  </si>
  <si>
    <t>BUS -FIS CD -TC-CLR-542-B</t>
  </si>
  <si>
    <t xml:space="preserve">Publishing of User information on CI: Automatching
</t>
  </si>
  <si>
    <t>Username is publised on trade when Trade is already matched with a CI and user click on allocate, the CI is updated</t>
  </si>
  <si>
    <t>1.	Login into FISCD
2.	Insert a trade and CI which gets auto matched
3.	Go to matched CI tile and selected the above matched CI
4.	Edit exec account ref over CI and save
5.	Ensure that the User details are updated on CI in middle panel as well as in other tab of right hand panel for the CI
6.	Ensure that the trade allocated above should have the User details in middle panel as well as in other tab of right hand panel</t>
  </si>
  <si>
    <t>BUS -FIS CD -TC-CLR-542-C</t>
  </si>
  <si>
    <t>Publishing of User information on CI: Force Match flow</t>
  </si>
  <si>
    <t>Username is publised on trade when force matching on the Trade with the CI user name is updated as well.</t>
  </si>
  <si>
    <t>1.	Navigate to new TCWB screen
2.	Select a Trade
3.	Insert a new CI which should not auto match with the above trade from FIXML
4.	Select the above CI from the middle panel and in the right hand panel under Other tab verify that "User" attribute is populated with the user name Blank
5.	Select the above CI and try to edit the quantity (or any other editable attribute) and save
6.	Send the update on the CI from FIXML in such a way that it gets updated with the Trade
7.	For the above CI and in the right hand panel under Other tab verify that "Use Name" attribute is populated with the user name Ted
8.	Ensure that the trade allocated above should have the User details in middle panel as well as in other tab of right hand panel</t>
  </si>
  <si>
    <t>BUS -FIS CD -TC-CLR-542-D</t>
  </si>
  <si>
    <t>Unmatch flow</t>
  </si>
  <si>
    <t>Username is publised on trade when we unmatch the Trade, the CI user name is updated
Edit:</t>
  </si>
  <si>
    <t>1.	Login into FISCD 
2.	Navigate to new TCWB screen
3.	Select a Trade
4.	Insert a new CI which should not auto match with the above trade from FIXML
5.	Select the above CI from the middle panel and in the right hand panel under Other tab verify that "User" attribute is populated with the user name Blank
6.	Select the above CI and try to edit the quantity (or any other editable attribute) and save
7.	Validate the CI  gets updated with the Trade
8.	For the above CI and in the right hand panel under Other tab verify that "Use Name" attribute is populated with the user name Ted
9.	Ensure that the trade allocated above should have the User details in middle panel as well as in other tab of right hand panel</t>
  </si>
  <si>
    <t>BUS -FIS CD -TC-CLR-542-E</t>
  </si>
  <si>
    <t>Publishing of User information on CI: Reallocation flow</t>
  </si>
  <si>
    <t>Username is publised on trade when Trade and CI are reallocated &amp; updated</t>
  </si>
  <si>
    <t>1.	Login into FISCD
2.	Insert a trade and CI which gets automatched
3.	Now, reallocate the trade to some different account
4.	Ensure that the User details are updated on CI in middle panel as well as in other tab of right hand panel for the CI
5.	Ensure that the trade re-allocated above should have the User details in middle panel as well as in other tab of right hand panel</t>
  </si>
  <si>
    <t>BUS -FIS CD -TC-CLR-542-F</t>
  </si>
  <si>
    <t>Publishing of User information on CI: Split flow</t>
  </si>
  <si>
    <t xml:space="preserve">Username is publised on trade when user clicks on split on a Trade, a split CI is created by the System (exchange feature always create CI)
</t>
  </si>
  <si>
    <t>1.	Login into FISCD
2.	Insert a trade and CI which gets automatched
3.	Now, using contingency procedures clear the trade
4.	Now, split the above matched trade
5.	Ensure that the User details are updated on parent CI as well as on child CI in middle panel as well as in other tab of right hand panel for the CI
6.	Ensure that the all the legs of the trade should have the User details in middle panel as well as in other tab of right hand panel</t>
  </si>
  <si>
    <t>BUS -FIS CD -TC-CLR-543</t>
  </si>
  <si>
    <t xml:space="preserve">AMK Trade Type  </t>
  </si>
  <si>
    <t xml:space="preserve">Allocate a AMK trade type M </t>
  </si>
  <si>
    <t>1. Launch FISCD TCWB with your user ID and password_x000D_
2. Select a trade to be cleared then click allocate._x000D_
3. select client account then apply_x000D_
4. Trade starts to clear_x000D_
5. Trade would be cleared for the respective Client account with AMK trade type_x000D_
6. Validate CV_AUDIT data</t>
  </si>
  <si>
    <t>BUS -FIS CD -TC-SD-100</t>
  </si>
  <si>
    <t>Review of ETD Instrument Static Post CMD Load for GMI Alias Population</t>
  </si>
  <si>
    <t>Spot check review of ETD Instrument Static For Futures / Options to ensure GMI Aliases have been populated as part of the CMD load</t>
  </si>
  <si>
    <t>BUS -FIS CD -TC-SD-53</t>
  </si>
  <si>
    <t>The user requires an interface to create new carte blanche / By Pass rules in order to automate clearing. An interface is also required for the amendment of existing clearing rules static.</t>
  </si>
  <si>
    <t>For successful automated clearing new carte blanche / by-pass rules need to be setup correctly. (Give-in Reject)</t>
  </si>
  <si>
    <t>1. Go to Referential-&gt; Select Rule Viewer 
2.Select Rule type as BYPASS_MATCHING -&gt; Select Bypass Matching Action as "Trade CI" -&gt; Select Rule set as " Bypass Matching CI" -&gt; Click on Apply
3. Create a New By pass rule for Give in Reject for a  account -&gt; once created click on save
4.Select unmatched give in trade -&gt; click on resubmit for matching -&gt; Check if trades are Rejected in respective tab in FIS TC</t>
  </si>
  <si>
    <t>BUS -FIS CD -TC-SD-54</t>
  </si>
  <si>
    <t>Condition based (combination of product, expiry, time etc..)</t>
  </si>
  <si>
    <t>CD_TC functionality allowing user to disable auto clearing / blocking by setting in conditions and not by disabling rule sets</t>
  </si>
  <si>
    <t>BUS -FIS CD -TC-SD-55</t>
  </si>
  <si>
    <t>Addition of Exchange feature for JSCC~</t>
  </si>
  <si>
    <t>Addition of Exchange feature to Allow delete while splitting</t>
  </si>
  <si>
    <t>As a User, I would like to have a new Exchange Feature for JSCC~ with the name ALLOW_ACTUAL_DELETE_WHEN_SPLIT.
This will help us to delete GU legs in the process of split in the same way as it is done for EUNXT~ and OCC~.
This should be part of the common business baseline immutable by user.</t>
  </si>
  <si>
    <t>BUS -FIS CD -TC-SD-56</t>
  </si>
  <si>
    <t>Add a New Counterparty Account in FCD</t>
  </si>
  <si>
    <t>Counterparty Account is added and confirmed to show in the Counterparty Accounts Tab</t>
  </si>
  <si>
    <t>1. Click on the 3 Black Bars (Hamburger) on the Top Left of the FCD UI_x000D_
2. Search for Counterparty Accounts_x000D_
3. Click on Manage Accounts -&gt; Counterparty Accounts_x000D_
4. Click on the New Button on the bottom left on the UI_x000D_
5. Fill in mandatory test details for Counterparty Account Owner/Counterparty/Name/Account Type/Origin_x000D_
6. Click Save_x000D_
7. Confirm Counterparty Account is created by filtering in the left search tab on the UI of the details that were filled in</t>
  </si>
  <si>
    <t>Counterparty Account</t>
  </si>
  <si>
    <t>BUS -FIS CD -TC-SD-57</t>
  </si>
  <si>
    <t>Delete an existing Counterparty Account in FCD</t>
  </si>
  <si>
    <t>Counterpart Account is deleted and confirmed to no longer show in the Counterparty Accounts Tab</t>
  </si>
  <si>
    <t>1. Click on the 3 Black Bars (Hamburger) on the Top Left of the FCD UI_x000D_
2. Search for Counterparty Accounts_x000D_
3. Click on Manage Accounts -&gt; Counterparty Accounts_x000D_
4. Click on the row of the Counterparty Account to be deleted which will be highlighted_x000D_
5. Click on the delete button on the bottom left of the UI_x000D_
6. Confirm using the left filter search bar on the left of the UI with the details of the deleted counterparty account to confirm that it has been deleted</t>
  </si>
  <si>
    <t>BUS -FIS CD -TC-SD-58</t>
  </si>
  <si>
    <t>Add a New Legal Entitiy in FCD</t>
  </si>
  <si>
    <t>Legal Entity is added and is confirmed to show in the Legal Entity tab</t>
  </si>
  <si>
    <t>1. Click on the 3 Black Bars (Hamburger) on the Top Left of the FCD UI_x000D_
2. Search for Legal Entity_x000D_
3. Click on Legal Entity_x000D_
4. Fill in details for name_x000D_
5. Fill in details for country_x000D_
6. Click Save</t>
  </si>
  <si>
    <t>Account Owner</t>
  </si>
  <si>
    <t>BUS -FIS CD -TC-SD-59</t>
  </si>
  <si>
    <t>Delete an Existing Legal Entity in FCD</t>
  </si>
  <si>
    <t>Legal Entity is deleted and is confirmed to no longer show in the Legal Entity tab</t>
  </si>
  <si>
    <t>1. Click on the 3 Black Bars (Hamburger) on the Top Left of the FCD UI_x000D_
2. Search for Legal Entity_x000D_
3. Click on existing Legal Entity so it's highlighted_x000D_
4. Click on Delete</t>
  </si>
  <si>
    <t>BUS -FIS CD -TC-TCG-14</t>
  </si>
  <si>
    <t>Support bulk update of clearing date on CIs</t>
  </si>
  <si>
    <t>Ability to perform bulk updates of the clearing date on clearing instructions.</t>
  </si>
  <si>
    <t xml:space="preserve">Select several CIs under T+n and update the clearing date.
Selected CIs should now be moved from T+n to Top day while the clearing date should now reflect the Top day date.  As a user, I need to be able to perform a bulk update of the clearing date on the clearing instructions in order to move CIs from T+n to top day so those CIs can be used for matching. </t>
  </si>
  <si>
    <t>Adding user info when clearing instruction can not be unmatched due to trade status</t>
  </si>
  <si>
    <t>User message to inform user that some clearing instructions might not be unmatched because they are matched with give up trades is added for bulk unmatch action.</t>
  </si>
  <si>
    <t>202212.0.0</t>
  </si>
  <si>
    <t>1.	Select several CIs under matched tile, where some of them are matched with accepted give-ups. 
2.	Perform unmatch action on selected CIs. 
3.	Validate that the user message "Some selected CIs contained those matched with give-ups and will not be unmatched. 
4.	Pending give-ups will be unmatched automatically upon cancellation confirmed by CCP.
5.	For accepted give-ups please perform reversal from the trade before unmatching. " is displayed as info to the user.</t>
  </si>
  <si>
    <t>BUS -FIS CD -TC-CLR-480</t>
  </si>
  <si>
    <t>Clearing full service trades to Multiple Client Accounts</t>
  </si>
  <si>
    <t>Full Service Allocation:The user must be able to clear full service trades to Multiple Client Accounts</t>
  </si>
  <si>
    <t xml:space="preserve">1. Select Dashboard -&gt; Click on status on ERONXT
2. Select MONEP GLOBEX Trade from Full service unmatched tab -&gt; select Split-&gt; add multiple account under Split tab
3. Check trades cleared at exchange and feed to Back Office System correctly
</t>
  </si>
  <si>
    <t>NVAP GI HouseAccount Split</t>
  </si>
  <si>
    <t>NVAP GI CustomerAccount Split</t>
  </si>
  <si>
    <t>NVAP GI Give-up Split</t>
  </si>
  <si>
    <t>NVAP GI Mixed Split</t>
  </si>
  <si>
    <t>NVAP GI Partial GU clear</t>
  </si>
  <si>
    <t>NVAP GI Partial House Account clear</t>
  </si>
  <si>
    <t>NVAP GI Partial Customer Account clear</t>
  </si>
  <si>
    <t>NVAP GI Partial Give-up Account clear</t>
  </si>
  <si>
    <t>NVAP GI Partial Mixed Account clear</t>
  </si>
  <si>
    <t>NVAP Group Clear Customer Account</t>
  </si>
  <si>
    <t>NVAP FS House Account Split</t>
  </si>
  <si>
    <t>NVAP FS HouseAccount Split</t>
  </si>
  <si>
    <t>NVAP FS CustomerAccount Split</t>
  </si>
  <si>
    <t>NVAP FS Self Give-up Split</t>
  </si>
  <si>
    <t>NVAP FS Mixed Split</t>
  </si>
  <si>
    <t>NVAP FS Partial GU clear</t>
  </si>
  <si>
    <t>NVAP FS Partial House Account clear</t>
  </si>
  <si>
    <t>NVAP FS Partial Customer Account clear</t>
  </si>
  <si>
    <t>NVAP FS Partial Give-up Account clear</t>
  </si>
  <si>
    <t>NVAP FS Partial Mixed Account clear</t>
  </si>
  <si>
    <t>NVAP SLED Trades</t>
  </si>
  <si>
    <t>NVAP Spread Mixed Split Allocate</t>
  </si>
  <si>
    <t xml:space="preserve">Reversing Accepted NVAP Trades by opposite brokers </t>
  </si>
  <si>
    <t xml:space="preserve">FS SLED Clearing Same Account </t>
  </si>
  <si>
    <t xml:space="preserve">FS SLED Clearing Different Account </t>
  </si>
  <si>
    <t xml:space="preserve">SLED GI Clearing Different Account </t>
  </si>
  <si>
    <t>APS Sleds legs separatly</t>
  </si>
  <si>
    <t xml:space="preserve"> Price Change Spot month on SLED</t>
  </si>
  <si>
    <t>Custom/flag match matching criteria's</t>
  </si>
  <si>
    <t>Default/Standard Matching criteria</t>
  </si>
  <si>
    <t>Dynamic Matching Criteria - Set up at client and product level</t>
  </si>
  <si>
    <t>Strategy field -Destination Instructions</t>
  </si>
  <si>
    <t>Allocating using Allocation Strategy - FS Accounts</t>
  </si>
  <si>
    <t>APS grouping Clearing Instructions</t>
  </si>
  <si>
    <t>APS Auto Matching-Enhancement</t>
  </si>
  <si>
    <t xml:space="preserve"> Remove from APS group</t>
  </si>
  <si>
    <t>GI APS Reversals</t>
  </si>
  <si>
    <t>Reverse NVAP GI's</t>
  </si>
  <si>
    <t xml:space="preserve">Allocate Functionality - Allocate a trade to affiliate account </t>
  </si>
  <si>
    <t xml:space="preserve"> Back office feed - Validate key field population of trades imported into back off system</t>
  </si>
  <si>
    <t>Back office feed - Validate trade counts and trade economics loaded from FIS CD into back off system</t>
  </si>
  <si>
    <t>Back office feed from BO to Exchange</t>
  </si>
  <si>
    <t xml:space="preserve">Back office feed from FISCD to BO </t>
  </si>
  <si>
    <t>Displaying Warnings and errors</t>
  </si>
  <si>
    <t>Instructions from Client Front office system</t>
  </si>
  <si>
    <t>Replay clearing instructions from Client Front office system</t>
  </si>
  <si>
    <t>Validate Trade / Clearing Instruction Tile counts and middle panel totals</t>
  </si>
  <si>
    <t>Ability to clear full service trades under indirect membership</t>
  </si>
  <si>
    <t>Ability to clear give in trades under indirect membership</t>
  </si>
  <si>
    <t>Ability to give up trades from indirect membership</t>
  </si>
  <si>
    <t>Ability to unmatch under indirect membership</t>
  </si>
  <si>
    <t>Ability to clear full service trades under direct membership</t>
  </si>
  <si>
    <t>Ability to clear give in trades under direct membership</t>
  </si>
  <si>
    <t>Ability to give up trades from direct membership</t>
  </si>
  <si>
    <t>Ability to unmatch under direct membership</t>
  </si>
  <si>
    <t>Allocate Multiple Full Service trades to a single House Account</t>
  </si>
  <si>
    <t>Daily prompt structure on options</t>
  </si>
  <si>
    <t>TA Indicator’s on 576 trades for commission</t>
  </si>
  <si>
    <t>CMTA Trades</t>
  </si>
  <si>
    <t xml:space="preserve"> Account level static set ups by Exchange</t>
  </si>
  <si>
    <t xml:space="preserve">Test of Reg reporting fields </t>
  </si>
  <si>
    <t>Running the 1250 comparison file on all fields population</t>
  </si>
  <si>
    <t xml:space="preserve">Test of give-in CI split trade matching - client file of all give-ins loaded as CI </t>
  </si>
  <si>
    <t xml:space="preserve">Test of Commission/Comment Codes- automated CI </t>
  </si>
  <si>
    <t>Test of Commission/Comment Codes- BPMR give-in</t>
  </si>
  <si>
    <t>Test of Commission/Comment Codes- manual allocation</t>
  </si>
  <si>
    <t>Test of fix tag 1031</t>
  </si>
  <si>
    <t>Non-connected - Test of Broker file load to FCD from Front Office System</t>
  </si>
  <si>
    <t>Non-connected - Test of BPMR rules to match broker file from Front Office System</t>
  </si>
  <si>
    <t xml:space="preserve"> Create CI with split across more than 24 internal split accounts</t>
  </si>
  <si>
    <t>Check LME forward prompt date trades</t>
  </si>
  <si>
    <t>Split Allocate Cleared Trade</t>
  </si>
  <si>
    <t>Allocating Give in trades</t>
  </si>
  <si>
    <t>Checking Trade Counts</t>
  </si>
  <si>
    <t xml:space="preserve">Bulk Update Account  in CI </t>
  </si>
  <si>
    <t>Error Checking Comment code in CI</t>
  </si>
  <si>
    <t xml:space="preserve">Editing the account on Split Trades </t>
  </si>
  <si>
    <t xml:space="preserve">Automatching Split CI having options instrument </t>
  </si>
  <si>
    <t>Bulk edit of Counterparty</t>
  </si>
  <si>
    <t>Reallocation of accepted give-up</t>
  </si>
  <si>
    <t>Non-connected - Test of t+n reversals</t>
  </si>
  <si>
    <t>Non-connected - Test of unmatch &amp; reallocate</t>
  </si>
  <si>
    <t>Non-connected - Test of House CI</t>
  </si>
  <si>
    <t xml:space="preserve">Non-connected - Test of  updating CIs </t>
  </si>
  <si>
    <t xml:space="preserve">Non-connected - Test of matching CI </t>
  </si>
  <si>
    <t xml:space="preserve">Trade monitoring flag </t>
  </si>
  <si>
    <t>EFS  trade</t>
  </si>
  <si>
    <t>EFM  trade</t>
  </si>
  <si>
    <t>EFP Spread  trade</t>
  </si>
  <si>
    <t>BLK Spread  trade</t>
  </si>
  <si>
    <t>EBF   trade</t>
  </si>
  <si>
    <t>MK   trade type</t>
  </si>
  <si>
    <t>Total Return Future (traded at Index close)</t>
  </si>
  <si>
    <t xml:space="preserve">Bulk un-match for Clearing Reversal </t>
  </si>
  <si>
    <t xml:space="preserve">Use Left panel to filter by each column </t>
  </si>
  <si>
    <t>Partially/Fully unmatch split customer allocation and re-clear after account modification.</t>
  </si>
  <si>
    <t xml:space="preserve"> Partially/Fully unmatch split customer allocation to give-in trade and re-clear after account modification.</t>
  </si>
  <si>
    <t>Partially/Fully unmatch split give up allocation and re-clear after destination account modification.</t>
  </si>
  <si>
    <t>Partially/Fully unmatch mix split  allocation and re-clear after cust account &amp; destination account modification.</t>
  </si>
  <si>
    <t>Unmatch a trade fully allocated to cust account and re-clear after modifying the allocation to mix split.</t>
  </si>
  <si>
    <t>New Off Exchange APS Wizard and Flow creation</t>
  </si>
  <si>
    <t>Manual Register - CI with split allocation</t>
  </si>
  <si>
    <t>Average multiple FS trades to new APS group using APS BPMR</t>
  </si>
  <si>
    <t>Average multiple FS trades to existing APS group using APS BPMR</t>
  </si>
  <si>
    <t>Average multiple Give-in trades to new APS group using APS BPMR</t>
  </si>
  <si>
    <t>Average multiple Give-in trades to existing APS group using APS BPMR</t>
  </si>
  <si>
    <t>Auto Average upon Execution Trades</t>
  </si>
  <si>
    <t xml:space="preserve">Clearing GUI  - APS Creation </t>
  </si>
  <si>
    <t>NVAP Manual Grouping</t>
  </si>
  <si>
    <t>Manually average multiple FS trades to new NVAP group</t>
  </si>
  <si>
    <t>Manually average multiple FS trades to existing NVAP group</t>
  </si>
  <si>
    <t>Manually average multiple Give-in trades to new NVAP group</t>
  </si>
  <si>
    <t>Manually average multiple Give-in trades to existing NVAP group</t>
  </si>
  <si>
    <t>Manually average multiple Give-in trades and FS trades for APS</t>
  </si>
  <si>
    <t>Average multiple FS trades to new NVAP group using NVAP BPMR</t>
  </si>
  <si>
    <t>Average multiple FS trades to existing NVAP group using NVAP BPMR</t>
  </si>
  <si>
    <t>Average multiple Give-in trades to new NVAP group using NVAP BPMR</t>
  </si>
  <si>
    <t>Average multiple Give-in trades to existing NVAP group using NVAP BPMR</t>
  </si>
  <si>
    <t>Average multiple Give-in trades and FS trades using NVAP Group BPMR</t>
  </si>
  <si>
    <t>NVAP GI House Account Clear</t>
  </si>
  <si>
    <t>NVAP GI Customer Account Clear</t>
  </si>
  <si>
    <t>NVAP GI Clear DifferentBroker</t>
  </si>
  <si>
    <t>Integration &amp; Back Office - Conversion Process - Conversion of CV BPMR</t>
  </si>
  <si>
    <t xml:space="preserve">Creating a BPMR </t>
  </si>
  <si>
    <t xml:space="preserve">Using BPMR to create an APS group </t>
  </si>
  <si>
    <t xml:space="preserve">Using BPMR to create an Mark as GU group </t>
  </si>
  <si>
    <t>Using BPMR to Mark trades as a Give-Up</t>
  </si>
  <si>
    <t>Delete Destination Instruction</t>
  </si>
  <si>
    <t xml:space="preserve">Review Audit Trail - Destination Instruction - </t>
  </si>
  <si>
    <t xml:space="preserve">Review Audit Trail- Account </t>
  </si>
  <si>
    <t>Ability to search by Description - Accounts</t>
  </si>
  <si>
    <t>Adding Account Alias</t>
  </si>
  <si>
    <t>Updating Account Alias</t>
  </si>
  <si>
    <t>Deleting Account Alias</t>
  </si>
  <si>
    <t xml:space="preserve">Add a new ETD Instrument </t>
  </si>
  <si>
    <t>Update existing ETD Instrument</t>
  </si>
  <si>
    <t>Delete an existing ETD Instrument</t>
  </si>
  <si>
    <t>Adding Contract Alias</t>
  </si>
  <si>
    <t>Updating Contract Alias</t>
  </si>
  <si>
    <t>Deleting Contract Alias</t>
  </si>
  <si>
    <t>Static Data- Add Member Alias</t>
  </si>
  <si>
    <t>Static Data- Update Member Alias</t>
  </si>
  <si>
    <t>Static Data- Delete Member Alias</t>
  </si>
  <si>
    <t>Static Data - Add  Source Alias</t>
  </si>
  <si>
    <t>Static Data - Update Source and Source Alias</t>
  </si>
  <si>
    <t>Static Data - Delete Source and Source Alias</t>
  </si>
  <si>
    <t>ETD Instruments - Filter options</t>
  </si>
  <si>
    <t>Bulk Static Insert - Accounts - Import File</t>
  </si>
  <si>
    <t xml:space="preserve"> Bulk Static Insert - Accounts - Paste from Clipboard</t>
  </si>
  <si>
    <t>Bulk Static Deactivate - Accounts</t>
  </si>
  <si>
    <t>Bulk Static Update - Accounts</t>
  </si>
  <si>
    <t>Allocating to multiple Processing firms -Affiliate Firm accounts</t>
  </si>
  <si>
    <t>Bulk update of Exchange on counterparty accounts</t>
  </si>
  <si>
    <t>Deletion of BPMR &amp; Destination Instruction Simultaneously</t>
  </si>
  <si>
    <t>Deletion of BPMR &amp; Account Simultaneously</t>
  </si>
  <si>
    <t xml:space="preserve">1. Trade Management
2. Trade Clearing
3. Click on  Trade / CI Unmatched tile
4. Select a Trade for a WAIT / Holding account with no associated CI
5. New Clearing Instruction
6. CI should be created with details copied into the right hand panel
7. Save
8. CI should now be visible in the Trade / Ci Unmatched tile with details of original trade
</t>
  </si>
  <si>
    <t xml:space="preserve">1. Trade Management
2. Trade Clearing
3. Click on  FS Unmatched
4. Select a Trade
5. New Clearing Instruction
6. CI should be created with details copied into the right hand panel                         
7. Edit account or destination instruction in right hand panel
8. Save                                                                          
9. CI should now auto-match with trade and go into Cleared, GU Accepted or GU Pending tile depending on type of account used                                                                                                 
</t>
  </si>
  <si>
    <t xml:space="preserve">1.Trade Clearing
2.Unmatched CIs
3.Select a CI
4.Click Edit
5.Adjust Account/Destination Instruction
6.Save
7.Make sure CI updated
</t>
  </si>
  <si>
    <t xml:space="preserve">1.Trade Clearing
2. Unmatched Trades
3. Select Trade
4. Click Split button
5.Click on Import from file 
6. Click on Drag &amp; Drop / Choose a file and upload the standardized excel template file from your saved location
7.Click Save and you should receive a green message of action completed with splits viewable in the right hand panel
7.Make sure the trade is properly split per the file in the FS Cleared/Give Up Pending tiles
</t>
  </si>
  <si>
    <t>1.Trade Clearing
2.Go to Clearing Instruction Unmatched tile and select
3.Select CI / CI's you want to delete
4.Click on Delete button                                                                                       5. Hit Yes to confirm delete                                     6. CI / CI's will move from Unmatched CI tile into Deleted CI tile                                                                                         7. Validate CI details appear correctly in Deleted Tile</t>
  </si>
  <si>
    <t>1.Trade Clearing
2.CIs - Unmatched
3.Select CI with multiple accounts
4.Select one allocation
5.Delete
6.Save</t>
  </si>
  <si>
    <t>1.	User should be able to Block/Unblock the Clearing Instruction from work board Middle Panel screen.
2.	Block/Unblock button to be enabled on Trade/CI Unmatched tile and Clearing Instruction Unmatched tile.
3.	User should be able to Block/Unblock multiple CI's.
4.	User should be able to edit the details or delete the blocked CI through API/UI.
5.	Blocked CI's should be reflecting with the blocked Icon ( which is used for trades) in Trade/CI Unmatched Tile and Clearing Instruction Unmatched Tile.
6.	Blocked CI's should have Matching Reason-"Blocked by User" and Matching Status -"BLOCK_STP"</t>
  </si>
  <si>
    <t>1. Trade Management
2. Trade Clearing 
3. Unmatched Trade/CI
4. Select Trade
5. Select Give- Up
6. Input destination Instructions
7. Destination Firm = auto populate
8. Destination Firm Alias = Auto-populate
9. Destination Ref = Auto-populate
10. Validate in FISCD                                                                                                                                      
11. trades should be in GU Pending tab
12. Log into back office systems
13. Validate trades appear as expected</t>
  </si>
  <si>
    <t xml:space="preserve">1.	Referential
2.	Matching Sets
3.	Name = Account Specific Matching
4.	Enable = Yes
5.	Add
6.	Trade - Operator - Clearing Instruction, Save
7.	Direction - Equals - Direction, Save                                                                                                                  
8.	Instrument - Equals - Instrument, Save
9.	Price - Equals - Price, Save
10.	Card # - Contains - %                                                                                                                                                                              
11.	Save                                                                                                                                       </t>
  </si>
  <si>
    <t xml:space="preserve">1. Trade Management
2. Trade Clearing
3. Click on  Trade / CI Unmatched tile
4. Select a Trade
5. New Clearing Instruction
6. CI should be created with details copied into the right hand panel
7. Go to account / or Destination Instruction and choose the reference you want to allocate / give up to 
8. Save
9. CI should now auto-match with trade and go into Cleared, GU Accepted or GU Pending tile depending on type of account used
10. Log into back off system 
11. 
12. Validate trade appears as expected in back off system 
</t>
  </si>
  <si>
    <t>1.	Trade Clearing
2.	Select a CI
3.	APS Wizard
4.	Save and Send Group
5.	Make sure the trades auto-clear with CI                                                                    6. Log into back off system 
7. 
8. Validate trades appear as expected in back off system</t>
  </si>
  <si>
    <t>1.	Trade Clearing
2.	Select a trade
3.	APS Wizard
4.	Save Group
5.	Click on APS Groups Tile
6.	Select your APS
7.	Un-check which trades you want to remove
8.	Save                                                                                                                                                        9.Log into back off system 
10. 
11. Validate trades appears as expected in back off system</t>
  </si>
  <si>
    <t>1.Select a trade
2.Hit APS Wizard
3.Add additional candidates to your APS group
4.Name your APS Group
5.Hit &lt;Save And Send&gt;
6.Go into FS In Progress
7.Select your APS Group Name
8.Select 1 or more of the APS trades and hit &lt;Demerge&gt;
9.Ensure your Group is now dissolved or shows only what lines were left and not demerged</t>
  </si>
  <si>
    <t>1.	Trade Clearing_x000D_
2.	Select a trade from Full Service_x000D_
3.	APS Wizard, Create group, Check NVAP box, select trades_x000D_
4.	Save and send group_x000D_
5.	Click on Full service tab, find trade._x000D_
6.	Click on aps wizard_x000D_
7.	Un-check which trades you want to remove_x000D_
8.	Save  _x000D_
9.     Validate the update in FISCD                                                                                                                                                      .     Log into back off system _x000D_
10.   Validate trades appear as expected in back off system</t>
  </si>
  <si>
    <t>1.	Trade Clearing
2.	FS Unmatched
3.	Select Trade
4.	Allocate
5.	Owner 
6.	Account 
7.	FS Cleared                                                                                                                                8. Log into back off system 
9. 
10. Validate trades appear as expected in back off system</t>
  </si>
  <si>
    <t xml:space="preserve">1.	Go to Task
2.	Look for Task with the status “Cancelled”
3.	Select task and select re-instate
4.	Task will now be in status ”Not started”
5.	User can now action Task again </t>
  </si>
  <si>
    <t xml:space="preserve">1. Trade Management 
2. Select a tile that has more than a 1,000 count
3. Click on that tile
4. In the middle panel in the top left hand corner Select the select all button
5. At the bottom left the Selected entities should be the same total as the tile i.e. if tile showed a 1,200 line count then the selected entities should also show 1,200
6. This proves the screen has over 1,000 records to view
7. If you unSelect the select all box you should be able to use the scroll bar on the right had side of the middle panel to scroll down and review all records
</t>
  </si>
  <si>
    <t>1.	Trade Clearing
2.	FS Unmatched
3.	Select Trade
4.	Allocate
5.	Owner 
6.	Account 
7.	CTI = 2                                                                                                                                8. FS Cleared                                                                                                                                     9. Log into back office systems
10. Validate trades appear as expected</t>
  </si>
  <si>
    <t xml:space="preserve">1. Click on Hamburger ICON
2. Trade Clearing
3. Click on FS Unmatched Tile
4. In the Middle Panel view check if  field ' Counterparty Account Owner' is selected
5. If not in the Middle Panel view click on Columns on right hand side of the panel
6. From the list of available fields Select 'Counterparty Account Owner'
7. This field should now be viewable in Middle Panel       
8. In the Counterparty Account Owner search window type 'xxx'                                                                                                                    
9.  Any trades for those NCM's will now be visible in the middle panel view under 'xxx' </t>
  </si>
  <si>
    <t xml:space="preserve">1. Click on Hamburger ICON
2. Trade Clearing
3. Click on Give In Pending or Give in Cleared Tiles
4. In the Middle Panel views check if  field ' Counterparty Account Owner' is selected
5. If not in the Middle Panel views click on Columns on right hand side of the panel
6. From the list of available fields Select 'Counterparty Account Owner'
7. This field should now be viewable in Middle Panels       
8. In the Counterparty Account Owner search window type 'xxx'                                                                                                                      
9.  Any Pending or Cleared trades for those NCM's will now be visible in the middle panel views under 'xxx' </t>
  </si>
  <si>
    <t>1.	Trade Clearing
2.	FS Unmatched
3.	Select Trade
4.	Allocate
5.	Owner 
6.	Account 
7.	FS Cleared       
8.	 CTI = 4                                                                                                                         
9. Log into back office systems
10. Validate trades appear as expected</t>
  </si>
  <si>
    <t>1. Click on Hamburger ICON
2. Trade Clearing
3. Click on FS Unmatched Tile
4. In the Middle Panel view check if  field ' Counterparty Account Owner' is selected
5. If not in the Middle Panel view click on Columns on right hand side of the panel
6. From the list of available fields Select 'Counterparty Account Owner'
7. This field should now be viewable in Middle Panel       
8. In the Counterparty Account Owner search window type DFW or DGM                                                                                                                     
9.  Any trades for those NCM's will now be visible in the middle panel view under either 'DGM' or 'DFW'</t>
  </si>
  <si>
    <t>1. Go to NCM tab.  2. Trades should be already cleared as read-only NCM are clearing via Bypass Matching Rules only.  3. Under full service “cleared” select a trade, then click “unmatch”.  4. Go to back off system and validate if the trade in question is removed from end account.</t>
  </si>
  <si>
    <t>1. Click on Hamburger ICON
2. Trade Clearing
3. Click on Give In Pending or Give in Cleared Tiles
4. In the Middle Panel views check if  field ' Counterparty Account Owner' is selected
5. If not in the Middle Panel views click on Columns on right hand side of the panel
6. From the list of available fields Select 'Counterparty Account Owner'
7. This field should now be viewable in Middle Panels       
8. In the Counterparty Account Owner search window type DFW or DGM                                                                                                                     
9.  Any Pending or Cleared trades for those NCM's will now be visible in the middle panel views under either 'DGM' or 'DFW'</t>
  </si>
  <si>
    <t xml:space="preserve">1.	Click on Hamburger ICON
2.	Trade Clearing
3.	Give up a trade on NCM 
4.	Once trade is accepted by destination firm 
5.	The GCM side will be mark trade as former/deleted 
6.	Trades should no longer be visible on TCWB
7.	The NCM side should be read only </t>
  </si>
  <si>
    <t xml:space="preserve">1. Ask to execute some trades offered to NCM member.  2. Go to NCM tab.  2. Go to NCM tab.  3. Trades should be already cleared as read-only NCM are clearing via Bypass Matching Rules only.  4. Go to give in “cleared” tile and check if the trades are present.  5. Go to back off system and validate.  6. Go to CCP and validate. </t>
  </si>
  <si>
    <t xml:space="preserve">1. Ask to execute some trades offered to NCM member.  2. Go to NCM tab.  3. Trades should be already cleared as read-only NCM are clearing via Bypass Matching Rules only.  4. Go to give in “cleared” tile and check if the trades are present. 5. Go to back off system and validate.  6. Go to give in “cleared” tile and Select the trade and click “unmatch”.  7. The trade should move from “cleared” to “accepted”.  8. Go to back off system and check if the trade is cancelled from the account. </t>
  </si>
  <si>
    <t>Static steps</t>
  </si>
  <si>
    <t>1. From Hamburger Icon click on Referential and then choose Accounts
2. In top left hand corner expand Search button to open Left hand search panel
3. In Counterparty column  and then apply
4. Choose an Account that has a Counterparty Account of 
5. From Hamburger Icon select Trade Clearing
6. FS Unmatched
7. Filter in Middle Panel on Counterparty Account Owner 
8. Select Trade on IFLL, IFLO or IFLX Exchange
9. Allocate
10. Select account based on step 4 and Apply
11. Trade should hit the Full Service Cleared Tile 
12. Log into back office systems
13. Validate trades appear as expected</t>
  </si>
  <si>
    <t>1. From Hamburger Icon click on Referential and then choose Accounts
2. In top left hand corner expand Search button to open Left hand search panel
3. In Counterparty column type and then apply
4. Choose an Account that has a Counterparty Account of for Indirect
5. From Hamburger Icon select Trade Clearing
6. FS Unmatched
7. Filter in Middle Panel on Counterparty Account Owner 
8. Select Trade on IFLL, IFLX or IFLO Exchange
9. Allocate
10. Select account based on step 4 and Apply
11. Trade should hit the Full Service Cleared Tile 
12. Log into back office systems
13. Validate trades appear as expected
14. Select the Client trade again in the Full Service Cleared Tile
15. Click on the Unmatch button and enter a reason for the Unmatch in the box that comes up and then hit apply
16. Trade should move from the Full Service Cleared Tile to the Full Service Unmatched tile
17. Log into back office systems
18. Validate trades appear as expected</t>
  </si>
  <si>
    <t>1.	In the "Admin Settings" , Select the option "Use alias" as Yes, a drop down with the list of source systems of type "IN" becomes available. user can select as "ETDgateway_*"
2.	Go to account list viewer, select any "ACCOUNT" add alias as TEST1 with source system as "ETDgateway_*".
3.	Test 1
4.	Load a trade for IFEU, select the trade and click on allocate
5.	on the allocate screen, a new field for Alias is available, with default source system as "ETDgateway_*". Account dropdown will will also be available.
6.	add TEST1 in to the alias field- verify if your "ACCOUNT"is populated in the account screen.
7.	Confirm if account drop down is till available for user to change account
8.	Click on acc drop down, change the account
9.	Confirm if the alias field become empty and noting change in the source system field. click allocate
10.	Confirm if the account is allocated.
Same testing needs to be done on the split screen as well.</t>
  </si>
  <si>
    <t>1.	Trade Clearing
2.	FS Unmatched
3.	Filter in Middle Panel on Counterparty Account Owner 
4.	You can use Client account
5.	Select Trade on TBD Exchange
6.	Allocate
7.	Select account based on step 4 and Apply
8.	Trade should hit the Full Service Cleared Tile 
9.	Log into back off system 
10.	Validate trades appear as expected in back off system</t>
  </si>
  <si>
    <t>1.	Trade Clearing
2.	FS Unmatched
3.	Filter in Middle Panel on Counterparty Account Owner 
4.	You can use Client account
5.	Select Trade on TBD Exchange
6.	Allocate
7.	Select account based on step 4 and Apply
8.	Trade should hit the Full Service Cleared Tile 
9.	Log into back off system 
10.	Validate trades appear as expected on back off system Client Account
11.	Select the Client trade again in the Full Service Cleared Tile
12.	Click on the Unmatch button and enter a reason for the Unmatch in the box that comes up and then hit apply
13.	Trade should move from the Full Service Cleared Tile to the Full Service Unmatched tile
14.	Log into back off system 
15.	Trade should now be removed from back off system Client Account</t>
  </si>
  <si>
    <t>1. From Hamburger Icon click on Referential and then choose Accounts
2. In top left hand corner expand Search button to open Left hand search panel
3. In Counterparty column type and then apply
4. Choose an Account that has a Counterparty Account of 'R' for Affiliate
5. From Hamburger Icon select Trade Clearing
6. FS Unmatched
7. Filter in Middle Panel on Counterparty Account Owner 
8. Select Trade on IFLL, IFLX or IFLO Exchange
9. Allocate
10. Select account based on step 4 and Apply
11. Trade should hit the Full Service Cleared Tile 
12. Log into back off system 
13. 
14. Validate trades appear as expected in back off system</t>
  </si>
  <si>
    <t>1. From Hamburger Icon click on Referential and then choose Accounts
2. In top left hand corner expand Search button to open Left hand search panel
3. In Counterparty column type  and then apply
4. Choose an Account that has a Counterparty Account of 'R' for Affiliate i.e. 
5. From Hamburger Icon select Trade Clearing
6. FS Unmatched
7. Filter in Middle Panel on Counterparty Account Owner
8. Select Trade on IFLL, IFLX or IFLO Exchange
9. Allocate
10. Select account based on step 4 and Apply
11. Trade should hit the Full Service Cleared Tile 
12. Log into back off system 
13. 
14. Validate trades appear as expected on back off system Client Account
15. Select the Client trade again in the Full Service Cleared Tile
16. Click on the Unmatch button and enter a reason for the Unmatch in the box that comes up and then hit apply
17. Trade should move from the Full Service Cleared Tile to the Full Service Unmatched tile
18. Log into back off system 
19. 
20. Trade should now be removed from Affiliate Client's back off system Account</t>
  </si>
  <si>
    <t>1.	Trade Clearing
2.	FS Unmatched
3. Filter in Middle Panel on Counterparty Account Owner 
4. If Selecting you can use House account if selecting 
5.	Select Trade on Exchange
6.	Allocate
7.	Select account based on step 4 and Apply                                                                                                                   8. Trade should hit the Full Service Cleared Tile                                                                                                                                    9. Log into back off system 
10. 
11. Validate trades appear as expected in back off system</t>
  </si>
  <si>
    <t>1.	Trade Clearing
2.	FS Unmatched
3. Filter in Middle Panel on Counterparty Account Owner 
4. If Selecting you can use House account
5.	Select Trade on TBD Exchange
6.	Allocate
7.	Select account based on step 4                                                                                                                          8. Trade should hit the Full Service Cleared Tile                                                                                                                                    9. Log into back off system 
10. 
11. Validate trades appear as expected on back off system House Account
12. Select the House trade again in the Full Service Cleared Tile
13. Click on the Unmatch button and enter a reason for the Unmatch in the box that comes up and then hit apply
14. Trade should move from the Full Service Cleared Tile to the Full Service Unmatched tile
15. Log into back off system 
16. 
17. Trade should now be removed from back off system House Account</t>
  </si>
  <si>
    <t>1. 2 testers will need to log into FIS CD UI simultaneously
2. Both testers should go to the FS Unmatched tile and select different trades for different account types - One tester choose one Product i.e. B and another tester another product i.e. T
4. Trades should be Selected at the same time
5. Allocate
6. Testers should choose 2 different Full Service Accounts - One tester a client account and another a House account and hit Apply at the same time
7. Trades should move from Full Service Unmatched to Full Service Cleared Tile
8. Log into back off system 
9. 
10. Validate trade(s) appears as expected in back off system</t>
  </si>
  <si>
    <t>1. 2 testers will need to log into FIS CD UI simultaneously
2. Both testers should go to the FS Unmatched tile and select different trades for different account types - One tester choose one Product i.e. B and another tester another product i.e. T
4. Trades should be Selected at the same time
5. Allocate
6. Testers should choose 2 different Full Service Accounts - One tester a client account and another a House account and hit Apply at the same time
7. Trades should move from Full Service Unmatched to Full Service Cleared Tile
8. Log into back off system 
9. 
10. Validate trade(s) appears as expected in back off system
11. Testers should select their trades again in the Full Service Cleared Tile
12. Click on the Unmatch button and enter a reason for the Unmatch in the box that comes up and then hit apply at the same time
13. Trades should move from the Full Service Cleared Tile to the Full Service Unmatched tile
15. Log into back off system 
16. 
17. Trades should now be removed from the respective back off system accounts</t>
  </si>
  <si>
    <t>1. Go to EUREX I Trades Clearing “unmatched” and select a trade.  2. Click “give up” and choose an ISA account.  3. Trade should move from “unmatched” to give up “pending”.  4. Go to EUREX screen – give in tiles.  5. The trade should be automatically picked up by Bypass Matching Rules and goes from give in “pending” to “cleared” tile.  6. Once the trade is cleared on that exchange, on the other EUREX screen the trade moves from give up “pending” to “accepted”.  7. Go to back off system and validate.  8. Go to the exchange and check if the trade has a correct account type.</t>
  </si>
  <si>
    <t>1. Go to EUREX I Trades Clearing “unmatched” and select a trade.  2. Click “give up” and choose an ISA account clearing. 3. Trade should move from “unmatched” to Give up “pending”.  4. Go to EUREX screen -  give in tiles.  5. The trade should be automatically picked up by Bypass Matching Rules and goes from give in “pending” to “cleared” tile.  6. Once the trade is cleared on, on EUREX screen the trade moves from give up “pending” to “accepted”.  7. Go to back off system and validate.  8. Go to the exchange and check if the trade has a correct account type.  9. Go to EUREX screen – select the trade in give In “cleared” tile and click “unmatch”. 10. The trade should move from “cleared” to “accepted”.  11. Check in back off system if the trade is cancelled from the end account.</t>
  </si>
  <si>
    <t>NB: Executing this case will require co-ordination with Front Office software Team to ensure EOD job is set up
1. Trade Management
2. Trade Clearing 
3. Give Up Pending Tile
4. At EOD at a scheduled time any trades left in Give Up Pending will be automatically sent into the Back Office System Holding Account by Front Office software
5. Confirm with Front Office software Team what time the scheduled job is set to perform this
6. At this time take an extract of the trades that are left in the Top Day Pending Give Up Tile in FIS CD
7. Log into back office systems 
8. Validate that the trades left in the GIve Up Pending Tab have been automatically booked into this account from middle from front office software.</t>
  </si>
  <si>
    <t>Not Delivered for TCWB, check with BO</t>
  </si>
  <si>
    <t>1. Trade Clearing
2. FS Unmatched
3. Filter in Middle Panel on Counterparty Account Owner 
4. Select Trade on the Exchange 
5. Hit Allocate button
6. Select account from Account Dropdown Box in right hand panel and Apply                                                                                                                   7. Trade should hit the Full Service Cleared Tile                                                                                                                                    8. Log into back off system 
9. 
10. Validate trades appear as expected in back off system</t>
  </si>
  <si>
    <t>1. Trade Clearing
2. Give In Pending
3. Filter in Middle Panel on Counterparty Account Owner 
4. Select Trade on the Exchange 
5. Hit Allocate button
6. Select account from Account Dropdown Box in right hand panel and Apply  
7. Trade should hit the Give In Cleared Tile    
8. Log into back off system 
9. 
10. Validate trades appear as expected in back off system</t>
  </si>
  <si>
    <t>1. Trade Management
2. Trade Clearing 
3. Unmatched Trade/CI Tile
4. Filter in Middle Panel on Counterparty Account Owner 
5. Select Trade on the Exchange 
6. Hit Give- Up button
7. In Give Up details select a Destination Instruction from the Destination Instruction dropdown (we should try and use Credit Suisse cleared Destination Instructions in UAT)
8. Destination Firm, Alias and Ref will automatically populate
9. Hit Apply
10. Trade will move into Give Up Pending or Give Up Accepted tile (if claimed by other Firm)                                                                                                                                      
11. Log into back off system 
12. 
13. Validate trades appear as expected in back off system</t>
  </si>
  <si>
    <t>1. Trade Management
2. Trade Clearing
3.Unmatched Trade / CI Tile
4. Filter in Middle Panel on Counterparty Account Owner 
5. Select Trade on the Exchange 
6. Hit Allocate button
7. Select account from Account Dropdown Box in right hand panel and Apply 
8. Trade should hit the Full Service Cleared Tile 
9. Log into back off system 
10. 
11. Validate trades appear as expected on back off system Client Account
12. Select the Client trade again in the Full Service Cleared Tile
13. Click on the Unmatch button and enter a reason for the Unmatch in the box that comes up and then hit Apply
14. Trade should move from the Full Service Cleared Tile to the Full Service Unmatched tile
15. Log into back off system 
16. 
17. Trade should now be removed from FS back off system Account</t>
  </si>
  <si>
    <t>1. Trade Management
2. Trade Clearing 
3. Unmatched Trade/CI Tile
4. Filter in Middle Panel on Counterparty Account Owner 
5. Select Trade on the Exchange  
6. Hit Give- Up button
7. In Give Up details select a Destination Instruction from the Destination Instruction dropdown (we should try and use Credit Suisse cleared Destination Instructions in UAT)
8. Destination Firm, Alias and Ref will automatically populate
9. Hit Apply
10. Trade will move into Give Up Pending or Give Up Accepted tile (if claimed by other Firm)                                                                                                                                      
11. Log into back off system 
12. 
13. Validate trades appear as expected in back off system</t>
  </si>
  <si>
    <t>1. Trade Management
2. Trade Clearing
3.Unmatched Trade / CI Tile
4. Filter in Middle Panel on Counterparty Account Owner 
5. Select Trade on the Exchange   
6. Hit Allocate button
7. Select account from Account Dropdown Box in right hand panel and Apply 
8. Trade should hit the Full Service Cleared Tile 
9. Log into back off system 
10. 
11. Validate trades appear as expected on back off system Client Account
12. Select the Client trade again in the Full Service Cleared Tile
13. Click on the Unmatch button and enter a reason for the Unmatch in the box that comes up and then hit Apply
14. Trade should move from the Full Service Cleared Tile to the Full Service Unmatched tile
15. Log into back off system 
16. 
17. Trade should now be removed from FS back off system Account</t>
  </si>
  <si>
    <t xml:space="preserve">1. Trade Management
2. Trade Clearing
3. Click on  FS Unmatched
4. In Middle Panel click on Columns and select 'Open/Close Indicator'
5. This field will now be viewable in the Middle Panel and display an 'O' for Open
6. Select a Trade
7. Click on New Clearing Instruction button
8. CI should be created with details copied into the right hand panel                         
9. Add a Full Service Account
10. Go down to Open/ Close Indicator and Select 'Close' button
11. Save                                                                          
12. CI should now auto-match with trade and go into FS Cleared tile
13. In FS Cleared Tile follow step 4 to add Open/Close Indicator Column and view trade
14. Trade should be Marked with a 'C' indicating its a Closing Trade
15. Log into back off system 
16. 
17. Validate trade appears as expected in back off system </t>
  </si>
  <si>
    <t>1. Trade Clearing
2. Click on Full Service Unmatched
3. In Middle Panel click on Columns and select 'Open/Close Indicator'
4. Field will now be viewable in the Middle Panel and display an 'O' for Open
5. Select a Trade
6. Click on new Clearing Instruction button
7. CI should be created with details copied in right hand panel
8. Add a Full Service Account from dropdown
9. Go down to 'Open/Close' indicator and Select 'Close' button
10. Save
11. CI should now Auto-match with trade and go into the FS Cleared Tile
12. In FS Cleared Tile follow step 3 to add Column and view trade
13. Trade should be Marked with a 'C' indicating its a Closing trade
14. Check CCP data that the trade has changed on Exchange from 'Open' to 'Close'
15. Go into Matched CI tile and UNMATCH this CI
16. In the Unmatched CI tile double click on CI and right hand panel will open
17. Amend the 'Open/Close' Indicator Field from 'Close' to 'Open' then Save
18. Go into the Trade / CI Unmatched Tile and Force Match the CI and Trade together
19. Trade should go into the FS Cleared Tile and now be amended to 'Open'
20. Check CCP data to ensure the trade has updated from 'Close' to 'Open'</t>
  </si>
  <si>
    <t>1. Trade Clearing
2. FS Unmatched
3. Select Trade
4. Allocate
5. Select
6. Hit Apply                                                                                                                              7. Trade will move into FS Cleared tile                                                                                                                                     8. Log into back off system 
9. 
10. Validate trades appear as expected in back off system</t>
  </si>
  <si>
    <t>1. Trade Clearing
2. FS Unmatched
3. Select Trade
4. Allocate
5. Select Account
6. Hit Apply                                                                                                                              7. Trade will move into FS Cleared tile                                                                                                                                     8. Log into back off system 
9. 
10. Validate trades appear as expected in back off system
11. Select the UK trade again in the Full Service Cleared Tile
12. Click on the Unmatch button and enter a reason for the Unmatch in the box that comes up and then hit apply
13. Trade should move from the Full Service Cleared Tile to the Full Service Unmatched tile
14. Log into back off system 
15. 
16. Trade should now be removed from UK back off system ISA Account</t>
  </si>
  <si>
    <t>1. Go to Give In Pending Tile
2. Select one trade in the middle panel
3. Select Allocate 
4. Once the right panel populates 
5. Allocate account
6. Select apply                                                                                                                                
7. Trade will move to Give in Cleared Tile
8. Log into back off system 
9. 
10. Validate trades appear as expected in back off system</t>
  </si>
  <si>
    <t>1.	Trade Clearing
2.	FS Cleared
3. Filter on Exchange TBD and HFT account for which should be set up to auto clear via Bypass Matching Rules as this client executes directly on Webice and there are no Front End CI's fed into FIS CD</t>
  </si>
  <si>
    <t>1.	Trade Clearing
2.	FS Cleared
3. Filter on Exchange TBD and HFT account which should be set up to auto clear via Bypass Matching Rules as this client executes directly on Webice and there are no Front End CI's fed into FIS CD
4. Log into back off system 
5. 
6. Validate trades appear as expected in back off system</t>
  </si>
  <si>
    <t>1.	Trade Clearing
2.	FS Cleared
3. Filter on Exchange TBD and HFT account which should be set up to auto clear via Bypass Matching Rules as this client executes directly on Webice and there are no Front End CI's fed into FIS CD
4. Log into back off system 
5. 
6. Validate trades appear as expected in back off system
7. Select the trade again in the Full Service Cleared Tile
8. Click on the Unmatch button and enter a reason for the Unmatch in the box that comes up and then hit apply
9. Trade should move from the Full Service Cleared Tile to the Full Service Unmatched tile
10. Log into back off system 
11. 
12. Trade should now be removed from back off system Client Account</t>
  </si>
  <si>
    <t>1. Trade Management
2. Trade Clearing
3. Unmatched Full Service
4. Description 
5. Select them all
6. Allocate
7. Account Owner 
8. Account 
9. Apply
10. Checked the Cleared Full Service Tab for the Trades
11. Done                                                                                                                                 12. Log into back office systems
13. Validate trades appear as expected</t>
  </si>
  <si>
    <t xml:space="preserve">LME Only </t>
  </si>
  <si>
    <t>1.Trade Management
2.Trade Clearing
3.Unmatched Full Service
4.Select Multiple trades with different economic details
5.Select Allocate
6.Input Customer Account 
7.Account Owner will auto-populate
8.Input CTI= H
9.Select Apply
10.Checked the Cleared Full Service Tab for the Trades
11. Log into back office systems
12. Validate trades appear as expected</t>
  </si>
  <si>
    <t>1. Trade Clearing
2. Click on Give In Pending Tile
3. Select Trade
4. Click on Split Button
5. Add quantity for first account
6. Under Allocate Trade Details input the Account
7. Click Add button at bottom left of screen                                                                     8. Repeat steps 5 - 7 until all splits are done and total quantity has been allocated                                                            9. Hit save button on bottom left of screen                                                                        10. Trade will go into Clearing in Progress then into the Cleared Give In tile                                                                           11. Trades will appear as split in this tile                                                                                                                                         12.Log into back off system 
13. 
14. Validate trades appear as expected in back off system with GI broker populated</t>
  </si>
  <si>
    <t>1.	In the "Admin Settings" , Select the option "Use alias" as Yes, a drop down with the list of source systems of type "IN" becomes available. user can select as ETDgateway_** or CV_IN you can create anyone
2.	Go to account list viewer, Select an account, find the alias with source code ETD or CV_IN, add alias as TEST1 with source system as ETDgateway_** OR IN .
3.	Select a trade for Exchange, select the trade and click on allocate
4.	On the allocate screen, a new field for Alias is available, with default source system as ETDgateway_** or use CV_IN. Account dropdown will will also be available.
5.	Add ALIAS in to the alias field- verify if "account" is populated in the account screen.
6.	Confirm if account drop down is till available for user to change account
7.	Click on acct drop down, change the account to "account"
8.	Confirm if the alias field become empty and noting change in the source system field. click allocate
9.	Confirm if the account is allocated.
10.	Same testing needs to be done on the split screen as well.</t>
  </si>
  <si>
    <t>1. Trade Management
2. Trade Clearing 
3. Unmatched Trade/CI
4. Select Trade
5. Split
6. Quantity = 1
7. Give-Up Details
7. Destination Firm = Any Firm
8. Destination Firm Alias = Auto-populate
9. Destination Ref = Clearing Info(Can enter anything for opp firm to receive)
10. Destination Open/Close = Open
11. Quantity = 1
12. Give-Up Details
13. Destination Firm = Any Firm
14. Destination Firm Alias = Auto-populate
15. Destination Ref = Clearing Info(Can enter anything for opp firm to receive)
16. Save
17. Check Full Service In progress or Give Up Pending                                                     18. Log into back office systems
19. Validate trades appear as expected</t>
  </si>
  <si>
    <t>Verify trades are cleared to back off system with correct structure (DD MMM YY) - 1. Trades in FCD are executed with correct prompt date structure (ex: 18 Jun 23), 2. Allocate to internal account,  3. Verify in back off system that trade has cleared with correct prompt date structure</t>
  </si>
  <si>
    <t>Not Delivered</t>
  </si>
  <si>
    <t>1. Trade Management
2. Trade Clearing 
3. Unmatched Trade/CI
4. Select Trade
5. Split
6. Quantity = 1
7. Give-Up Details
7. Destination Firm = Any Firm
8. Destination Firm Alias = Auto-populate
9. Destination Ref = Clearing Info(Can enter anything for opp firm to receive)
10. Destination Open/Close = Open
11. Quantity = 1
12. Give-Up Details
13. Destination Firm = Any Firm
14. Destination Firm Alias = Auto-populate
15. Destination Ref = Clearing Info(Can enter anything for opp firm to receive)
16. Save
17. Check Full Service In progress or Give Up Pending
18. Check Give Up Accepted                                                                                               19. Log into back office systems
20. Validate trades appear as expected</t>
  </si>
  <si>
    <t xml:space="preserve">1. Referential
2. Rule Viewer
3. Select Rule Type = BYPASS_MATCHING
4. Select Bypass Matching Action = Trade CI
5. Select Rule Type = Bypass Matching CI
6.In left hand filter panel select Sending Firm-Name = Credit Suisse International
7. From the list of Full Service accounts set up to clear via Bypass Matching Rules on Exec Account Ref choose one of these Exec Account Refs to test
8. Operations should have access to CSI UAT environment and will need to give up a T+n trade from this Membership to either BCF or BCU (dependent on Full Service Exec Account Ref chosen) with the Exec Account Ref that's set up on the Bypass Matching Rules
9. Once Operations have confirmed this trade is given up in UAT go to Trade Clearing
10.Select T+n Tile view
11. Go to Give In Tiles
12. The trade given up should be sitting in Give Up pending as the Bypass Matching Rules should not have triggered for T+N trades for the selected set up Bypass Matching Rules reference
</t>
  </si>
  <si>
    <t xml:space="preserve">1. Trade Management
2. Trade Clearing 
3. Unmatched Trade/CI
4. Select Trade
5. Select Give Up 
6. Add Give-Up Details
a. Destination Instruction  APSPET
b. Destination Firm 
c. Destination Alias
d. Destination Ref
e. Apply
7. trade goes from in progress to Give up pending 
8.Select Trade
9.Contingency Procedures
10.GiveUp_Rejected
11. Trade moved to Give Up Rejected Tab                                                                
12. Validate trades appear as expected in back off system                                                                    </t>
  </si>
  <si>
    <t>1. Request that give in trades are sent in for an Exec Account Ref that is set up to auto clear via a Bypass Matching Rules in FIS CD
2. Once trades have been sent into FIS CD select Trade Clearing
3. Give In Cleared Tile
4. Look at the Exec Account Reference for the trades that cleared and the Account they will process to in back off system                                                                                      5. Log into back off system 
6. 
7. Validate trades appear as expected in back off system
8. Once trade is confirmed as cleared in back off system request the DTN file to be sent by back off system team
9. Once DTN file is sent, search the file for the respective trades
10. The Exec Account Reference given up on the trades should appear in the PSRCAC field on the DTN file</t>
  </si>
  <si>
    <t>1. Trade Management
2. Trade Clearing
3. Click on on FS Unmatched
4. Select a Trade
5. New Clearing Instruction
6. CI should be created with details copied into the right hand panel                        
7. Edit account or destination instruction in right hand panel
8. In Comment Field add the Client Reference you want to have in the Sungard Value field
9. Save                                                                           
10. CI should now auto-match with trade and go into Cleared, GU Accepted or GU Pending tile depending on type of account used       
11. In the Matched CI tile you should be able to see the reference added in the Comment Field                                                                                          12. Log into back off system 
13. 
14. Validate trade appears as expected in back off system 
15. Once trade is confirmed as cleared in back off system request the DTN file to be sent by back off system team
16. Once DTN file is sent, search the file for the respective trades
17. The Exec Account Reference given up on the trades should appear in the PSRCAC field on the DTN file</t>
  </si>
  <si>
    <t>1. Select Trade
2. Allocate
3. Enter sungard details in comment field on right panel under "other details" apply verify that comment field details appear in sungard field in Back Office System
or
1. go to CI unmatched tab
2. create new clearing instruction
3. enter details in comment field at bottom
4. save
5. force match this CI with trade
6. verify this comment field appears in sungard field in Back Office System</t>
  </si>
  <si>
    <t>Back Office field must be defined inorder to test this.</t>
  </si>
  <si>
    <t>Test of Broker files load to FCD fromFront Office System for all non-connected.
All non-connected Markets list:
ADEX
BMF
LME
MEXDER
SAFEX
TURDEX
WSE
OCC</t>
  </si>
  <si>
    <t xml:space="preserve">1. Trade Management
2. Trade Clearing 
3. Unmatched Trade/CI
4. Select Trade
5. Select Give Up 
6. Add Give-Up Details
a. Destination Instruction  
b. Destination Firm 
c. Destination Alias
d. Destination Ref
e. Apply
7. trade goes from in progress to Give up pending 
8.Select Trade
9.Contingency Procedures
10.GiveUp_Rejected
11. Trade moved to Give Up Rejected Tab
12. Allocate the rejected trade
Account - same account                                                                                                  
13. Validate trades appear as expected in back off system                                                                                                 </t>
  </si>
  <si>
    <t xml:space="preserve">1. Check cleared/accepted tabs for trades cleared with Bypass Matching Rules, 2. Verify in Back Office System </t>
  </si>
  <si>
    <t xml:space="preserve">1.	Select a trade from Unmatched Tile:
2.	Select SPLIT and downloaded template.
3.	Add at least 24 accounts and destination instructions to the template
4.	Paste or import template to split screen 
5.	Once saved Trades will hit FS Cleared, GU Pending and GU Accepted tiles as expected.
6.	Check all trades hit your Back office system </t>
  </si>
  <si>
    <t xml:space="preserve">Allocate a trade of qty 100 to 1 FS account (New CI). Next select the trade in the cleared tile and split into 2 FS account. Trade is properly updated in FISCD. CI is updated to split with correct info. But CI moved to un-matched tile with headers as un-mached but individual record as matched.  </t>
  </si>
  <si>
    <t xml:space="preserve">When a CI matches with multiple trades then multiple audit entry is generated - 1 for each trade. Now after clearing if the comment of CI is edited then only the last cleared Selectet agains the CI is updated with new comment value and henec the update process incorrectly updates BO System. If a CI is updated with comment then all the audit entries associated with all linked trades against the CI should be updated. Test scenario - Import 10 trades of 1 lot each. - Import 1 CI of qty 10. 
- CI of qty 10 matches with 10 trades of qty 1 and gets cleared. 10 audit entry is generated. </t>
  </si>
  <si>
    <t>1.Drop down Hamburger menu &lt;Trade Mgmt&gt; &lt;Trade Clearing&gt; 
2.Select Matched Tile under Clearing Instruction header 
3.Tick relevant Clearing Instruction Hit &lt;Details&gt; Hit &lt;Edit&gt; 
4.Choose Order Reference from drop down list 
5.Type XX within Match  field Hit &lt;Save&gt;</t>
  </si>
  <si>
    <t xml:space="preserve">1. Click on Hamburger ICON
2. Trade Clearing
3. Click on FS Unmatched Tile
4. In the Middle Panel view check if  field ' Counterparty Account Owner' is selected
5. If not in the Middle Panel view click on Columns on right hand side of the panel
6. From the list of available fields Select 'Counterparty Account Owner'
7. This field should now be viewable in Middle Panel       
8. In the Counterparty Account Owner search window type 'QRT' or 'FTB'                                                                                                                    
9.  Any trades for those Trading Members will now be visible in the middle panel view under  'QRT' or 'FTB'      </t>
  </si>
  <si>
    <t xml:space="preserve">1. Click on Hamburger ICON
2. Trade Clearing
3. Click on Give In Pending or GIve in Cleared Tiles
4. In the Middle Panel views check if  field ' Counterparty Account Owner' is selected
5. If not in the Middle Panel views click on Columns on right hand side of the panel
6. From the list of available fields Select 'Counterparty Account Owner'
7. This field should now be viewable in Middle Panels       
8. In the Counterparty Account Owner search window type 'QRT' or 'FTB'                                                                                                                       
9.  Any Penidng or Cleared trades for those Trading Members will now be visible in the middle panel views under  'QRT' or 'FTB'      </t>
  </si>
  <si>
    <t>1.	Select trade in FS unmatched
2.	Select allocate to a FS account
3.	Check the trade in the cleared tile and in back off system  
4.	Once in back off system, go to the cleared tab and select unmatch
5.	the trade will go from cleared, matched to unmatched
6.	once the trade is in the unmatched tile, make sure it is not in back off system  
7.	Log into back off system 
8.	Once removed from back off system, go to the unmatched tile and reallocate it to another FS account, check back off system for the new allocation.</t>
  </si>
  <si>
    <t xml:space="preserve">1.	Select trade in FS unmatched
2.	Select allocate to a FS account -&gt; HOUSE
3.	Check the trade in the cleared tile and in back off system
4.	Once in back off system, go to the cleared tab and select unmatch
5.	The trade will go from cleared, matched to unmatched
6.	Once the trade is in the unmatched tile, make sure it is not in CV_Audit
7.	Log into back off system 
8.	Once removed from back off system, go to the unmatched tile and reallocate it to another FS account (HOUSE), check back off system for the new allocation.
</t>
  </si>
  <si>
    <t>1.	Select trade in FS unmatched
2.	Select give-up and allocate to a destination instruction
3.	Check the trade in the GU Accepted tile and in back off system
4.	Once in back off system, go to the GU Accepted tab and select unmatch
5.	The trade will go from cleared, matched to unmatched
6.	Once the trade is in the unmatched tile, make sure it is not in CV_Audit
7.	Log into back off system 
8.	Once removed from back off system, go to the unmatched tile and reallocate it to another Give-up account (destination instruction), check back off system for the new allocation.</t>
  </si>
  <si>
    <t>1.	Select trade in FS unmatched
2.	Select allocate to a FS account -&gt; Customer
3.	Check the trade in the cleared tile and in back off system
4.	Once in back off system, go to the Cleared tab and select unmatch
5.	The trade will go from cleared, matched to unmatched
6.	Once the trade is in the unmatched tile, make sure it is not in CV_Audit
7.	Log into back off system 
8.	Once removed from back off system, go to the unmatched tile and reallocate it to another Give-up account (destination instruction), check back off system for the new allocation.</t>
  </si>
  <si>
    <t>1.	Select trade in FS unmatched
2.	Select give-up and allocate to a destination instruction
3.	Check the trade in the GU Accepted tile and in back off system
4.	Once in back off system, go to the Cleared tab and select unmatch
5.	The trade will go from cleared, matched to unmatched
6.	Once the trade is in the unmatched tile, make sure it is not in CV_Audit
7.	Log into back off system 
8.	Once removed from back off system, go to the unmatched tile and reallocate it to FS Customer Account, check back off system for the new allocation.</t>
  </si>
  <si>
    <t xml:space="preserve">1. Create Bypass Matching Rules using CCP as ICEEU, Exchange IFEU and DI- "DI1-ICEEU_IFEU". User should be able to save the rule for below cases -
◦Create a Bypass Matching Rules using CCP and Exchange attributes in the conditions.
◦Create a Bypass Matching Rules using only Exchange attribute in the condition.
◦Create a Bypass Matching Rules using only CCP attribute in the condition
◦Remove the CCP and Exchange condition from the rule set.
◦Create a Bypass Matching Rules without using CCP and Exchange attribute.
2. Create Bypass Matching Rules using CCP as ECAG, Exchange as XEUR and DI- "DI1-ICEEU_IFEU". User should not be able to save the rule for below cases -	*
◦Create a Bypass Matching Rules using Exchange as XEUR
◦Create a Bypass Matching Rules using CCP as ECAG
3. Create Bypass Matching Rules using only CCP, user should be able to save the rule with DI -"DI1-ICEEU_IFEU" and "DI2-ICEEU" 
 4. Create a Bypass Matching Rules using exchange as IFLO, user should be able to save the rule with DI - "DI3-ICEEU_IFLO" and should get error message for other DI's. </t>
  </si>
  <si>
    <t>1) Clearing Account Ref.' should display the 'Clearing Account Ref.' attribute of the CI in the 'Details' panel (left-hand panel).
     Currently, it is wrongly displaying the Clearing Account Ref from the Account!
2) Make 'Clearing Account Ref.' editable in the 'Details' panel (left-hand panel).
    Clearing Account Ref value must be in upper case (in the Details panel and on the request)</t>
  </si>
  <si>
    <t>User should be able to create the Bypass Matching Rules with by pass action as Allocate or Give-Up.
User should not be able to create Bypass Matching Rules for bypass action other than Allocate and Give-Up and error message should pop up.
Trades should hit the Bypass Matching Rules as per the conditions defined in the rule for By-pass action Allocate/Give-Up and a New Regular Clearing Instruction should be created.
CI's should not be generated for bypass action other than Allocate/Give-Up.
Rules wont be saved for bypass action other than Allocate/Give Up if new flag is true
Validation of newly created CI:
Ensure the newly created matched CI should be visible in the Matching View
Ensure the "Match ID" is copied from the Trade and user is able to edit the Match ID post clearing in the CI.
Matching Reason should be Automatic.
Audit trail of the CI should be reflecting creation source as "Created from Bypass Matching Rule"
User should be able to Split/Allocate/Give-Up the CI.
Matching Reason will be Bypass
Un-matching of the CI:
Un-matching from Trade or CI and CI should get Blocked after Un-matching with the Block Icon.
Ensure CI is not deleted after Un-matching.
Blocked CI should get unblocked through UI/API.
Manual edit is possible on Blocked CI and should get Unblocked.
CI to be auto-match with any other available matching trade after Unblocking from API/UI.
Block/Unblock CI should be available in Matching Wizard and force matching can be possible.
Batch matching/Resubmit for matching should be possible on single Bulk CI's.
User should able to "Create Matching Trade" from the CI.
User should be able to Block/Unblock the CI through UI/API.</t>
  </si>
  <si>
    <t>1. Trade Management
2. Trade Clearing 
3. Unmatched Trade/CI
4. Select Trade
5. Split
6. Quantity = 1
7. Give-Up Details
7. Destination Firm = Any Firm
8. Destination Firm Alias = Auto-populate
9. Destination Ref = Clearing Info(Can enter anything for opp firm to receive)
10. Destination Open/Close = Open
11. Quantity = 1
12. Allocate Trade Details
13. Account = Any Account
14. Save
15. Check Full Service Cleared and Give Up Pending                                                    16. Log into back off system 
17. 
18. Validate trades appear as expected in back off system</t>
  </si>
  <si>
    <t>1.	Trade Clearing
2.	FS Unmatched
3.	Select Trade
4.	Give Up
5.	Destination Ref – P70621
6.	Give Up Pending
7.	Unmatch
8.	Check if the trade pulls back, it may get stuck in Matched but should go to FS Unmatched                                                                                                      9. Log into back off system 
10. 
11. Validate trades appear as expected in back off system</t>
  </si>
  <si>
    <t>Insert several unmatched CI's and some CI's with Holding account.
Go to TCWB middle panel on tiles CI Unmatched and Trade/CI Holding and check if Allocate button is available when CI is selected.
Perform action and check if everything is done as expected.</t>
  </si>
  <si>
    <t>1. Trade Clearing
2. Give-In Accepted Tile
3. Select Trade and select the split option to to allocate to 2 or more customer accounts (Ideally 4)
4. Trade will go into Cleared Give In tile and CI to matched tile
5. Log into Back Office System and validate the trades are in Back Office System
6. Go the Clearing Instruction - matched tile and select the CI that has been used for matching.
7. Select 1 or more split allocations and press unmatch.
8. After successful operation -&gt; CI should move to unmatched tile.
9. Verify the allocation details are deleted from Back Office System.
10. Re-allocate the unmatched allocations to different customer account.
11. After matching between CI and trade verify the new allocation details are in Back Office System</t>
  </si>
  <si>
    <t>Flow :
User is selecting a Cleared trade from the Trade List viewer
A new option will be available under the "Clearing" option to open the Off-Exchange APS wizard screen (new screen)
A list of candidates trades having the same key attributes (same as on-Exchange APS criteria with the addition of the account) than the selected transaction will be displayed in the grid
Once all trades selected, two options will be available : "Save" or "Merge"
Once the Merge option will be selected, two trades will be created:
Closing leg : Trade created in the same account (but with a reverse Buy/Sell) than the original trades and automatically cleared, having the total Quantity and True average price populated
Reopening leg : Trade created uncleared, having the total Quantity and True average price populated
Reverse option will be implemented</t>
  </si>
  <si>
    <t>1.	The CI received with @APSInd set to 7 should be used to match with the Reopening APS Trade "OR".
2.	True Price is considered in the CI price. It should match the Reopening Trade Price.
3.	If a Group Name is received in the CI, then it should match the Reopening Trade Group Name.
4.	If a Group Name is not received in the CI, then it should not be considered as part of the matching criteria.
5.	The CI received with @APSInd set to 7 can be a Full clearing CI For both cases. Trade should be fully cleared on the account specified in the CI.</t>
  </si>
  <si>
    <t>Upon enabling the exchange feature "ALWAYS_CREATE_CLEARING_INSTRUCTION" for any specific CCP.   Insert few Trades and Allocate them selecting single trade and multiple trades
Regular Clearing instruction should be created and Trade and CI should get auto-matched and should get cleared.
The Matching reason should be "Forced Matched"
After clearing, Unmatched the trade or the CI, ensure Trade and CI are in Unmatched tile and CI should be in Blocked status.
Perform the above test using Give-Up button, Trades and CI should get auto-matched and request should be sent to CCP for clearing.
If user tries to Allocate/Give-Up from right hand panel, system should not create regular clearing instruction.
Above testing for Allocate/Give-Up should be perform from Trade list viewer as well
Disable "Bypass Matching Rules_ALWAYS_CREATE_CLEARING_INSTRUCTION" for CCP "?"
Once the rule is disable and user tries to Allocate/Give-Up trades for "?", regular CI should not be created.</t>
  </si>
  <si>
    <t>Create Bypass Matching Rules with Create Clearing Instruction as YES for by pass action- Allocate, Give-Up and Not to Match for regular as well a NCM trades (for NCM only Not-To Match action is valid).
Insert regular as well as RO NCM trades and once they are matched/cleared, delete the trades and ensure the CI's are also deleted.
Enable the exchange feature "ALWAYS_CREATE_CLEARING_INSTUCTION" and allocate and give-up any unmatched trade. Once the regular CI is created, delete the trade and ensure the CI should not be deleted as the matching reason is Forced Matched and it is allocated from UI.
The CI should not be deleted when the CCP response message has transtype = 2 and Former Ind = Y( group management give-ups scenario to be tested)</t>
  </si>
  <si>
    <t>1. Trade Clearing
2. Trade/CI T+N Unmatched 
3. Select Trade with sending firm-give-in only
4. APS Wizard
5. Select which trades you want and label Group name
6. Save Group or Save/Send to CCP
7. If you just saved the Group, then go to APS Groups and send to CCP
8. Make sure group goes to CCP (Merged tile)                                                              
9. Log into back off system 
10. Validate trades appear as expected in back off system</t>
  </si>
  <si>
    <t>Clearing request will be sent to CCP, when a trade is matched to a Holding Account via by pass matching rule and user change the account from Holding Account to Clearing Account by editing the Clearing Instruction.  Steps to replicate:
Trade is inserted into system and hits Bypass Matching Rules to allocate it on Holding Account. Ci is created.
User edits CI to change Holding Account to Clearing Account.
Expected result: Clearing Request should be sent and Trade should be cleared to Clearing Account.</t>
  </si>
  <si>
    <t>1. Trade Clearing
2. Unmatched CI
3. Choose a CI without an error having split allocated to customer account &amp; destination instruction
4. Create Matching Trade
5. Check FS Cleared or GU accepted
6. Log into Back Off System 
7. Validate trades appear as expected</t>
  </si>
  <si>
    <t xml:space="preserve">1.	Trade Clearing Screen
2.	Trade/CI Unmatched
3.	Select one trade
4.	Select APS wizard
5.	See trades with the same economic details on the right panel
6.	Create the APS Group 
a.	NEW22
7.	Save Group- Saves group on FIS CD ONLY 
8.	Save and Send- Saves group and sends to the CCP
9.	Refresh screen (F5)
10.	You will see this trade on the Trade/CI Unmatched screen 
</t>
  </si>
  <si>
    <t>1.	Trade Clearing Screen
2.	Trade/CI Unmatched
3.	Find Previous APS and its economic details on the middle panel
4.	Select one trade similar to the APS 
5.	Select APS wizard
6.	See trades with the same economic details on the right panel
7.	Send to same the APS Group 
a.	NEW22
8.	Save Group- Saves group on FIS CD ONLY 
9.	Save and Send- Saves group and sends to the CCP
10.	Refresh screen (F5)
11.	You will see your new trade on the Trade/CI Unmatched screen 
12. Log into back off system 
13. Validate trades appear as expected in back off system</t>
  </si>
  <si>
    <t>1. Trade Clearing
2. Trade/CI Unmatched
3. Select Trade
4. APS Wizard
5. Select which trades you want and label Group name
6. Save Group 
7. Group should move to APS Group
8. Go back to FS/CI Unmatched
9. Select a trade that is already part of the APS
10. APS Wizard
11. Now you will see your already grouped trades and others(if there are any), all highlighted orange. 
12. Click the box in the middle left corner, this will dis-select any trades not part of the original group. Now you can just Select the trades you want added to the original group. 
13. Save Group
14. Please note all trades will remain in the Unmatched screen unadjusted until you send the trade to the CCP
15. Select the group and submit to CCP
16. Make sure it appears in Unmatched and everything looks good then allocate and trade will move to cleared                                     17. Log into back off system 
18. 
19. Validate trades appear as expected in back off system</t>
  </si>
  <si>
    <t>1.Trade Management
2.Matching Rues
3.Select Rule Type= Bypass Matching
4.Select Bypass Matching Action = Trade CI
5.Select Rule Set = Bypass Matching CI
6.Select New
7.CCP Name=
8.Trade Exec Account Ref is = "TEST"
9.Product NAME 
10.Bypass Action = ADD_TO_APS_GROUP
11.Group Name = "TEST1"
12.SAVE.
13.Go to GI Pending
14.Find 1 Trade with Exec Account Ref = TEST and Contract = ED
15.Select Trades
16.Select "Resubmit for matching"
17.Trades should return to Unmatched screen with Group Indicator "A"</t>
  </si>
  <si>
    <t xml:space="preserve">1. Create NAVP Matching Rule based off the account of many trades 
2.	Select Matching Rules
3.	Select Rule Type=BYPASS_MATCHING
4.	Select Bypass Matching Action=TRADE CI
5.	Select Rule Set=Bypass Matching CI
6.	Select New 
7.	Condition CCP
8.	Trade-&gt;Give in Indicator is 
9.	Account 
10.	Bypass action=Add to NAVP Group 
11.	Allocate
12.	Group name=TESTAA
13.	Go to GI Pending
14.	Select NAVP Trade with Group Indicator "N"
15.	Select Resubmit for matching
16.	Select More trades that meets the Bypass Matching Rules requirements 
17.   Select Resubmit for matching
17.	The quantity has now increased
</t>
  </si>
  <si>
    <t xml:space="preserve">1.	Referential
2.	Matching Sets
3.	Name = Account Specific Matching
4.	Enable = Yes
5.	Add
6.	Trade - Operator - Clearing Instruction, Save
7.	Direction - Equals - Direction, Save                                                                                                                      
8.	Instrument - Equals - Instrument, Save
9.	Price - Equals - Price, Save
10.	 Exec Account Ref - Contains -                                                                              
11.	Account - Contains -                                                                                           
12.	Save                                                                                                                                                      </t>
  </si>
  <si>
    <t>1.	Create a Destination Instruction.  
2.	Select “Cross Exchange Give Up”-Yes
3.	Choose the name of the Destination Firm at that exchange
4.	Select the Destination Firm Alias on that exchange as well
5.	Make sure the Aliases are set up in order for them to feed Back office system correctly</t>
  </si>
  <si>
    <t xml:space="preserve">1. Go to Matching Rules
2. Select Rule Type: BYPASS_MATCHING
3. Select Bypass Matching Action: TRADE CI
4. Select Rule Set: BYPASS MATCHING CI
5. Select New
6. Enter Conditions:
7. CCP: 
8. Execution Account Ref: Test Account
9. Bypass Strategy Instruction
10. Bypass Action: ADD_TO_GROUP
11. Destination Instruction: Choose any 
12. Create a Group Name: 
13. Save
</t>
  </si>
  <si>
    <t xml:space="preserve">1. Hamburger ICON                                               
2. Referential
3.Destination Instruction 
4. Click on Search on left hand column
5. In Left hand Panel input the account you want to review in name Field and hit Apply button
6. The Account should appear in the right hand panel
7. Highlight the account in right hand panel and click View Audit Trail Button                                                       8. Audit Trail Should be available on Account Properties, Clearing Details and Aliases Tab                       9. Click on various tabs to validate Audit Trail                                                              10. Audit Trail should show the User, Action, Date etc.             </t>
  </si>
  <si>
    <t xml:space="preserve">1.	Select Destination Instructions
2.	Select the gray “Search” Tab on the left side of the screen
3.	Input any alpha or numerical combination in the Description field
4.	Search by the client’s name 
5.	Select apply </t>
  </si>
  <si>
    <t xml:space="preserve">
1.	Referential
2.	Other Referential
3.	Trade Type
4.	New
5.	Name
6.	RTP
7.	Description
8.	Research Triangle Park
9.	Owner
10.	Client
11.	Aliases
12.	Add
13.	Code
14.	5003
15.	Name
16.	TrdTyp
17.	ICEUS~
18.	Client
19.	Save alias
20.	Save Trade Type</t>
  </si>
  <si>
    <t>Delete Result
Cannot delete any Source Alias with cleared trades.
1. Referential
2. Source System
3. Name =  Test2
4. Select Delete</t>
  </si>
  <si>
    <t>1. From Hamburger Menu choose Referential
2. Then click on Rule Viewer
3. In Select Rule Type choose BYPASS_MATCHING
4. In Select Bypass Matching Action choose Trade CI 
5. In Select Rule Set choose Self Executed and Give in Bypass
6. Click on Bulk Insert Button
7. From Hamburger Icon in left hand corner select Sample Template
8. Open excel spreadsheet in bottom left hand corner
9. Add your Bypass Matching Rule details to be inserted into the template 
10. Once complete select data and do Ctrl C
11. Select Paste from Clipboard
12. Then paste excel accounts you want to insert into the screen
13. Status should show as Valid when loaded and highlighted in Green 
14. Click on Create Rules button
15. Go back to Rule Viewer Screen
16. Bypass Matching Rules will now be loaded in FIS CD</t>
  </si>
  <si>
    <t>1. From Hamburger Menu choose Referential
2. Then click on Rule Viewer
3. In Select Rule Type choose BYPASS_MATCHING
4. In Select Bypass Matching Action choose Trade CI 
5. In Select Rule Set choose Self Executed and Give in Bypass
6. Click on Bulk Insert Button
7. From Hamburger Icon in left hand corner select Sample Template
8. Open excel spreadsheet in bottom left hand corner
9. Add your Bypass Matching Rule details to be inserted into the template 
10. Save file to a local location
11.Click on Import file
12. Select Drag &amp; Drop / Choose a file
13. Click on file to load from selected location
14. Status should show as Valid when loaded and highlighted in Green 
15. Click on Create Rules button
16. Go back to Rule Viewer Screen
17. Bypass Matching Rules will now be loaded in FIS CD</t>
  </si>
  <si>
    <t>1. From Hamburger Menu choose Referential                                                                          2. Then click on Rule Viewer
3. Select Rule Type 'BYPASS_MATCHING' from the list
4. Select Bypass Matching Action 'Trade CI'
5. Select Rule Set 'Self Executed and Give-In Bypass'
6. You can further filter based on Account, Destination Instruction, Sending Firm etc. 
7. Once filtered highlight the lines in the middle panel you want to deactivate                                                               8. Click on Disable button                                                         9. A pop up message will appear and you can click 'Yes' to proceed                                       
10. A message will appear confirming Bypass Matching Rules have been disabled and the Rules will now appear with Status 'Disabled'                                                                                                                                ****** If you want to reverse what you did you can highlight the Rules and hit the 'Enable' button which will enable the rules again</t>
  </si>
  <si>
    <t>Trade Management
Clearing setup
Matching rules
Select Rule type - BYPASS_MATCHING
Select bypass matching option - Trade CI
Status - Enabled
select multiple/bulk matching rules
Click on Edit
Amend and save</t>
  </si>
  <si>
    <t>1.	Go to Upper left-hand corner                                                                              
2.	Select the hamburger menu                                                                                       
3.	Type in "Accounts" in the search bar                                                                      
4.	Make sure all accounts are in alignment with our current CV set up                            
5.	Go to Upper left-hand corner                                                                             
6.	Select the hamburger menu                                                                                   
7.	Type "destination instructions"                                                                        
8.	Make sure all give up accounts are in alignment with our current CV set up</t>
  </si>
  <si>
    <t>1.	From the Accounts tab, select account
2.	Click on Bulk Edit, and from Change Counterparty Account drop down select -Add
3.	Select the counterparty acct
4.	The Exchange drop down should be reflecting valid exchanges for CCP 
5.	User should be able to select the valid exchange and save the details.
6.	Exchange details should be visible in the Exchange column of Account list viewer.</t>
  </si>
  <si>
    <t>On the DEFAULT account Select checkbox 'Use Trade Account Ref' on CCP relationship with H CCP account
Upload Instrument, Trade (24 parameter = 'TEST_ACC_REF') and CI (24 parameter outside Alloc block = 'TEST_ACC_REF', without 24 parameter inside Alloc block) from the attached file. Check if Trade and CI are matched and request for clearing is sent to CCP
Log into Active MQ and check if there is no 24 attribute on the CCP request
Clear the trade using Contingency Procedure or CCP response from the attached file
Check if Account Reference on cleared trade has 'TEST_ACC_REF' value</t>
  </si>
  <si>
    <t>1. Go to Accounts or Destination Instructions choose one that is not associated with the CCP you plan to use
2. Go to Matching Rules    
3. Select New
4. Input the CCP
5. Input the Execution account Ref
6. Input “Bypass Action”
7. Select Allocate or GU
8. Input an account or DI that is not associated with that CCP
9. You should receive a WARNING Message: The account is not valid for CCP
10. Select “Yes” to save a bad Bypass Matching Rules or “NO” to choose another account.</t>
  </si>
  <si>
    <t>1. Insert two Trades and a CI for IFEU(any exchange which is not part of CMECL CCP) and XCEC (or any exchange of CMECL) - Ensure the radio button for "Cross Exchange Give-Up" is not visible on impacted screens for Trade and CI.
2. Insert a Trade and a CI for XCME - Ensure the radio button for "cross exchange Give-Up" is visible in the UI on impacted screens and user should be able to use the functionality and perform the clearing.</t>
  </si>
  <si>
    <t>User should be able to create and save the rules with Bypass Action as "Not to Match" and Create Clearing Instruction as YES along with other bypass action which are already supported-Allocate/Give-Up for NCM as well as regular trades.
User should get an warning message if tries to save the rule with any other By-Pass action other than Notti Match, Allocate and Give-Up, however for RO NCM trades, Bypass Matching Rules with Allocate or Give-Up action wont be applicable.
User should be able to bulk edit and save Create Clearing Instruction on Bypass Matching Rules for bypass action Not-to match, Allocate, Give-Up and any rule having other bypass action should not be saved and warning message should be raised.
User should not be able to bulk edit create clearing instruction if selected rules having different CCP's.
Enable "ALWAYS_CREATE_CLEARING_INSTUCTION", exchange feature rule for ECAG and create the Bypass Matching Rules for NCM trades, ensure the create clearing instruction is set to YES and non editable by the user.
the Matching reason should be "Bypass".</t>
  </si>
  <si>
    <t>Create Bypass Matching Rules rules for regular trades and NCM trades with by-pass action Give-Up and Select the DI.
Go to DI list viewer and delete the above DI, user should get the popup message if DI needs to be deleted.
Upon clicking Yes, system will throw an error if there are any trades booked on the same DI and user wont get any further popup msg for deletion of Bypass Matching Rules.
If there are no trades booked on the selected DI, user should get an popup msg to delete the DI, upon clicking on Yes, user should get the pop up msg for deletion of Bypass Matching Rules along with DI.
The DI and Bypass Matching Rules rule should get deleted if user selects OK and Cancel to keep the DI and Bypass Matching Rules rules
Bulk deletion is out of scope</t>
  </si>
  <si>
    <t>Create Bypass Matching Rules rules for regular trades with by-pass action Allocate and Not to Match and select any account.
Create another Bypass Matching Rules for NCM trades and bypass action as Allocate and Not to Match and select any valid NCM account.
Go to Account list viewer and delete the above accounts, user should get the popup message.
Upon clicking on Yes, the selected Account and the Associated Bypass Matching Rules rules should get deleted, upon clicking No only the Account should get deleted.
Test the scenario by creating multiple rules and once the associated Account is deleted, all the rules should also get deleted.</t>
  </si>
  <si>
    <t>1. Go to Referential-&gt; Select Rule Viewer 
2.Select Rule type as BLOCK_AUTO_MATCHING -&gt; Select "Block Auto Matching on rade"  -&gt; Select Rule set as "defined Rule Set" -&gt; Click on Apply
3. Click on New &amp; create a trade blocking rule whith condition (Product, Expiry, Time etc)
4.Check if new block rules / criteria is working post creation on new trades</t>
  </si>
  <si>
    <t>1. Trade Management
2. Trade Clearing
3. Trade/CI - Unmatched Tile
4. In middle panel, filter by multiple columns or right click and "Add to Filter" or "Look for similar items"</t>
  </si>
  <si>
    <t>Enable "ALWAYS_CREATE_CLEARING_INSTUCTION", exchange feature rule for ECAG and create the Bypass Matching Rules for NCM trades, ensure the create clearing instruction is set to YES and non editable by the user.
the Matching reason should be "Bypass".</t>
  </si>
  <si>
    <t>Create and enable Exchange Feature as below:
"Bypass Matching Rules_ALWAYS_CREATE_CLEARING_INSTRUCTION" for ECAG "Bypass Matching Rules_SET_CREATE_CLEARING_INSTRUCTION_TO_YES" for OCC
◦Bulk edit functionality for Create Clearing Instruction will only be editable if User selects the Bypass Matching Rules rules having same CCP.
◦User wont be able to change the value of Create Clearing Instruction if rules are having different CCP's.
◦Value of Create Clearing Instruction should always be YES and non editable in below scenarios: 
◾Rule having CCP ECAG and By-Pass Action as Allocate or Give-Up
◾Rules having CCP ECAG and By-Pass Action as Allocate/Give-Up and Not to Match and while saving only the rule having bypass action as Allocate/Give-up will get saved.
◦Value of Create Clearing Instruction will be non editable in below scenarios:
◾Rules having different CCP, like ICEEU and OCC.
◦Value of Create Clearing Instruction should always be YES and editable in below scenarios:  
- Rules having CCP as OCC and bypass action as Allocate/Give-Up.
*Testing needs to be done for connected as well as non connected rule set.</t>
  </si>
  <si>
    <t>The ability to clear give in trades under indirect membership</t>
  </si>
  <si>
    <t>The ability to give up trades from indirect membership</t>
  </si>
  <si>
    <t>The ability to unmatch under indirect membership</t>
  </si>
  <si>
    <t>The ability to clear full service trades under direct membership</t>
  </si>
  <si>
    <t>The ability to clear give in trades under direct membership</t>
  </si>
  <si>
    <t>The ability to give up trades from direct membership</t>
  </si>
  <si>
    <t>The ability to unmatch under direct membership</t>
  </si>
  <si>
    <t>Yes - NC</t>
  </si>
  <si>
    <t>Test Common for no of Markets</t>
  </si>
  <si>
    <t>Create a Clearing Instruction from Trade using the Unmatched Screen</t>
  </si>
  <si>
    <t>Row Labels</t>
  </si>
  <si>
    <t>Grand Total</t>
  </si>
  <si>
    <t>Total Tests</t>
  </si>
  <si>
    <t xml:space="preserve">Automatable </t>
  </si>
  <si>
    <t xml:space="preserve">Not Automatable </t>
  </si>
  <si>
    <t xml:space="preserve">To Confirm </t>
  </si>
  <si>
    <t xml:space="preserve">SIT Automated </t>
  </si>
  <si>
    <t xml:space="preserve">Build Out </t>
  </si>
  <si>
    <t>Pending Build Out</t>
  </si>
  <si>
    <t>Automated</t>
  </si>
  <si>
    <t>Pending Automation</t>
  </si>
  <si>
    <t>To automate</t>
  </si>
  <si>
    <t>Barclays built out</t>
  </si>
  <si>
    <t>Automatable Total</t>
  </si>
  <si>
    <t xml:space="preserve"> </t>
  </si>
  <si>
    <t>SIT Automated Total</t>
  </si>
  <si>
    <t>BUS -FIS CD -TC-CLR-1</t>
  </si>
  <si>
    <t>Story</t>
  </si>
  <si>
    <t xml:space="preserve">1.	Go to Trade/CI Unmatched
2.	Select 1 trade
3.	Select APS Wizard
4.	Check the NAVP Box
5.	Select few FS trades with add to your NVAP Group
6.	Create Group ID Name  (ALL CAPS &amp; 6 Characters or less)
7.	Select Save and Send (to CCP)
8.     Review confirmation box with notional value and select OK
9.	Go to GI Pending 
10.	Select 1 trade
11.	Select APS Wizard
12.	Check the NAVP Box
13.	Select few GI trades with add to the same NVAP Group
14.	Select Save and Send (to CCP)
15.     Review confirmation box with notional value and select OK
16.	Go to Trade/CI Unmatched
17.	Select NAVP trade (Group Indicator N)  
18. you will see the new trades totaling the quantities from the FS and the NVAP trade
</t>
  </si>
  <si>
    <t>Epic</t>
  </si>
  <si>
    <t>Not tested</t>
  </si>
  <si>
    <t>CME Status SIT</t>
  </si>
  <si>
    <t>Passed</t>
  </si>
  <si>
    <t>SIT PENDING</t>
  </si>
  <si>
    <t>Passed (CLR-182 not well designed to be fixed)</t>
  </si>
  <si>
    <t>Passed (to rename CLR-60 to CLR-173)</t>
  </si>
  <si>
    <t>Passed (present under APS feature)</t>
  </si>
  <si>
    <t>Passed (but under APS feature file))</t>
  </si>
  <si>
    <t>not tested</t>
  </si>
  <si>
    <t>Passed (to rename TS-8105 to CLR-173)</t>
  </si>
  <si>
    <t>passed</t>
  </si>
  <si>
    <t>Passed (but under FS feature file))</t>
  </si>
  <si>
    <t xml:space="preserve"> ICEUS Status under SIT</t>
  </si>
  <si>
    <t>Passed (butto rename SD-22-A to SD-22-A1)</t>
  </si>
  <si>
    <t>Passed (but under Account feature)</t>
  </si>
  <si>
    <t>SIT PENDING (under APS feature)</t>
  </si>
  <si>
    <t xml:space="preserve">not tested </t>
  </si>
  <si>
    <t>IFEU status under SIT</t>
  </si>
  <si>
    <t xml:space="preserve">  Eurex status under SIT</t>
  </si>
  <si>
    <t>Passed (under Fsfeatureemea) need to review kind of product)</t>
  </si>
  <si>
    <t>Passed (need to rename Create a Clearing Instruction from Trade - create and manually trigger to carte blache rule by adding CLR05A)</t>
  </si>
  <si>
    <t>passed (needto rename Allocate a Block Trade by adding CLR-140 )</t>
  </si>
  <si>
    <t>Passed (but under GI feature)</t>
  </si>
  <si>
    <t>SIT Pending</t>
  </si>
  <si>
    <t>present but not executed (under FS emea)</t>
  </si>
  <si>
    <t>present but not executed (under GU emea)</t>
  </si>
  <si>
    <t>Not added and not executed under SIT</t>
  </si>
  <si>
    <t>Present under giemea feture file but not executed</t>
  </si>
  <si>
    <t>PRESENT UNDER FSEMEA FEATURE FILE BUT NOT EXECUTED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</si>
</sst>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37" x14ac:knownFonts="1">
    <font>
      <sz val="11"/>
      <color theme="1"/>
      <name val="Calibri"/>
      <family val="2"/>
      <scheme val="minor"/>
    </font>
    <font>
      <sz val="11"/>
      <color theme="1"/>
      <name val="Calibri"/>
      <family val="2"/>
      <scheme val="minor"/>
    </font>
    <font>
      <sz val="11"/>
      <color rgb="FF9C5700"/>
      <name val="Calibri"/>
      <family val="2"/>
      <scheme val="minor"/>
    </font>
    <font>
      <sz val="11"/>
      <color rgb="FFFF0000"/>
      <name val="Calibri"/>
      <family val="2"/>
      <scheme val="minor"/>
    </font>
    <font>
      <sz val="10"/>
      <color theme="1"/>
      <name val="Calibri"/>
      <family val="2"/>
      <scheme val="minor"/>
    </font>
    <font>
      <sz val="11"/>
      <name val="Calibri"/>
      <family val="2"/>
    </font>
    <font>
      <sz val="10"/>
      <name val="Calibri"/>
      <family val="2"/>
    </font>
    <font>
      <sz val="11"/>
      <color rgb="FF000000"/>
      <name val="Calibri"/>
      <family val="2"/>
      <scheme val="minor"/>
    </font>
    <font>
      <sz val="10"/>
      <name val="Calibri"/>
      <family val="2"/>
      <scheme val="minor"/>
    </font>
    <font>
      <sz val="10"/>
      <color rgb="FFFF0000"/>
      <name val="Calibri"/>
      <family val="2"/>
      <scheme val="minor"/>
    </font>
    <font>
      <sz val="8"/>
      <name val="Calibri"/>
      <family val="2"/>
      <scheme val="minor"/>
    </font>
    <font>
      <strike/>
      <sz val="10"/>
      <color theme="1"/>
      <name val="Calibri"/>
      <family val="2"/>
      <scheme val="minor"/>
    </font>
    <font>
      <b/>
      <sz val="11"/>
      <color theme="1"/>
      <name val="Calibri"/>
      <family val="2"/>
      <scheme val="minor"/>
    </font>
    <font>
      <b/>
      <sz val="14"/>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i/>
      <sz val="11"/>
      <color rgb="FF7F7F7F"/>
      <name val="Calibri"/>
      <family val="2"/>
      <scheme val="minor"/>
    </font>
    <font>
      <sz val="11"/>
      <color theme="0"/>
      <name val="Calibri"/>
      <family val="2"/>
      <scheme val="minor"/>
    </font>
    <font>
      <u/>
      <sz val="11"/>
      <color rgb="FF0563C1"/>
      <name val="Calibri"/>
      <family val="2"/>
      <scheme val="minor"/>
    </font>
    <font>
      <u/>
      <sz val="11"/>
      <color rgb="FF954F72"/>
      <name val="Calibri"/>
      <family val="2"/>
      <scheme val="minor"/>
    </font>
    <font>
      <b/>
      <sz val="10"/>
      <color theme="0"/>
      <name val="Arial Black"/>
      <family val="2"/>
    </font>
    <font>
      <sz val="10"/>
      <color theme="0"/>
      <name val="Arial Black"/>
      <family val="2"/>
    </font>
    <font>
      <sz val="11"/>
      <name val="Calibri"/>
      <family val="2"/>
      <scheme val="minor"/>
    </font>
    <font>
      <i/>
      <sz val="10"/>
      <name val="Calibri"/>
      <family val="2"/>
      <scheme val="minor"/>
    </font>
    <font>
      <b/>
      <sz val="11"/>
      <color rgb="FFFF0000"/>
      <name val="Calibri"/>
      <family val="2"/>
      <scheme val="minor"/>
    </font>
    <font>
      <sz val="11"/>
      <color rgb="FF172B4D"/>
      <name val="Segoe UI"/>
      <family val="2"/>
    </font>
    <font>
      <b/>
      <sz val="11"/>
      <color indexed="62"/>
      <name val="Segoe UI"/>
      <family val="2"/>
    </font>
    <font>
      <sz val="10"/>
      <color rgb="FF000000"/>
      <name val="Calibri"/>
      <family val="2"/>
    </font>
  </fonts>
  <fills count="49">
    <fill>
      <patternFill patternType="none"/>
    </fill>
    <fill>
      <patternFill patternType="gray125"/>
    </fill>
    <fill>
      <patternFill patternType="solid">
        <fgColor rgb="FFFFEB9C"/>
      </patternFill>
    </fill>
    <fill>
      <patternFill patternType="solid">
        <fgColor rgb="FF7030A0"/>
        <bgColor indexed="64"/>
      </patternFill>
    </fill>
    <fill>
      <patternFill patternType="solid">
        <fgColor rgb="FF92D050"/>
        <bgColor indexed="64"/>
      </patternFill>
    </fill>
    <fill>
      <patternFill patternType="solid">
        <fgColor rgb="FF00B0F0"/>
        <bgColor indexed="64"/>
      </patternFill>
    </fill>
    <fill>
      <patternFill patternType="solid">
        <fgColor rgb="FF0070C0"/>
        <bgColor indexed="64"/>
      </patternFill>
    </fill>
    <fill>
      <patternFill patternType="solid">
        <fgColor theme="4" tint="-0.249977111117893"/>
        <bgColor indexed="64"/>
      </patternFill>
    </fill>
    <fill>
      <patternFill patternType="solid">
        <fgColor theme="7" tint="-0.249977111117893"/>
        <bgColor indexed="64"/>
      </patternFill>
    </fill>
    <fill>
      <patternFill patternType="solid">
        <fgColor rgb="FFC6EFCE"/>
      </patternFill>
    </fill>
    <fill>
      <patternFill patternType="solid">
        <fgColor rgb="FFFFC7CE"/>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00B050"/>
        <bgColor indexed="64"/>
      </patternFill>
    </fill>
    <fill>
      <patternFill patternType="solid">
        <fgColor rgb="FFFFC000"/>
        <bgColor indexed="64"/>
      </patternFill>
    </fill>
    <fill>
      <patternFill patternType="solid">
        <fgColor rgb="FFFFFF00"/>
        <bgColor indexed="64"/>
      </patternFill>
    </fill>
    <fill>
      <patternFill patternType="solid">
        <fgColor theme="7"/>
        <bgColor indexed="64"/>
      </patternFill>
    </fill>
    <fill>
      <patternFill patternType="solid">
        <fgColor theme="8" tint="0.79998168889431442"/>
        <bgColor indexed="64"/>
      </patternFill>
    </fill>
    <fill>
      <patternFill patternType="solid">
        <fgColor theme="5" tint="0.39997558519241921"/>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theme="5" tint="0.59999389629810485"/>
        <bgColor indexed="64"/>
      </patternFill>
    </fill>
    <fill>
      <patternFill patternType="solid">
        <fgColor rgb="FF002060"/>
        <bgColor indexed="64"/>
      </patternFill>
    </fill>
  </fills>
  <borders count="5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bottom style="thin">
        <color indexed="64"/>
      </bottom>
      <diagonal/>
    </border>
    <border>
      <left style="medium">
        <color indexed="64"/>
      </left>
      <right/>
      <top/>
      <bottom/>
      <diagonal/>
    </border>
    <border>
      <left/>
      <right style="medium">
        <color indexed="64"/>
      </right>
      <top/>
      <bottom/>
      <diagonal/>
    </border>
    <border>
      <left style="medium">
        <color indexed="64"/>
      </left>
      <right style="thin">
        <color indexed="64"/>
      </right>
      <top style="thin">
        <color indexed="64"/>
      </top>
      <bottom style="thin">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rgb="FF000000"/>
      </left>
      <right style="thin">
        <color rgb="FF000000"/>
      </right>
      <top style="thin">
        <color rgb="FF000000"/>
      </top>
      <bottom style="thin">
        <color rgb="FF000000"/>
      </bottom>
      <diagonal/>
    </border>
    <border>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diagonal/>
    </border>
    <border>
      <left style="thin">
        <color indexed="64"/>
      </left>
      <right/>
      <top style="medium">
        <color indexed="64"/>
      </top>
      <bottom style="medium">
        <color indexed="64"/>
      </bottom>
      <diagonal/>
    </border>
    <border>
      <left style="thin">
        <color indexed="64"/>
      </left>
      <right/>
      <top/>
      <bottom style="thin">
        <color indexed="64"/>
      </bottom>
      <diagonal/>
    </border>
    <border>
      <left/>
      <right style="thin">
        <color indexed="64"/>
      </right>
      <top/>
      <bottom/>
      <diagonal/>
    </border>
    <border>
      <left style="thin">
        <color indexed="64"/>
      </left>
      <right/>
      <top/>
      <bottom/>
      <diagonal/>
    </border>
    <border>
      <left style="thin">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diagonal/>
    </border>
    <border>
      <left style="thin">
        <color indexed="64"/>
      </left>
      <right style="thin">
        <color indexed="64"/>
      </right>
      <top/>
      <bottom/>
      <diagonal/>
    </border>
    <border>
      <left style="thin">
        <color indexed="64"/>
      </left>
      <right style="medium">
        <color indexed="64"/>
      </right>
      <top style="thin">
        <color indexed="64"/>
      </top>
      <bottom/>
      <diagonal/>
    </border>
    <border>
      <left/>
      <right/>
      <top style="medium">
        <color indexed="64"/>
      </top>
      <bottom style="medium">
        <color indexed="64"/>
      </bottom>
      <diagonal/>
    </border>
    <border>
      <left style="thin">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s>
  <cellStyleXfs count="47">
    <xf numFmtId="0" fontId="0" fillId="0" borderId="0"/>
    <xf numFmtId="0" fontId="2" fillId="2" borderId="0" applyNumberFormat="0" applyBorder="0" applyAlignment="0" applyProtection="0"/>
    <xf numFmtId="0" fontId="5" fillId="0" borderId="0"/>
    <xf numFmtId="0" fontId="14" fillId="0" borderId="0" applyNumberFormat="0" applyFill="0" applyBorder="0" applyAlignment="0" applyProtection="0"/>
    <xf numFmtId="0" fontId="15" fillId="0" borderId="13" applyNumberFormat="0" applyFill="0" applyAlignment="0" applyProtection="0"/>
    <xf numFmtId="0" fontId="16" fillId="0" borderId="14" applyNumberFormat="0" applyFill="0" applyAlignment="0" applyProtection="0"/>
    <xf numFmtId="0" fontId="17" fillId="0" borderId="15" applyNumberFormat="0" applyFill="0" applyAlignment="0" applyProtection="0"/>
    <xf numFmtId="0" fontId="17" fillId="0" borderId="0" applyNumberFormat="0" applyFill="0" applyBorder="0" applyAlignment="0" applyProtection="0"/>
    <xf numFmtId="0" fontId="18" fillId="9" borderId="0" applyNumberFormat="0" applyBorder="0" applyAlignment="0" applyProtection="0"/>
    <xf numFmtId="0" fontId="19" fillId="10" borderId="0" applyNumberFormat="0" applyBorder="0" applyAlignment="0" applyProtection="0"/>
    <xf numFmtId="0" fontId="20" fillId="11" borderId="16" applyNumberFormat="0" applyAlignment="0" applyProtection="0"/>
    <xf numFmtId="0" fontId="21" fillId="12" borderId="17" applyNumberFormat="0" applyAlignment="0" applyProtection="0"/>
    <xf numFmtId="0" fontId="22" fillId="12" borderId="16" applyNumberFormat="0" applyAlignment="0" applyProtection="0"/>
    <xf numFmtId="0" fontId="23" fillId="0" borderId="18" applyNumberFormat="0" applyFill="0" applyAlignment="0" applyProtection="0"/>
    <xf numFmtId="0" fontId="24" fillId="13" borderId="19" applyNumberFormat="0" applyAlignment="0" applyProtection="0"/>
    <xf numFmtId="0" fontId="3" fillId="0" borderId="0" applyNumberFormat="0" applyFill="0" applyBorder="0" applyAlignment="0" applyProtection="0"/>
    <xf numFmtId="0" fontId="1" fillId="14" borderId="20" applyNumberFormat="0" applyFont="0" applyAlignment="0" applyProtection="0"/>
    <xf numFmtId="0" fontId="25" fillId="0" borderId="0" applyNumberFormat="0" applyFill="0" applyBorder="0" applyAlignment="0" applyProtection="0"/>
    <xf numFmtId="0" fontId="12" fillId="0" borderId="21" applyNumberFormat="0" applyFill="0" applyAlignment="0" applyProtection="0"/>
    <xf numFmtId="0" fontId="26" fillId="15"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1" fillId="18" borderId="0" applyNumberFormat="0" applyBorder="0" applyAlignment="0" applyProtection="0"/>
    <xf numFmtId="0" fontId="26" fillId="19" borderId="0" applyNumberFormat="0" applyBorder="0" applyAlignment="0" applyProtection="0"/>
    <xf numFmtId="0" fontId="1" fillId="20" borderId="0" applyNumberFormat="0" applyBorder="0" applyAlignment="0" applyProtection="0"/>
    <xf numFmtId="0" fontId="1" fillId="21" borderId="0" applyNumberFormat="0" applyBorder="0" applyAlignment="0" applyProtection="0"/>
    <xf numFmtId="0" fontId="1" fillId="22" borderId="0" applyNumberFormat="0" applyBorder="0" applyAlignment="0" applyProtection="0"/>
    <xf numFmtId="0" fontId="26" fillId="23" borderId="0" applyNumberFormat="0" applyBorder="0" applyAlignment="0" applyProtection="0"/>
    <xf numFmtId="0" fontId="1" fillId="24" borderId="0" applyNumberFormat="0" applyBorder="0" applyAlignment="0" applyProtection="0"/>
    <xf numFmtId="0" fontId="1" fillId="25" borderId="0" applyNumberFormat="0" applyBorder="0" applyAlignment="0" applyProtection="0"/>
    <xf numFmtId="0" fontId="1" fillId="26" borderId="0" applyNumberFormat="0" applyBorder="0" applyAlignment="0" applyProtection="0"/>
    <xf numFmtId="0" fontId="26" fillId="27" borderId="0" applyNumberFormat="0" applyBorder="0" applyAlignment="0" applyProtection="0"/>
    <xf numFmtId="0" fontId="1" fillId="28"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xf numFmtId="0" fontId="26" fillId="31" borderId="0" applyNumberFormat="0" applyBorder="0" applyAlignment="0" applyProtection="0"/>
    <xf numFmtId="0" fontId="1" fillId="32" borderId="0" applyNumberFormat="0" applyBorder="0" applyAlignment="0" applyProtection="0"/>
    <xf numFmtId="0" fontId="1" fillId="33" borderId="0" applyNumberFormat="0" applyBorder="0" applyAlignment="0" applyProtection="0"/>
    <xf numFmtId="0" fontId="1" fillId="34" borderId="0" applyNumberFormat="0" applyBorder="0" applyAlignment="0" applyProtection="0"/>
    <xf numFmtId="0" fontId="26" fillId="35" borderId="0" applyNumberFormat="0" applyBorder="0" applyAlignment="0" applyProtection="0"/>
    <xf numFmtId="0" fontId="1" fillId="36" borderId="0" applyNumberFormat="0" applyBorder="0" applyAlignment="0" applyProtection="0"/>
    <xf numFmtId="0" fontId="1" fillId="37" borderId="0" applyNumberFormat="0" applyBorder="0" applyAlignment="0" applyProtection="0"/>
    <xf numFmtId="0" fontId="1" fillId="38" borderId="0" applyNumberFormat="0" applyBorder="0" applyAlignment="0" applyProtection="0"/>
    <xf numFmtId="0" fontId="7" fillId="0" borderId="0"/>
    <xf numFmtId="0" fontId="27" fillId="0" borderId="0" applyNumberFormat="0" applyFill="0" applyBorder="0" applyAlignment="0" applyProtection="0"/>
    <xf numFmtId="0" fontId="28" fillId="0" borderId="0" applyNumberFormat="0" applyFill="0" applyBorder="0" applyAlignment="0" applyProtection="0"/>
    <xf numFmtId="9" fontId="1" fillId="0" borderId="0" applyFont="0" applyFill="0" applyBorder="0" applyAlignment="0" applyProtection="0"/>
  </cellStyleXfs>
  <cellXfs count="134">
    <xf numFmtId="0" fontId="0" fillId="0" borderId="0" xfId="0"/>
    <xf numFmtId="0" fontId="0" fillId="0" borderId="1" xfId="0" applyBorder="1"/>
    <xf numFmtId="0" fontId="0" fillId="0" borderId="1" xfId="0" applyBorder="1" applyAlignment="1">
      <alignment horizontal="center" vertical="center" wrapText="1"/>
    </xf>
    <xf numFmtId="0" fontId="0" fillId="0" borderId="1" xfId="0" applyBorder="1" applyAlignment="1">
      <alignment horizontal="center" vertical="center"/>
    </xf>
    <xf numFmtId="0" fontId="4" fillId="0" borderId="1" xfId="0" applyFont="1" applyBorder="1" applyAlignment="1">
      <alignment horizontal="center" vertical="center" wrapText="1"/>
    </xf>
    <xf numFmtId="0" fontId="4" fillId="0" borderId="0" xfId="0" applyFont="1" applyAlignment="1">
      <alignment horizontal="center" vertical="center" wrapText="1"/>
    </xf>
    <xf numFmtId="0" fontId="4" fillId="0" borderId="1" xfId="0" applyFont="1" applyBorder="1" applyAlignment="1">
      <alignment horizontal="center" vertical="center"/>
    </xf>
    <xf numFmtId="0" fontId="13" fillId="0" borderId="0" xfId="0" applyFont="1"/>
    <xf numFmtId="0" fontId="0" fillId="0" borderId="5" xfId="0" applyBorder="1"/>
    <xf numFmtId="0" fontId="0" fillId="0" borderId="6" xfId="0" applyBorder="1"/>
    <xf numFmtId="0" fontId="0" fillId="0" borderId="6" xfId="0" applyBorder="1" applyAlignment="1">
      <alignment horizontal="center" vertical="center"/>
    </xf>
    <xf numFmtId="0" fontId="0" fillId="0" borderId="8" xfId="0" applyBorder="1"/>
    <xf numFmtId="0" fontId="0" fillId="0" borderId="9" xfId="0" applyBorder="1"/>
    <xf numFmtId="0" fontId="0" fillId="0" borderId="10" xfId="0" applyBorder="1"/>
    <xf numFmtId="0" fontId="0" fillId="0" borderId="11" xfId="0" applyBorder="1" applyAlignment="1">
      <alignment horizontal="center" vertical="center"/>
    </xf>
    <xf numFmtId="0" fontId="8" fillId="0" borderId="1" xfId="0" applyFont="1" applyBorder="1" applyAlignment="1">
      <alignment horizontal="center" vertical="center" wrapText="1"/>
    </xf>
    <xf numFmtId="0" fontId="4" fillId="0" borderId="0" xfId="0" applyFont="1" applyAlignment="1">
      <alignment horizontal="center" vertical="center"/>
    </xf>
    <xf numFmtId="0" fontId="8" fillId="0" borderId="1" xfId="1" applyFont="1" applyFill="1" applyBorder="1" applyAlignment="1">
      <alignment horizontal="center" vertical="center" wrapText="1"/>
    </xf>
    <xf numFmtId="0" fontId="8" fillId="0" borderId="1" xfId="0" applyFont="1" applyBorder="1" applyAlignment="1">
      <alignment horizontal="center" vertical="center"/>
    </xf>
    <xf numFmtId="0" fontId="6" fillId="0" borderId="1" xfId="0" applyFont="1" applyBorder="1" applyAlignment="1">
      <alignment horizontal="center" vertical="center" wrapText="1"/>
    </xf>
    <xf numFmtId="0" fontId="8" fillId="4" borderId="1" xfId="0" applyFont="1" applyFill="1" applyBorder="1" applyAlignment="1">
      <alignment horizontal="center" vertical="center" wrapText="1"/>
    </xf>
    <xf numFmtId="0" fontId="29" fillId="3" borderId="1" xfId="0" applyFont="1" applyFill="1" applyBorder="1" applyAlignment="1">
      <alignment horizontal="center" vertical="center" wrapText="1"/>
    </xf>
    <xf numFmtId="0" fontId="29" fillId="7" borderId="1" xfId="0" applyFont="1" applyFill="1" applyBorder="1" applyAlignment="1">
      <alignment horizontal="center" vertical="center" wrapText="1"/>
    </xf>
    <xf numFmtId="0" fontId="29" fillId="8" borderId="1" xfId="0" applyFont="1" applyFill="1" applyBorder="1" applyAlignment="1">
      <alignment horizontal="center" vertical="center" wrapText="1"/>
    </xf>
    <xf numFmtId="0" fontId="29" fillId="5" borderId="1" xfId="0" applyFont="1" applyFill="1" applyBorder="1" applyAlignment="1">
      <alignment horizontal="center" vertical="center"/>
    </xf>
    <xf numFmtId="0" fontId="29" fillId="5" borderId="1" xfId="0" applyFont="1" applyFill="1" applyBorder="1" applyAlignment="1">
      <alignment horizontal="center" vertical="center" wrapText="1"/>
    </xf>
    <xf numFmtId="0" fontId="29" fillId="6" borderId="1" xfId="0" applyFont="1" applyFill="1" applyBorder="1" applyAlignment="1">
      <alignment horizontal="center" vertical="center" wrapText="1"/>
    </xf>
    <xf numFmtId="0" fontId="9" fillId="0" borderId="0" xfId="0" applyFont="1" applyAlignment="1">
      <alignment horizontal="center" vertical="center"/>
    </xf>
    <xf numFmtId="0" fontId="29" fillId="7" borderId="2" xfId="0" applyFont="1" applyFill="1" applyBorder="1" applyAlignment="1">
      <alignment horizontal="center" vertical="center" wrapText="1"/>
    </xf>
    <xf numFmtId="0" fontId="8" fillId="4" borderId="1" xfId="0" applyFont="1" applyFill="1" applyBorder="1" applyAlignment="1">
      <alignment horizontal="center" vertical="center"/>
    </xf>
    <xf numFmtId="0" fontId="31" fillId="0" borderId="1" xfId="0" applyFont="1" applyBorder="1" applyAlignment="1">
      <alignment horizontal="center" vertical="center" wrapText="1"/>
    </xf>
    <xf numFmtId="14" fontId="8" fillId="0" borderId="1" xfId="0" applyNumberFormat="1" applyFont="1" applyBorder="1" applyAlignment="1">
      <alignment horizontal="center" vertical="center" wrapText="1"/>
    </xf>
    <xf numFmtId="0" fontId="31" fillId="0" borderId="1" xfId="0" applyFont="1" applyBorder="1" applyAlignment="1">
      <alignment horizontal="center" vertical="center"/>
    </xf>
    <xf numFmtId="164" fontId="8" fillId="0" borderId="1" xfId="0" applyNumberFormat="1" applyFont="1" applyBorder="1" applyAlignment="1">
      <alignment horizontal="center" vertical="center" wrapText="1"/>
    </xf>
    <xf numFmtId="11" fontId="8" fillId="0" borderId="1" xfId="0" applyNumberFormat="1" applyFont="1" applyBorder="1" applyAlignment="1">
      <alignment horizontal="center" vertical="center" wrapText="1"/>
    </xf>
    <xf numFmtId="0" fontId="4" fillId="0" borderId="22" xfId="0" applyFont="1" applyBorder="1" applyAlignment="1">
      <alignment horizontal="center" vertical="center" wrapText="1"/>
    </xf>
    <xf numFmtId="0" fontId="8" fillId="0" borderId="0" xfId="0" applyFont="1" applyAlignment="1">
      <alignment horizontal="center" vertical="center" wrapText="1"/>
    </xf>
    <xf numFmtId="0" fontId="8" fillId="0" borderId="0" xfId="0" applyFont="1" applyAlignment="1">
      <alignment horizontal="center" vertical="center"/>
    </xf>
    <xf numFmtId="0" fontId="30" fillId="0" borderId="0" xfId="0" applyFont="1" applyAlignment="1">
      <alignment horizontal="center" vertical="center"/>
    </xf>
    <xf numFmtId="0" fontId="4" fillId="0" borderId="4" xfId="0" applyFont="1" applyBorder="1" applyAlignment="1">
      <alignment horizontal="center" vertical="center"/>
    </xf>
    <xf numFmtId="0" fontId="11" fillId="0" borderId="0" xfId="0" applyFont="1" applyAlignment="1">
      <alignment horizontal="center" vertical="center"/>
    </xf>
    <xf numFmtId="0" fontId="4" fillId="0" borderId="3" xfId="0" applyFont="1" applyBorder="1" applyAlignment="1">
      <alignment horizontal="center" vertical="center"/>
    </xf>
    <xf numFmtId="0" fontId="29" fillId="3" borderId="2" xfId="0" applyFont="1" applyFill="1" applyBorder="1" applyAlignment="1">
      <alignment horizontal="center" vertical="center" wrapText="1"/>
    </xf>
    <xf numFmtId="0" fontId="4" fillId="0" borderId="1" xfId="0" applyFont="1" applyBorder="1" applyAlignment="1">
      <alignment horizontal="left" vertical="top" wrapText="1"/>
    </xf>
    <xf numFmtId="0" fontId="4" fillId="4" borderId="1" xfId="0" applyFont="1" applyFill="1" applyBorder="1" applyAlignment="1">
      <alignment horizontal="center" vertical="center"/>
    </xf>
    <xf numFmtId="0" fontId="0" fillId="0" borderId="23" xfId="0" applyBorder="1"/>
    <xf numFmtId="0" fontId="0" fillId="0" borderId="26" xfId="0" applyBorder="1"/>
    <xf numFmtId="0" fontId="0" fillId="0" borderId="27" xfId="0" applyBorder="1"/>
    <xf numFmtId="0" fontId="0" fillId="0" borderId="11" xfId="0" applyBorder="1"/>
    <xf numFmtId="0" fontId="0" fillId="0" borderId="28" xfId="0" applyBorder="1"/>
    <xf numFmtId="0" fontId="0" fillId="0" borderId="29" xfId="0" applyBorder="1"/>
    <xf numFmtId="0" fontId="0" fillId="0" borderId="25" xfId="0" applyBorder="1"/>
    <xf numFmtId="0" fontId="0" fillId="0" borderId="3" xfId="0" applyBorder="1"/>
    <xf numFmtId="0" fontId="0" fillId="0" borderId="30" xfId="0" applyBorder="1"/>
    <xf numFmtId="0" fontId="0" fillId="0" borderId="31" xfId="0" applyBorder="1"/>
    <xf numFmtId="0" fontId="0" fillId="0" borderId="32" xfId="0" applyBorder="1"/>
    <xf numFmtId="0" fontId="0" fillId="0" borderId="33" xfId="0" applyBorder="1"/>
    <xf numFmtId="0" fontId="0" fillId="0" borderId="24" xfId="0" applyBorder="1"/>
    <xf numFmtId="0" fontId="0" fillId="0" borderId="34" xfId="0" applyBorder="1"/>
    <xf numFmtId="0" fontId="0" fillId="0" borderId="35" xfId="0" applyBorder="1"/>
    <xf numFmtId="0" fontId="0" fillId="0" borderId="36" xfId="0" applyBorder="1"/>
    <xf numFmtId="0" fontId="0" fillId="0" borderId="37" xfId="0" applyBorder="1"/>
    <xf numFmtId="0" fontId="0" fillId="0" borderId="39" xfId="0" applyBorder="1"/>
    <xf numFmtId="0" fontId="0" fillId="0" borderId="2" xfId="0" applyBorder="1"/>
    <xf numFmtId="0" fontId="0" fillId="0" borderId="41" xfId="0" applyBorder="1"/>
    <xf numFmtId="0" fontId="0" fillId="0" borderId="24" xfId="0" applyBorder="1" applyAlignment="1">
      <alignment horizontal="left" vertical="top"/>
    </xf>
    <xf numFmtId="0" fontId="0" fillId="0" borderId="32" xfId="0" applyBorder="1" applyAlignment="1">
      <alignment horizontal="left" vertical="top"/>
    </xf>
    <xf numFmtId="0" fontId="0" fillId="0" borderId="42" xfId="0" applyBorder="1" applyAlignment="1">
      <alignment horizontal="left" vertical="top"/>
    </xf>
    <xf numFmtId="0" fontId="0" fillId="0" borderId="43" xfId="0" applyBorder="1"/>
    <xf numFmtId="0" fontId="0" fillId="0" borderId="45" xfId="0" applyBorder="1"/>
    <xf numFmtId="0" fontId="8" fillId="39" borderId="1" xfId="0" applyFont="1" applyFill="1" applyBorder="1" applyAlignment="1">
      <alignment horizontal="center" vertical="center" wrapText="1"/>
    </xf>
    <xf numFmtId="9" fontId="0" fillId="0" borderId="38" xfId="46" applyFont="1" applyBorder="1"/>
    <xf numFmtId="0" fontId="8" fillId="39" borderId="1" xfId="0" applyFont="1" applyFill="1" applyBorder="1" applyAlignment="1">
      <alignment horizontal="center" vertical="center"/>
    </xf>
    <xf numFmtId="9" fontId="0" fillId="0" borderId="46" xfId="46" applyFont="1" applyBorder="1"/>
    <xf numFmtId="0" fontId="0" fillId="0" borderId="47" xfId="0" applyBorder="1"/>
    <xf numFmtId="0" fontId="0" fillId="0" borderId="48" xfId="0" applyBorder="1"/>
    <xf numFmtId="9" fontId="0" fillId="0" borderId="28" xfId="46" applyFont="1" applyBorder="1"/>
    <xf numFmtId="9" fontId="0" fillId="0" borderId="44" xfId="46" applyFont="1" applyBorder="1"/>
    <xf numFmtId="9" fontId="0" fillId="0" borderId="26" xfId="46" applyFont="1" applyBorder="1"/>
    <xf numFmtId="9" fontId="0" fillId="0" borderId="40" xfId="46" applyFont="1" applyBorder="1"/>
    <xf numFmtId="9" fontId="0" fillId="0" borderId="37" xfId="46" applyFont="1" applyBorder="1"/>
    <xf numFmtId="0" fontId="12" fillId="0" borderId="50" xfId="0" applyFont="1" applyBorder="1" applyAlignment="1">
      <alignment horizontal="center"/>
    </xf>
    <xf numFmtId="0" fontId="12" fillId="0" borderId="51" xfId="0" applyFont="1" applyBorder="1" applyAlignment="1">
      <alignment horizontal="center"/>
    </xf>
    <xf numFmtId="0" fontId="12" fillId="0" borderId="52" xfId="0" applyFont="1" applyBorder="1" applyAlignment="1">
      <alignment horizontal="center"/>
    </xf>
    <xf numFmtId="0" fontId="29" fillId="3" borderId="7" xfId="0" applyFont="1" applyFill="1" applyBorder="1" applyAlignment="1">
      <alignment horizontal="center" vertical="center" wrapText="1"/>
    </xf>
    <xf numFmtId="0" fontId="4" fillId="0" borderId="5" xfId="0" applyFont="1" applyBorder="1"/>
    <xf numFmtId="0" fontId="0" fillId="0" borderId="0" xfId="0" applyAlignment="1">
      <alignment horizontal="center" vertical="center"/>
    </xf>
    <xf numFmtId="0" fontId="29" fillId="7" borderId="7" xfId="0" applyFont="1" applyFill="1" applyBorder="1" applyAlignment="1">
      <alignment horizontal="center" vertical="center" wrapText="1"/>
    </xf>
    <xf numFmtId="0" fontId="29" fillId="8" borderId="7" xfId="0" applyFont="1" applyFill="1" applyBorder="1" applyAlignment="1">
      <alignment horizontal="center" vertical="center" wrapText="1"/>
    </xf>
    <xf numFmtId="0" fontId="0" fillId="0" borderId="53" xfId="0" applyBorder="1"/>
    <xf numFmtId="0" fontId="0" fillId="0" borderId="54" xfId="0" applyBorder="1"/>
    <xf numFmtId="0" fontId="29" fillId="5" borderId="7" xfId="0" applyFont="1" applyFill="1" applyBorder="1" applyAlignment="1">
      <alignment horizontal="center" vertical="center" wrapText="1"/>
    </xf>
    <xf numFmtId="0" fontId="4" fillId="0" borderId="12" xfId="0" applyFont="1" applyBorder="1"/>
    <xf numFmtId="0" fontId="29" fillId="6" borderId="7" xfId="0" applyFont="1" applyFill="1" applyBorder="1" applyAlignment="1">
      <alignment horizontal="center" vertical="center"/>
    </xf>
    <xf numFmtId="0" fontId="29" fillId="4" borderId="7" xfId="0" applyFont="1" applyFill="1" applyBorder="1" applyAlignment="1">
      <alignment horizontal="center" vertical="center"/>
    </xf>
    <xf numFmtId="0" fontId="30" fillId="39" borderId="7" xfId="0" applyFont="1" applyFill="1" applyBorder="1" applyAlignment="1">
      <alignment horizontal="center" vertical="center" wrapText="1"/>
    </xf>
    <xf numFmtId="0" fontId="4" fillId="39" borderId="1" xfId="0" applyFont="1" applyFill="1" applyBorder="1" applyAlignment="1">
      <alignment horizontal="center" vertical="center"/>
    </xf>
    <xf numFmtId="0" fontId="12" fillId="41" borderId="32" xfId="0" applyFont="1" applyFill="1" applyBorder="1"/>
    <xf numFmtId="0" fontId="0" fillId="41" borderId="32" xfId="0" applyFill="1" applyBorder="1"/>
    <xf numFmtId="0" fontId="33" fillId="41" borderId="32" xfId="0" applyFont="1" applyFill="1" applyBorder="1"/>
    <xf numFmtId="0" fontId="9" fillId="0" borderId="1" xfId="0" applyFont="1" applyBorder="1" applyAlignment="1">
      <alignment horizontal="center" vertical="center" wrapText="1"/>
    </xf>
    <xf numFmtId="0" fontId="6" fillId="42" borderId="1" xfId="0" applyFont="1" applyFill="1" applyBorder="1" applyAlignment="1">
      <alignment horizontal="center" vertical="center" wrapText="1"/>
    </xf>
    <xf numFmtId="0" fontId="8" fillId="42" borderId="1" xfId="0" applyFont="1" applyFill="1" applyBorder="1" applyAlignment="1">
      <alignment horizontal="center" vertical="center" wrapText="1"/>
    </xf>
    <xf numFmtId="0" fontId="6" fillId="40" borderId="1" xfId="0" applyFont="1" applyFill="1" applyBorder="1" applyAlignment="1">
      <alignment horizontal="center" vertical="center" wrapText="1"/>
    </xf>
    <xf numFmtId="0" fontId="4" fillId="0" borderId="1" xfId="0" quotePrefix="1" applyFont="1" applyBorder="1" applyAlignment="1">
      <alignment horizontal="center" vertical="center" wrapText="1"/>
    </xf>
    <xf numFmtId="0" fontId="8" fillId="41" borderId="1" xfId="0" applyFont="1" applyFill="1" applyBorder="1" applyAlignment="1">
      <alignment horizontal="center" vertical="center" wrapText="1"/>
    </xf>
    <xf numFmtId="0" fontId="0" fillId="4" borderId="1" xfId="0" applyFill="1" applyBorder="1" applyAlignment="1">
      <alignment horizontal="center" vertical="center" wrapText="1"/>
    </xf>
    <xf numFmtId="0" fontId="0" fillId="4" borderId="1" xfId="0" applyFill="1" applyBorder="1" applyAlignment="1">
      <alignment horizontal="center" vertical="center"/>
    </xf>
    <xf numFmtId="0" fontId="0" fillId="40" borderId="1" xfId="0" applyFill="1" applyBorder="1" applyAlignment="1">
      <alignment horizontal="center" vertical="center"/>
    </xf>
    <xf numFmtId="0" fontId="34" fillId="0" borderId="1" xfId="0" applyFont="1" applyBorder="1" applyAlignment="1">
      <alignment wrapText="1"/>
    </xf>
    <xf numFmtId="0" fontId="36" fillId="0" borderId="1" xfId="0" applyFont="1" applyBorder="1" applyAlignment="1">
      <alignment horizontal="center" vertical="center" wrapText="1"/>
    </xf>
    <xf numFmtId="0" fontId="0" fillId="0" borderId="0" xfId="0" pivotButton="1"/>
    <xf numFmtId="0" fontId="0" fillId="0" borderId="0" xfId="0" applyAlignment="1">
      <alignment horizontal="left"/>
    </xf>
    <xf numFmtId="0" fontId="0" fillId="43" borderId="35" xfId="0" applyFill="1" applyBorder="1" applyAlignment="1">
      <alignment horizontal="left" vertical="top"/>
    </xf>
    <xf numFmtId="0" fontId="0" fillId="43" borderId="32" xfId="0" applyFill="1" applyBorder="1" applyAlignment="1">
      <alignment horizontal="left" vertical="top"/>
    </xf>
    <xf numFmtId="10" fontId="0" fillId="0" borderId="0" xfId="0" applyNumberFormat="1"/>
    <xf numFmtId="10" fontId="0" fillId="0" borderId="1" xfId="0" applyNumberFormat="1" applyBorder="1"/>
    <xf numFmtId="0" fontId="8" fillId="44" borderId="1" xfId="0" applyFont="1" applyFill="1" applyBorder="1" applyAlignment="1">
      <alignment horizontal="center" vertical="center" wrapText="1"/>
    </xf>
    <xf numFmtId="0" fontId="8" fillId="40" borderId="1" xfId="0" applyFont="1" applyFill="1" applyBorder="1" applyAlignment="1">
      <alignment horizontal="center" vertical="center" wrapText="1"/>
    </xf>
    <xf numFmtId="0" fontId="8" fillId="45" borderId="1" xfId="0" applyFont="1" applyFill="1" applyBorder="1" applyAlignment="1">
      <alignment horizontal="center" vertical="center" wrapText="1"/>
    </xf>
    <xf numFmtId="0" fontId="8" fillId="46" borderId="1" xfId="0" applyFont="1" applyFill="1" applyBorder="1" applyAlignment="1">
      <alignment horizontal="center" vertical="center"/>
    </xf>
    <xf numFmtId="0" fontId="8" fillId="47" borderId="1" xfId="0" applyFont="1" applyFill="1" applyBorder="1" applyAlignment="1">
      <alignment horizontal="center" vertical="center" wrapText="1"/>
    </xf>
    <xf numFmtId="0" fontId="8" fillId="45" borderId="1" xfId="0" applyFont="1" applyFill="1" applyBorder="1" applyAlignment="1">
      <alignment horizontal="center" vertical="center"/>
    </xf>
    <xf numFmtId="0" fontId="29" fillId="48" borderId="1" xfId="0" applyFont="1" applyFill="1" applyBorder="1" applyAlignment="1">
      <alignment horizontal="center" vertical="center"/>
    </xf>
    <xf numFmtId="0" fontId="29" fillId="48" borderId="1" xfId="0" applyFont="1" applyFill="1" applyBorder="1" applyAlignment="1">
      <alignment horizontal="center" vertical="center" wrapText="1"/>
    </xf>
    <xf numFmtId="0" fontId="12" fillId="40" borderId="49" xfId="0" applyFont="1" applyFill="1" applyBorder="1" applyAlignment="1">
      <alignment horizontal="center"/>
    </xf>
    <xf numFmtId="0" fontId="12" fillId="40" borderId="46" xfId="0" applyFont="1" applyFill="1" applyBorder="1" applyAlignment="1">
      <alignment horizontal="center"/>
    </xf>
    <xf numFmtId="0" fontId="12" fillId="40" borderId="34" xfId="0" applyFont="1" applyFill="1" applyBorder="1" applyAlignment="1">
      <alignment horizontal="center"/>
    </xf>
    <xf numFmtId="0" fontId="12" fillId="4" borderId="49" xfId="0" applyFont="1" applyFill="1" applyBorder="1" applyAlignment="1">
      <alignment horizontal="center"/>
    </xf>
    <xf numFmtId="0" fontId="12" fillId="4" borderId="46" xfId="0" applyFont="1" applyFill="1" applyBorder="1" applyAlignment="1">
      <alignment horizontal="center"/>
    </xf>
    <xf numFmtId="0" fontId="12" fillId="4" borderId="34" xfId="0" applyFont="1" applyFill="1" applyBorder="1" applyAlignment="1">
      <alignment horizontal="center"/>
    </xf>
    <xf numFmtId="0" fontId="12" fillId="41" borderId="49" xfId="0" applyFont="1" applyFill="1" applyBorder="1" applyAlignment="1">
      <alignment horizontal="center"/>
    </xf>
    <xf numFmtId="0" fontId="12" fillId="41" borderId="46" xfId="0" applyFont="1" applyFill="1" applyBorder="1" applyAlignment="1">
      <alignment horizontal="center"/>
    </xf>
    <xf numFmtId="0" fontId="12" fillId="41" borderId="34" xfId="0" applyFont="1" applyFill="1" applyBorder="1" applyAlignment="1">
      <alignment horizontal="center"/>
    </xf>
  </cellXfs>
  <cellStyles count="47">
    <cellStyle name="20% - Accent1" xfId="20" builtinId="30" customBuiltin="1"/>
    <cellStyle name="20% - Accent2" xfId="24" builtinId="34" customBuiltin="1"/>
    <cellStyle name="20% - Accent3" xfId="28" builtinId="38" customBuiltin="1"/>
    <cellStyle name="20% - Accent4" xfId="32" builtinId="42" customBuiltin="1"/>
    <cellStyle name="20% - Accent5" xfId="36" builtinId="46" customBuiltin="1"/>
    <cellStyle name="20% - Accent6" xfId="40" builtinId="50" customBuiltin="1"/>
    <cellStyle name="40% - Accent1" xfId="21" builtinId="31" customBuiltin="1"/>
    <cellStyle name="40% - Accent2" xfId="25" builtinId="35" customBuiltin="1"/>
    <cellStyle name="40% - Accent3" xfId="29" builtinId="39" customBuiltin="1"/>
    <cellStyle name="40% - Accent4" xfId="33" builtinId="43" customBuiltin="1"/>
    <cellStyle name="40% - Accent5" xfId="37" builtinId="47" customBuiltin="1"/>
    <cellStyle name="40% - Accent6" xfId="41" builtinId="51" customBuiltin="1"/>
    <cellStyle name="60% - Accent1" xfId="22" builtinId="32" customBuiltin="1"/>
    <cellStyle name="60% - Accent2" xfId="26" builtinId="36" customBuiltin="1"/>
    <cellStyle name="60% - Accent3" xfId="30" builtinId="40" customBuiltin="1"/>
    <cellStyle name="60% - Accent4" xfId="34" builtinId="44" customBuiltin="1"/>
    <cellStyle name="60% - Accent5" xfId="38" builtinId="48" customBuiltin="1"/>
    <cellStyle name="60% - Accent6" xfId="42" builtinId="52" customBuiltin="1"/>
    <cellStyle name="Accent1" xfId="19" builtinId="29" customBuiltin="1"/>
    <cellStyle name="Accent2" xfId="23" builtinId="33" customBuiltin="1"/>
    <cellStyle name="Accent3" xfId="27" builtinId="37" customBuiltin="1"/>
    <cellStyle name="Accent4" xfId="31" builtinId="41" customBuiltin="1"/>
    <cellStyle name="Accent5" xfId="35" builtinId="45" customBuiltin="1"/>
    <cellStyle name="Accent6" xfId="39" builtinId="49" customBuiltin="1"/>
    <cellStyle name="Bad" xfId="9" builtinId="27" customBuiltin="1"/>
    <cellStyle name="Calculation" xfId="12" builtinId="22" customBuiltin="1"/>
    <cellStyle name="Check Cell" xfId="14" builtinId="23" customBuiltin="1"/>
    <cellStyle name="Explanatory Text" xfId="17" builtinId="53" customBuiltin="1"/>
    <cellStyle name="Followed Hyperlink" xfId="45" builtinId="9" customBuiltin="1"/>
    <cellStyle name="Good" xfId="8" builtinId="26" customBuiltin="1"/>
    <cellStyle name="Heading 1" xfId="4" builtinId="16" customBuiltin="1"/>
    <cellStyle name="Heading 2" xfId="5" builtinId="17" customBuiltin="1"/>
    <cellStyle name="Heading 3" xfId="6" builtinId="18" customBuiltin="1"/>
    <cellStyle name="Heading 4" xfId="7" builtinId="19" customBuiltin="1"/>
    <cellStyle name="Hyperlink" xfId="44" builtinId="8" customBuiltin="1"/>
    <cellStyle name="Input" xfId="10" builtinId="20" customBuiltin="1"/>
    <cellStyle name="Linked Cell" xfId="13" builtinId="24" customBuiltin="1"/>
    <cellStyle name="Neutral" xfId="1" builtinId="28" customBuiltin="1"/>
    <cellStyle name="Normal" xfId="0" builtinId="0"/>
    <cellStyle name="Normal 2" xfId="43" xr:uid="{18F3C254-8C62-4EF0-A630-1218F4E5E48E}"/>
    <cellStyle name="Normal 8" xfId="2" xr:uid="{125C835B-4708-4489-B7CF-BBA6F20B2ACC}"/>
    <cellStyle name="Note" xfId="16" builtinId="10" customBuiltin="1"/>
    <cellStyle name="Output" xfId="11" builtinId="21" customBuiltin="1"/>
    <cellStyle name="Percent" xfId="46" builtinId="5"/>
    <cellStyle name="Title" xfId="3" builtinId="15" customBuiltin="1"/>
    <cellStyle name="Total" xfId="18" builtinId="25" customBuiltin="1"/>
    <cellStyle name="Warning Text" xfId="15" builtinId="11" customBuiltin="1"/>
  </cellStyles>
  <dxfs count="5">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sheetMetadata" Target="metadata.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pivotCacheDefinition" Target="pivotCache/pivotCacheDefinition2.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[BRD Master File for Trade CI 20231010 Updated.xlsm]Table 1!PivotTable12</c:name>
    <c:fmtId val="50"/>
  </c:pivotSource>
  <c:chart>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'Table 1'!$B$3</c:f>
              <c:strCache>
                <c:ptCount val="1"/>
                <c:pt idx="0">
                  <c:v>Total Tests</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cat>
            <c:strRef>
              <c:f>'Table 1'!$A$4:$A$31</c:f>
              <c:strCache>
                <c:ptCount val="27"/>
                <c:pt idx="0">
                  <c:v> ICEUS</c:v>
                </c:pt>
                <c:pt idx="1">
                  <c:v>BDM</c:v>
                </c:pt>
                <c:pt idx="2">
                  <c:v>CBOT</c:v>
                </c:pt>
                <c:pt idx="3">
                  <c:v>CME</c:v>
                </c:pt>
                <c:pt idx="4">
                  <c:v>COMEX</c:v>
                </c:pt>
                <c:pt idx="5">
                  <c:v>EEX</c:v>
                </c:pt>
                <c:pt idx="6">
                  <c:v>Eurex </c:v>
                </c:pt>
                <c:pt idx="7">
                  <c:v>HKEX</c:v>
                </c:pt>
                <c:pt idx="8">
                  <c:v>IDEM</c:v>
                </c:pt>
                <c:pt idx="9">
                  <c:v>IFED</c:v>
                </c:pt>
                <c:pt idx="10">
                  <c:v>IFEU</c:v>
                </c:pt>
                <c:pt idx="11">
                  <c:v>IFLL</c:v>
                </c:pt>
                <c:pt idx="12">
                  <c:v>IFLO</c:v>
                </c:pt>
                <c:pt idx="13">
                  <c:v>IFLX</c:v>
                </c:pt>
                <c:pt idx="14">
                  <c:v>JPX</c:v>
                </c:pt>
                <c:pt idx="15">
                  <c:v>LME</c:v>
                </c:pt>
                <c:pt idx="16">
                  <c:v>MATIF</c:v>
                </c:pt>
                <c:pt idx="17">
                  <c:v>MEFF</c:v>
                </c:pt>
                <c:pt idx="18">
                  <c:v>MONEP</c:v>
                </c:pt>
                <c:pt idx="19">
                  <c:v>NOMX</c:v>
                </c:pt>
                <c:pt idx="20">
                  <c:v>Non-Connected </c:v>
                </c:pt>
                <c:pt idx="21">
                  <c:v>NYMEX</c:v>
                </c:pt>
                <c:pt idx="22">
                  <c:v>OCC</c:v>
                </c:pt>
                <c:pt idx="23">
                  <c:v>OSE</c:v>
                </c:pt>
                <c:pt idx="24">
                  <c:v>SGX</c:v>
                </c:pt>
                <c:pt idx="25">
                  <c:v>TFX</c:v>
                </c:pt>
                <c:pt idx="26">
                  <c:v>TOCOM</c:v>
                </c:pt>
              </c:strCache>
            </c:strRef>
          </c:cat>
          <c:val>
            <c:numRef>
              <c:f>'Table 1'!$B$4:$B$31</c:f>
              <c:numCache>
                <c:formatCode>General</c:formatCode>
                <c:ptCount val="27"/>
                <c:pt idx="0">
                  <c:v>378</c:v>
                </c:pt>
                <c:pt idx="1">
                  <c:v>325</c:v>
                </c:pt>
                <c:pt idx="2">
                  <c:v>463</c:v>
                </c:pt>
                <c:pt idx="3">
                  <c:v>468</c:v>
                </c:pt>
                <c:pt idx="4">
                  <c:v>455</c:v>
                </c:pt>
                <c:pt idx="5">
                  <c:v>456</c:v>
                </c:pt>
                <c:pt idx="6">
                  <c:v>533</c:v>
                </c:pt>
                <c:pt idx="7">
                  <c:v>411</c:v>
                </c:pt>
                <c:pt idx="8">
                  <c:v>423</c:v>
                </c:pt>
                <c:pt idx="9">
                  <c:v>531</c:v>
                </c:pt>
                <c:pt idx="10">
                  <c:v>531</c:v>
                </c:pt>
                <c:pt idx="11">
                  <c:v>539</c:v>
                </c:pt>
                <c:pt idx="12">
                  <c:v>537</c:v>
                </c:pt>
                <c:pt idx="13">
                  <c:v>539</c:v>
                </c:pt>
                <c:pt idx="14">
                  <c:v>407</c:v>
                </c:pt>
                <c:pt idx="15">
                  <c:v>422</c:v>
                </c:pt>
                <c:pt idx="16">
                  <c:v>441</c:v>
                </c:pt>
                <c:pt idx="17">
                  <c:v>435</c:v>
                </c:pt>
                <c:pt idx="18">
                  <c:v>441</c:v>
                </c:pt>
                <c:pt idx="19">
                  <c:v>435</c:v>
                </c:pt>
                <c:pt idx="20">
                  <c:v>0</c:v>
                </c:pt>
                <c:pt idx="21">
                  <c:v>456</c:v>
                </c:pt>
                <c:pt idx="22">
                  <c:v>330</c:v>
                </c:pt>
                <c:pt idx="23">
                  <c:v>375</c:v>
                </c:pt>
                <c:pt idx="24">
                  <c:v>407</c:v>
                </c:pt>
                <c:pt idx="25">
                  <c:v>404</c:v>
                </c:pt>
                <c:pt idx="26">
                  <c:v>403</c:v>
                </c:pt>
              </c:numCache>
            </c:numRef>
          </c:val>
          <c:extLst>
            <c:ext xmlns:c16="http://schemas.microsoft.com/office/drawing/2014/chart" uri="{C3380CC4-5D6E-409C-BE32-E72D297353CC}">
              <c16:uniqueId val="{00000000-0572-4070-91D8-5045554C9B7F}"/>
            </c:ext>
          </c:extLst>
        </c:ser>
        <c:ser>
          <c:idx val="1"/>
          <c:order val="1"/>
          <c:tx>
            <c:strRef>
              <c:f>'Table 1'!$C$3</c:f>
              <c:strCache>
                <c:ptCount val="1"/>
                <c:pt idx="0">
                  <c:v>Automatable </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cat>
            <c:strRef>
              <c:f>'Table 1'!$A$4:$A$31</c:f>
              <c:strCache>
                <c:ptCount val="27"/>
                <c:pt idx="0">
                  <c:v> ICEUS</c:v>
                </c:pt>
                <c:pt idx="1">
                  <c:v>BDM</c:v>
                </c:pt>
                <c:pt idx="2">
                  <c:v>CBOT</c:v>
                </c:pt>
                <c:pt idx="3">
                  <c:v>CME</c:v>
                </c:pt>
                <c:pt idx="4">
                  <c:v>COMEX</c:v>
                </c:pt>
                <c:pt idx="5">
                  <c:v>EEX</c:v>
                </c:pt>
                <c:pt idx="6">
                  <c:v>Eurex </c:v>
                </c:pt>
                <c:pt idx="7">
                  <c:v>HKEX</c:v>
                </c:pt>
                <c:pt idx="8">
                  <c:v>IDEM</c:v>
                </c:pt>
                <c:pt idx="9">
                  <c:v>IFED</c:v>
                </c:pt>
                <c:pt idx="10">
                  <c:v>IFEU</c:v>
                </c:pt>
                <c:pt idx="11">
                  <c:v>IFLL</c:v>
                </c:pt>
                <c:pt idx="12">
                  <c:v>IFLO</c:v>
                </c:pt>
                <c:pt idx="13">
                  <c:v>IFLX</c:v>
                </c:pt>
                <c:pt idx="14">
                  <c:v>JPX</c:v>
                </c:pt>
                <c:pt idx="15">
                  <c:v>LME</c:v>
                </c:pt>
                <c:pt idx="16">
                  <c:v>MATIF</c:v>
                </c:pt>
                <c:pt idx="17">
                  <c:v>MEFF</c:v>
                </c:pt>
                <c:pt idx="18">
                  <c:v>MONEP</c:v>
                </c:pt>
                <c:pt idx="19">
                  <c:v>NOMX</c:v>
                </c:pt>
                <c:pt idx="20">
                  <c:v>Non-Connected </c:v>
                </c:pt>
                <c:pt idx="21">
                  <c:v>NYMEX</c:v>
                </c:pt>
                <c:pt idx="22">
                  <c:v>OCC</c:v>
                </c:pt>
                <c:pt idx="23">
                  <c:v>OSE</c:v>
                </c:pt>
                <c:pt idx="24">
                  <c:v>SGX</c:v>
                </c:pt>
                <c:pt idx="25">
                  <c:v>TFX</c:v>
                </c:pt>
                <c:pt idx="26">
                  <c:v>TOCOM</c:v>
                </c:pt>
              </c:strCache>
            </c:strRef>
          </c:cat>
          <c:val>
            <c:numRef>
              <c:f>'Table 1'!$C$4:$C$31</c:f>
              <c:numCache>
                <c:formatCode>General</c:formatCode>
                <c:ptCount val="27"/>
                <c:pt idx="0">
                  <c:v>171</c:v>
                </c:pt>
                <c:pt idx="1">
                  <c:v>133</c:v>
                </c:pt>
                <c:pt idx="2">
                  <c:v>244</c:v>
                </c:pt>
                <c:pt idx="3">
                  <c:v>247</c:v>
                </c:pt>
                <c:pt idx="4">
                  <c:v>239</c:v>
                </c:pt>
                <c:pt idx="5">
                  <c:v>213</c:v>
                </c:pt>
                <c:pt idx="6">
                  <c:v>238</c:v>
                </c:pt>
                <c:pt idx="7">
                  <c:v>184</c:v>
                </c:pt>
                <c:pt idx="8">
                  <c:v>201</c:v>
                </c:pt>
                <c:pt idx="9">
                  <c:v>246</c:v>
                </c:pt>
                <c:pt idx="10">
                  <c:v>246</c:v>
                </c:pt>
                <c:pt idx="11">
                  <c:v>246</c:v>
                </c:pt>
                <c:pt idx="12">
                  <c:v>243</c:v>
                </c:pt>
                <c:pt idx="13">
                  <c:v>246</c:v>
                </c:pt>
                <c:pt idx="14">
                  <c:v>181</c:v>
                </c:pt>
                <c:pt idx="15">
                  <c:v>179</c:v>
                </c:pt>
                <c:pt idx="16">
                  <c:v>200</c:v>
                </c:pt>
                <c:pt idx="17">
                  <c:v>205</c:v>
                </c:pt>
                <c:pt idx="18">
                  <c:v>201</c:v>
                </c:pt>
                <c:pt idx="19">
                  <c:v>205</c:v>
                </c:pt>
                <c:pt idx="20">
                  <c:v>0</c:v>
                </c:pt>
                <c:pt idx="21">
                  <c:v>240</c:v>
                </c:pt>
                <c:pt idx="22">
                  <c:v>136</c:v>
                </c:pt>
                <c:pt idx="23">
                  <c:v>181</c:v>
                </c:pt>
                <c:pt idx="24">
                  <c:v>181</c:v>
                </c:pt>
                <c:pt idx="25">
                  <c:v>181</c:v>
                </c:pt>
                <c:pt idx="26">
                  <c:v>181</c:v>
                </c:pt>
              </c:numCache>
            </c:numRef>
          </c:val>
          <c:extLst>
            <c:ext xmlns:c16="http://schemas.microsoft.com/office/drawing/2014/chart" uri="{C3380CC4-5D6E-409C-BE32-E72D297353CC}">
              <c16:uniqueId val="{00000001-0572-4070-91D8-5045554C9B7F}"/>
            </c:ext>
          </c:extLst>
        </c:ser>
        <c:ser>
          <c:idx val="2"/>
          <c:order val="2"/>
          <c:tx>
            <c:strRef>
              <c:f>'Table 1'!$D$3</c:f>
              <c:strCache>
                <c:ptCount val="1"/>
                <c:pt idx="0">
                  <c:v>Not Automatable </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cat>
            <c:strRef>
              <c:f>'Table 1'!$A$4:$A$31</c:f>
              <c:strCache>
                <c:ptCount val="27"/>
                <c:pt idx="0">
                  <c:v> ICEUS</c:v>
                </c:pt>
                <c:pt idx="1">
                  <c:v>BDM</c:v>
                </c:pt>
                <c:pt idx="2">
                  <c:v>CBOT</c:v>
                </c:pt>
                <c:pt idx="3">
                  <c:v>CME</c:v>
                </c:pt>
                <c:pt idx="4">
                  <c:v>COMEX</c:v>
                </c:pt>
                <c:pt idx="5">
                  <c:v>EEX</c:v>
                </c:pt>
                <c:pt idx="6">
                  <c:v>Eurex </c:v>
                </c:pt>
                <c:pt idx="7">
                  <c:v>HKEX</c:v>
                </c:pt>
                <c:pt idx="8">
                  <c:v>IDEM</c:v>
                </c:pt>
                <c:pt idx="9">
                  <c:v>IFED</c:v>
                </c:pt>
                <c:pt idx="10">
                  <c:v>IFEU</c:v>
                </c:pt>
                <c:pt idx="11">
                  <c:v>IFLL</c:v>
                </c:pt>
                <c:pt idx="12">
                  <c:v>IFLO</c:v>
                </c:pt>
                <c:pt idx="13">
                  <c:v>IFLX</c:v>
                </c:pt>
                <c:pt idx="14">
                  <c:v>JPX</c:v>
                </c:pt>
                <c:pt idx="15">
                  <c:v>LME</c:v>
                </c:pt>
                <c:pt idx="16">
                  <c:v>MATIF</c:v>
                </c:pt>
                <c:pt idx="17">
                  <c:v>MEFF</c:v>
                </c:pt>
                <c:pt idx="18">
                  <c:v>MONEP</c:v>
                </c:pt>
                <c:pt idx="19">
                  <c:v>NOMX</c:v>
                </c:pt>
                <c:pt idx="20">
                  <c:v>Non-Connected </c:v>
                </c:pt>
                <c:pt idx="21">
                  <c:v>NYMEX</c:v>
                </c:pt>
                <c:pt idx="22">
                  <c:v>OCC</c:v>
                </c:pt>
                <c:pt idx="23">
                  <c:v>OSE</c:v>
                </c:pt>
                <c:pt idx="24">
                  <c:v>SGX</c:v>
                </c:pt>
                <c:pt idx="25">
                  <c:v>TFX</c:v>
                </c:pt>
                <c:pt idx="26">
                  <c:v>TOCOM</c:v>
                </c:pt>
              </c:strCache>
            </c:strRef>
          </c:cat>
          <c:val>
            <c:numRef>
              <c:f>'Table 1'!$D$4:$D$31</c:f>
              <c:numCache>
                <c:formatCode>General</c:formatCode>
                <c:ptCount val="27"/>
                <c:pt idx="0">
                  <c:v>54</c:v>
                </c:pt>
                <c:pt idx="1">
                  <c:v>56</c:v>
                </c:pt>
                <c:pt idx="2">
                  <c:v>56</c:v>
                </c:pt>
                <c:pt idx="3">
                  <c:v>56</c:v>
                </c:pt>
                <c:pt idx="4">
                  <c:v>56</c:v>
                </c:pt>
                <c:pt idx="5">
                  <c:v>59</c:v>
                </c:pt>
                <c:pt idx="6">
                  <c:v>59</c:v>
                </c:pt>
                <c:pt idx="7">
                  <c:v>58</c:v>
                </c:pt>
                <c:pt idx="8">
                  <c:v>58</c:v>
                </c:pt>
                <c:pt idx="9">
                  <c:v>57</c:v>
                </c:pt>
                <c:pt idx="10">
                  <c:v>57</c:v>
                </c:pt>
                <c:pt idx="11">
                  <c:v>57</c:v>
                </c:pt>
                <c:pt idx="12">
                  <c:v>44</c:v>
                </c:pt>
                <c:pt idx="13">
                  <c:v>57</c:v>
                </c:pt>
                <c:pt idx="14">
                  <c:v>58</c:v>
                </c:pt>
                <c:pt idx="15">
                  <c:v>64</c:v>
                </c:pt>
                <c:pt idx="16">
                  <c:v>70</c:v>
                </c:pt>
                <c:pt idx="17">
                  <c:v>59</c:v>
                </c:pt>
                <c:pt idx="18">
                  <c:v>70</c:v>
                </c:pt>
                <c:pt idx="19">
                  <c:v>58</c:v>
                </c:pt>
                <c:pt idx="20">
                  <c:v>0</c:v>
                </c:pt>
                <c:pt idx="21">
                  <c:v>56</c:v>
                </c:pt>
                <c:pt idx="22">
                  <c:v>56</c:v>
                </c:pt>
                <c:pt idx="23">
                  <c:v>47</c:v>
                </c:pt>
                <c:pt idx="24">
                  <c:v>58</c:v>
                </c:pt>
                <c:pt idx="25">
                  <c:v>57</c:v>
                </c:pt>
                <c:pt idx="26">
                  <c:v>57</c:v>
                </c:pt>
              </c:numCache>
            </c:numRef>
          </c:val>
          <c:extLst>
            <c:ext xmlns:c16="http://schemas.microsoft.com/office/drawing/2014/chart" uri="{C3380CC4-5D6E-409C-BE32-E72D297353CC}">
              <c16:uniqueId val="{00000002-0572-4070-91D8-5045554C9B7F}"/>
            </c:ext>
          </c:extLst>
        </c:ser>
        <c:ser>
          <c:idx val="3"/>
          <c:order val="3"/>
          <c:tx>
            <c:strRef>
              <c:f>'Table 1'!$E$3</c:f>
              <c:strCache>
                <c:ptCount val="1"/>
                <c:pt idx="0">
                  <c:v>To Confirm </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cat>
            <c:strRef>
              <c:f>'Table 1'!$A$4:$A$31</c:f>
              <c:strCache>
                <c:ptCount val="27"/>
                <c:pt idx="0">
                  <c:v> ICEUS</c:v>
                </c:pt>
                <c:pt idx="1">
                  <c:v>BDM</c:v>
                </c:pt>
                <c:pt idx="2">
                  <c:v>CBOT</c:v>
                </c:pt>
                <c:pt idx="3">
                  <c:v>CME</c:v>
                </c:pt>
                <c:pt idx="4">
                  <c:v>COMEX</c:v>
                </c:pt>
                <c:pt idx="5">
                  <c:v>EEX</c:v>
                </c:pt>
                <c:pt idx="6">
                  <c:v>Eurex </c:v>
                </c:pt>
                <c:pt idx="7">
                  <c:v>HKEX</c:v>
                </c:pt>
                <c:pt idx="8">
                  <c:v>IDEM</c:v>
                </c:pt>
                <c:pt idx="9">
                  <c:v>IFED</c:v>
                </c:pt>
                <c:pt idx="10">
                  <c:v>IFEU</c:v>
                </c:pt>
                <c:pt idx="11">
                  <c:v>IFLL</c:v>
                </c:pt>
                <c:pt idx="12">
                  <c:v>IFLO</c:v>
                </c:pt>
                <c:pt idx="13">
                  <c:v>IFLX</c:v>
                </c:pt>
                <c:pt idx="14">
                  <c:v>JPX</c:v>
                </c:pt>
                <c:pt idx="15">
                  <c:v>LME</c:v>
                </c:pt>
                <c:pt idx="16">
                  <c:v>MATIF</c:v>
                </c:pt>
                <c:pt idx="17">
                  <c:v>MEFF</c:v>
                </c:pt>
                <c:pt idx="18">
                  <c:v>MONEP</c:v>
                </c:pt>
                <c:pt idx="19">
                  <c:v>NOMX</c:v>
                </c:pt>
                <c:pt idx="20">
                  <c:v>Non-Connected </c:v>
                </c:pt>
                <c:pt idx="21">
                  <c:v>NYMEX</c:v>
                </c:pt>
                <c:pt idx="22">
                  <c:v>OCC</c:v>
                </c:pt>
                <c:pt idx="23">
                  <c:v>OSE</c:v>
                </c:pt>
                <c:pt idx="24">
                  <c:v>SGX</c:v>
                </c:pt>
                <c:pt idx="25">
                  <c:v>TFX</c:v>
                </c:pt>
                <c:pt idx="26">
                  <c:v>TOCOM</c:v>
                </c:pt>
              </c:strCache>
            </c:strRef>
          </c:cat>
          <c:val>
            <c:numRef>
              <c:f>'Table 1'!$E$4:$E$31</c:f>
              <c:numCache>
                <c:formatCode>General</c:formatCode>
                <c:ptCount val="27"/>
                <c:pt idx="0">
                  <c:v>153</c:v>
                </c:pt>
                <c:pt idx="1">
                  <c:v>136</c:v>
                </c:pt>
                <c:pt idx="2">
                  <c:v>163</c:v>
                </c:pt>
                <c:pt idx="3">
                  <c:v>165</c:v>
                </c:pt>
                <c:pt idx="4">
                  <c:v>160</c:v>
                </c:pt>
                <c:pt idx="5">
                  <c:v>184</c:v>
                </c:pt>
                <c:pt idx="6">
                  <c:v>236</c:v>
                </c:pt>
                <c:pt idx="7">
                  <c:v>169</c:v>
                </c:pt>
                <c:pt idx="8">
                  <c:v>164</c:v>
                </c:pt>
                <c:pt idx="9">
                  <c:v>228</c:v>
                </c:pt>
                <c:pt idx="10">
                  <c:v>228</c:v>
                </c:pt>
                <c:pt idx="11">
                  <c:v>236</c:v>
                </c:pt>
                <c:pt idx="12">
                  <c:v>250</c:v>
                </c:pt>
                <c:pt idx="13">
                  <c:v>236</c:v>
                </c:pt>
                <c:pt idx="14">
                  <c:v>168</c:v>
                </c:pt>
                <c:pt idx="15">
                  <c:v>179</c:v>
                </c:pt>
                <c:pt idx="16">
                  <c:v>171</c:v>
                </c:pt>
                <c:pt idx="17">
                  <c:v>171</c:v>
                </c:pt>
                <c:pt idx="18">
                  <c:v>170</c:v>
                </c:pt>
                <c:pt idx="19">
                  <c:v>172</c:v>
                </c:pt>
                <c:pt idx="20">
                  <c:v>0</c:v>
                </c:pt>
                <c:pt idx="21">
                  <c:v>160</c:v>
                </c:pt>
                <c:pt idx="22">
                  <c:v>138</c:v>
                </c:pt>
                <c:pt idx="23">
                  <c:v>147</c:v>
                </c:pt>
                <c:pt idx="24">
                  <c:v>168</c:v>
                </c:pt>
                <c:pt idx="25">
                  <c:v>166</c:v>
                </c:pt>
                <c:pt idx="26">
                  <c:v>165</c:v>
                </c:pt>
              </c:numCache>
            </c:numRef>
          </c:val>
          <c:extLst>
            <c:ext xmlns:c16="http://schemas.microsoft.com/office/drawing/2014/chart" uri="{C3380CC4-5D6E-409C-BE32-E72D297353CC}">
              <c16:uniqueId val="{00000003-0572-4070-91D8-5045554C9B7F}"/>
            </c:ext>
          </c:extLst>
        </c:ser>
        <c:dLbls>
          <c:showLegendKey val="0"/>
          <c:showVal val="0"/>
          <c:showCatName val="0"/>
          <c:showSerName val="0"/>
          <c:showPercent val="0"/>
          <c:showBubbleSize val="0"/>
        </c:dLbls>
        <c:gapWidth val="150"/>
        <c:shape val="box"/>
        <c:axId val="445230863"/>
        <c:axId val="445235183"/>
        <c:axId val="0"/>
      </c:bar3DChart>
      <c:catAx>
        <c:axId val="445230863"/>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45235183"/>
        <c:crosses val="autoZero"/>
        <c:auto val="1"/>
        <c:lblAlgn val="ctr"/>
        <c:lblOffset val="100"/>
        <c:noMultiLvlLbl val="0"/>
      </c:catAx>
      <c:valAx>
        <c:axId val="445235183"/>
        <c:scaling>
          <c:orientation val="minMax"/>
        </c:scaling>
        <c:delete val="0"/>
        <c:axPos val="l"/>
        <c:majorGridlines>
          <c:spPr>
            <a:ln w="9525" cap="flat" cmpd="sng" algn="ctr">
              <a:solidFill>
                <a:schemeClr val="dk1">
                  <a:lumMod val="50000"/>
                  <a:lumOff val="50000"/>
                </a:schemeClr>
              </a:solidFill>
              <a:round/>
            </a:ln>
            <a:effectLst/>
          </c:spPr>
        </c:maj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No</a:t>
                </a:r>
                <a:r>
                  <a:rPr lang="en-IN" baseline="0"/>
                  <a:t> of Tests</a:t>
                </a:r>
                <a:endParaRPr lang="en-IN"/>
              </a:p>
            </c:rich>
          </c:tx>
          <c:layout>
            <c:manualLayout>
              <c:xMode val="edge"/>
              <c:yMode val="edge"/>
              <c:x val="1.9938614816005142E-2"/>
              <c:y val="0.37695629433024713"/>
            </c:manualLayout>
          </c:layout>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4523086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[BRD Master File for Trade CI 20231010 Updated.xlsm]Table 3!PivotTable13</c:name>
    <c:fmtId val="29"/>
  </c:pivotSource>
  <c:chart>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'Table 3'!$B$3</c:f>
              <c:strCache>
                <c:ptCount val="1"/>
                <c:pt idx="0">
                  <c:v>SIT Automated </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cat>
            <c:strRef>
              <c:f>'Table 3'!$A$4:$A$31</c:f>
              <c:strCache>
                <c:ptCount val="27"/>
                <c:pt idx="0">
                  <c:v>BDM</c:v>
                </c:pt>
                <c:pt idx="1">
                  <c:v>CBOT</c:v>
                </c:pt>
                <c:pt idx="2">
                  <c:v>CME</c:v>
                </c:pt>
                <c:pt idx="3">
                  <c:v>COMEX</c:v>
                </c:pt>
                <c:pt idx="4">
                  <c:v>EEX</c:v>
                </c:pt>
                <c:pt idx="5">
                  <c:v>Eurex </c:v>
                </c:pt>
                <c:pt idx="6">
                  <c:v>HKEX</c:v>
                </c:pt>
                <c:pt idx="7">
                  <c:v>ICEUS</c:v>
                </c:pt>
                <c:pt idx="8">
                  <c:v>IDEM</c:v>
                </c:pt>
                <c:pt idx="9">
                  <c:v>IFED</c:v>
                </c:pt>
                <c:pt idx="10">
                  <c:v>IFEU</c:v>
                </c:pt>
                <c:pt idx="11">
                  <c:v>IFLL</c:v>
                </c:pt>
                <c:pt idx="12">
                  <c:v>IFLO</c:v>
                </c:pt>
                <c:pt idx="13">
                  <c:v>IFLX</c:v>
                </c:pt>
                <c:pt idx="14">
                  <c:v>JPX</c:v>
                </c:pt>
                <c:pt idx="15">
                  <c:v>LME</c:v>
                </c:pt>
                <c:pt idx="16">
                  <c:v>MATIF</c:v>
                </c:pt>
                <c:pt idx="17">
                  <c:v>MEFF</c:v>
                </c:pt>
                <c:pt idx="18">
                  <c:v>MONEP</c:v>
                </c:pt>
                <c:pt idx="19">
                  <c:v>NOMX</c:v>
                </c:pt>
                <c:pt idx="20">
                  <c:v>Non-Connected </c:v>
                </c:pt>
                <c:pt idx="21">
                  <c:v>NYMEX</c:v>
                </c:pt>
                <c:pt idx="22">
                  <c:v>OCC</c:v>
                </c:pt>
                <c:pt idx="23">
                  <c:v>OSE</c:v>
                </c:pt>
                <c:pt idx="24">
                  <c:v>SGX</c:v>
                </c:pt>
                <c:pt idx="25">
                  <c:v>TFX</c:v>
                </c:pt>
                <c:pt idx="26">
                  <c:v>TOCOM</c:v>
                </c:pt>
              </c:strCache>
            </c:strRef>
          </c:cat>
          <c:val>
            <c:numRef>
              <c:f>'Table 3'!$B$4:$B$31</c:f>
              <c:numCache>
                <c:formatCode>General</c:formatCode>
                <c:ptCount val="27"/>
                <c:pt idx="0">
                  <c:v>114</c:v>
                </c:pt>
                <c:pt idx="1">
                  <c:v>235</c:v>
                </c:pt>
                <c:pt idx="2">
                  <c:v>238</c:v>
                </c:pt>
                <c:pt idx="3">
                  <c:v>230</c:v>
                </c:pt>
                <c:pt idx="4">
                  <c:v>0</c:v>
                </c:pt>
                <c:pt idx="5">
                  <c:v>178</c:v>
                </c:pt>
                <c:pt idx="6">
                  <c:v>103</c:v>
                </c:pt>
                <c:pt idx="7">
                  <c:v>152</c:v>
                </c:pt>
                <c:pt idx="8">
                  <c:v>0</c:v>
                </c:pt>
                <c:pt idx="9">
                  <c:v>198</c:v>
                </c:pt>
                <c:pt idx="10">
                  <c:v>198</c:v>
                </c:pt>
                <c:pt idx="11">
                  <c:v>198</c:v>
                </c:pt>
                <c:pt idx="12">
                  <c:v>174</c:v>
                </c:pt>
                <c:pt idx="13">
                  <c:v>198</c:v>
                </c:pt>
                <c:pt idx="14">
                  <c:v>0</c:v>
                </c:pt>
                <c:pt idx="15">
                  <c:v>1</c:v>
                </c:pt>
                <c:pt idx="16">
                  <c:v>8</c:v>
                </c:pt>
                <c:pt idx="17">
                  <c:v>70</c:v>
                </c:pt>
                <c:pt idx="18">
                  <c:v>7</c:v>
                </c:pt>
                <c:pt idx="19">
                  <c:v>13</c:v>
                </c:pt>
                <c:pt idx="20">
                  <c:v>0</c:v>
                </c:pt>
                <c:pt idx="21">
                  <c:v>231</c:v>
                </c:pt>
                <c:pt idx="22">
                  <c:v>121</c:v>
                </c:pt>
                <c:pt idx="23">
                  <c:v>0</c:v>
                </c:pt>
                <c:pt idx="24">
                  <c:v>111</c:v>
                </c:pt>
                <c:pt idx="25">
                  <c:v>0</c:v>
                </c:pt>
                <c:pt idx="26">
                  <c:v>0</c:v>
                </c:pt>
              </c:numCache>
            </c:numRef>
          </c:val>
          <c:extLst>
            <c:ext xmlns:c16="http://schemas.microsoft.com/office/drawing/2014/chart" uri="{C3380CC4-5D6E-409C-BE32-E72D297353CC}">
              <c16:uniqueId val="{00000000-16BE-4EEA-A9A4-1407F3C9CA0F}"/>
            </c:ext>
          </c:extLst>
        </c:ser>
        <c:ser>
          <c:idx val="1"/>
          <c:order val="1"/>
          <c:tx>
            <c:strRef>
              <c:f>'Table 3'!$C$3</c:f>
              <c:strCache>
                <c:ptCount val="1"/>
                <c:pt idx="0">
                  <c:v>Build Out </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cat>
            <c:strRef>
              <c:f>'Table 3'!$A$4:$A$31</c:f>
              <c:strCache>
                <c:ptCount val="27"/>
                <c:pt idx="0">
                  <c:v>BDM</c:v>
                </c:pt>
                <c:pt idx="1">
                  <c:v>CBOT</c:v>
                </c:pt>
                <c:pt idx="2">
                  <c:v>CME</c:v>
                </c:pt>
                <c:pt idx="3">
                  <c:v>COMEX</c:v>
                </c:pt>
                <c:pt idx="4">
                  <c:v>EEX</c:v>
                </c:pt>
                <c:pt idx="5">
                  <c:v>Eurex </c:v>
                </c:pt>
                <c:pt idx="6">
                  <c:v>HKEX</c:v>
                </c:pt>
                <c:pt idx="7">
                  <c:v>ICEUS</c:v>
                </c:pt>
                <c:pt idx="8">
                  <c:v>IDEM</c:v>
                </c:pt>
                <c:pt idx="9">
                  <c:v>IFED</c:v>
                </c:pt>
                <c:pt idx="10">
                  <c:v>IFEU</c:v>
                </c:pt>
                <c:pt idx="11">
                  <c:v>IFLL</c:v>
                </c:pt>
                <c:pt idx="12">
                  <c:v>IFLO</c:v>
                </c:pt>
                <c:pt idx="13">
                  <c:v>IFLX</c:v>
                </c:pt>
                <c:pt idx="14">
                  <c:v>JPX</c:v>
                </c:pt>
                <c:pt idx="15">
                  <c:v>LME</c:v>
                </c:pt>
                <c:pt idx="16">
                  <c:v>MATIF</c:v>
                </c:pt>
                <c:pt idx="17">
                  <c:v>MEFF</c:v>
                </c:pt>
                <c:pt idx="18">
                  <c:v>MONEP</c:v>
                </c:pt>
                <c:pt idx="19">
                  <c:v>NOMX</c:v>
                </c:pt>
                <c:pt idx="20">
                  <c:v>Non-Connected </c:v>
                </c:pt>
                <c:pt idx="21">
                  <c:v>NYMEX</c:v>
                </c:pt>
                <c:pt idx="22">
                  <c:v>OCC</c:v>
                </c:pt>
                <c:pt idx="23">
                  <c:v>OSE</c:v>
                </c:pt>
                <c:pt idx="24">
                  <c:v>SGX</c:v>
                </c:pt>
                <c:pt idx="25">
                  <c:v>TFX</c:v>
                </c:pt>
                <c:pt idx="26">
                  <c:v>TOCOM</c:v>
                </c:pt>
              </c:strCache>
            </c:strRef>
          </c:cat>
          <c:val>
            <c:numRef>
              <c:f>'Table 3'!$C$4:$C$31</c:f>
              <c:numCache>
                <c:formatCode>General</c:formatCode>
                <c:ptCount val="27"/>
                <c:pt idx="0">
                  <c:v>111</c:v>
                </c:pt>
                <c:pt idx="1">
                  <c:v>212</c:v>
                </c:pt>
                <c:pt idx="2">
                  <c:v>215</c:v>
                </c:pt>
                <c:pt idx="3">
                  <c:v>209</c:v>
                </c:pt>
                <c:pt idx="4">
                  <c:v>0</c:v>
                </c:pt>
                <c:pt idx="5">
                  <c:v>149</c:v>
                </c:pt>
                <c:pt idx="6">
                  <c:v>98</c:v>
                </c:pt>
                <c:pt idx="7">
                  <c:v>146</c:v>
                </c:pt>
                <c:pt idx="8">
                  <c:v>0</c:v>
                </c:pt>
                <c:pt idx="9">
                  <c:v>196</c:v>
                </c:pt>
                <c:pt idx="10">
                  <c:v>196</c:v>
                </c:pt>
                <c:pt idx="11">
                  <c:v>196</c:v>
                </c:pt>
                <c:pt idx="12">
                  <c:v>172</c:v>
                </c:pt>
                <c:pt idx="13">
                  <c:v>196</c:v>
                </c:pt>
                <c:pt idx="14">
                  <c:v>0</c:v>
                </c:pt>
                <c:pt idx="15">
                  <c:v>0</c:v>
                </c:pt>
                <c:pt idx="16">
                  <c:v>0</c:v>
                </c:pt>
                <c:pt idx="17">
                  <c:v>0</c:v>
                </c:pt>
                <c:pt idx="18">
                  <c:v>0</c:v>
                </c:pt>
                <c:pt idx="19">
                  <c:v>0</c:v>
                </c:pt>
                <c:pt idx="20">
                  <c:v>0</c:v>
                </c:pt>
                <c:pt idx="21">
                  <c:v>210</c:v>
                </c:pt>
                <c:pt idx="22">
                  <c:v>118</c:v>
                </c:pt>
                <c:pt idx="23">
                  <c:v>0</c:v>
                </c:pt>
                <c:pt idx="24">
                  <c:v>108</c:v>
                </c:pt>
                <c:pt idx="25">
                  <c:v>0</c:v>
                </c:pt>
                <c:pt idx="26">
                  <c:v>0</c:v>
                </c:pt>
              </c:numCache>
            </c:numRef>
          </c:val>
          <c:extLst>
            <c:ext xmlns:c16="http://schemas.microsoft.com/office/drawing/2014/chart" uri="{C3380CC4-5D6E-409C-BE32-E72D297353CC}">
              <c16:uniqueId val="{00000001-16BE-4EEA-A9A4-1407F3C9CA0F}"/>
            </c:ext>
          </c:extLst>
        </c:ser>
        <c:ser>
          <c:idx val="2"/>
          <c:order val="2"/>
          <c:tx>
            <c:strRef>
              <c:f>'Table 3'!$D$3</c:f>
              <c:strCache>
                <c:ptCount val="1"/>
                <c:pt idx="0">
                  <c:v>Pending Build Out</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cat>
            <c:strRef>
              <c:f>'Table 3'!$A$4:$A$31</c:f>
              <c:strCache>
                <c:ptCount val="27"/>
                <c:pt idx="0">
                  <c:v>BDM</c:v>
                </c:pt>
                <c:pt idx="1">
                  <c:v>CBOT</c:v>
                </c:pt>
                <c:pt idx="2">
                  <c:v>CME</c:v>
                </c:pt>
                <c:pt idx="3">
                  <c:v>COMEX</c:v>
                </c:pt>
                <c:pt idx="4">
                  <c:v>EEX</c:v>
                </c:pt>
                <c:pt idx="5">
                  <c:v>Eurex </c:v>
                </c:pt>
                <c:pt idx="6">
                  <c:v>HKEX</c:v>
                </c:pt>
                <c:pt idx="7">
                  <c:v>ICEUS</c:v>
                </c:pt>
                <c:pt idx="8">
                  <c:v>IDEM</c:v>
                </c:pt>
                <c:pt idx="9">
                  <c:v>IFED</c:v>
                </c:pt>
                <c:pt idx="10">
                  <c:v>IFEU</c:v>
                </c:pt>
                <c:pt idx="11">
                  <c:v>IFLL</c:v>
                </c:pt>
                <c:pt idx="12">
                  <c:v>IFLO</c:v>
                </c:pt>
                <c:pt idx="13">
                  <c:v>IFLX</c:v>
                </c:pt>
                <c:pt idx="14">
                  <c:v>JPX</c:v>
                </c:pt>
                <c:pt idx="15">
                  <c:v>LME</c:v>
                </c:pt>
                <c:pt idx="16">
                  <c:v>MATIF</c:v>
                </c:pt>
                <c:pt idx="17">
                  <c:v>MEFF</c:v>
                </c:pt>
                <c:pt idx="18">
                  <c:v>MONEP</c:v>
                </c:pt>
                <c:pt idx="19">
                  <c:v>NOMX</c:v>
                </c:pt>
                <c:pt idx="20">
                  <c:v>Non-Connected </c:v>
                </c:pt>
                <c:pt idx="21">
                  <c:v>NYMEX</c:v>
                </c:pt>
                <c:pt idx="22">
                  <c:v>OCC</c:v>
                </c:pt>
                <c:pt idx="23">
                  <c:v>OSE</c:v>
                </c:pt>
                <c:pt idx="24">
                  <c:v>SGX</c:v>
                </c:pt>
                <c:pt idx="25">
                  <c:v>TFX</c:v>
                </c:pt>
                <c:pt idx="26">
                  <c:v>TOCOM</c:v>
                </c:pt>
              </c:strCache>
            </c:strRef>
          </c:cat>
          <c:val>
            <c:numRef>
              <c:f>'Table 3'!$D$4:$D$31</c:f>
              <c:numCache>
                <c:formatCode>General</c:formatCode>
                <c:ptCount val="27"/>
                <c:pt idx="0">
                  <c:v>3</c:v>
                </c:pt>
                <c:pt idx="1">
                  <c:v>23</c:v>
                </c:pt>
                <c:pt idx="2">
                  <c:v>23</c:v>
                </c:pt>
                <c:pt idx="3">
                  <c:v>21</c:v>
                </c:pt>
                <c:pt idx="4">
                  <c:v>0</c:v>
                </c:pt>
                <c:pt idx="5">
                  <c:v>29</c:v>
                </c:pt>
                <c:pt idx="6">
                  <c:v>5</c:v>
                </c:pt>
                <c:pt idx="7">
                  <c:v>6</c:v>
                </c:pt>
                <c:pt idx="8">
                  <c:v>0</c:v>
                </c:pt>
                <c:pt idx="9">
                  <c:v>2</c:v>
                </c:pt>
                <c:pt idx="10">
                  <c:v>2</c:v>
                </c:pt>
                <c:pt idx="11">
                  <c:v>2</c:v>
                </c:pt>
                <c:pt idx="12">
                  <c:v>2</c:v>
                </c:pt>
                <c:pt idx="13">
                  <c:v>2</c:v>
                </c:pt>
                <c:pt idx="14">
                  <c:v>0</c:v>
                </c:pt>
                <c:pt idx="15">
                  <c:v>1</c:v>
                </c:pt>
                <c:pt idx="16">
                  <c:v>8</c:v>
                </c:pt>
                <c:pt idx="17">
                  <c:v>70</c:v>
                </c:pt>
                <c:pt idx="18">
                  <c:v>7</c:v>
                </c:pt>
                <c:pt idx="19">
                  <c:v>13</c:v>
                </c:pt>
                <c:pt idx="20">
                  <c:v>0</c:v>
                </c:pt>
                <c:pt idx="21">
                  <c:v>21</c:v>
                </c:pt>
                <c:pt idx="22">
                  <c:v>3</c:v>
                </c:pt>
                <c:pt idx="23">
                  <c:v>0</c:v>
                </c:pt>
                <c:pt idx="24">
                  <c:v>3</c:v>
                </c:pt>
                <c:pt idx="25">
                  <c:v>0</c:v>
                </c:pt>
                <c:pt idx="26">
                  <c:v>0</c:v>
                </c:pt>
              </c:numCache>
            </c:numRef>
          </c:val>
          <c:extLst>
            <c:ext xmlns:c16="http://schemas.microsoft.com/office/drawing/2014/chart" uri="{C3380CC4-5D6E-409C-BE32-E72D297353CC}">
              <c16:uniqueId val="{00000002-16BE-4EEA-A9A4-1407F3C9CA0F}"/>
            </c:ext>
          </c:extLst>
        </c:ser>
        <c:dLbls>
          <c:showLegendKey val="0"/>
          <c:showVal val="0"/>
          <c:showCatName val="0"/>
          <c:showSerName val="0"/>
          <c:showPercent val="0"/>
          <c:showBubbleSize val="0"/>
        </c:dLbls>
        <c:gapWidth val="150"/>
        <c:shape val="box"/>
        <c:axId val="220845120"/>
        <c:axId val="220862400"/>
        <c:axId val="0"/>
      </c:bar3DChart>
      <c:catAx>
        <c:axId val="220845120"/>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20862400"/>
        <c:crosses val="autoZero"/>
        <c:auto val="1"/>
        <c:lblAlgn val="ctr"/>
        <c:lblOffset val="100"/>
        <c:noMultiLvlLbl val="0"/>
      </c:catAx>
      <c:valAx>
        <c:axId val="220862400"/>
        <c:scaling>
          <c:orientation val="minMax"/>
        </c:scaling>
        <c:delete val="0"/>
        <c:axPos val="l"/>
        <c:majorGridlines>
          <c:spPr>
            <a:ln w="9525" cap="flat" cmpd="sng" algn="ctr">
              <a:solidFill>
                <a:schemeClr val="dk1">
                  <a:lumMod val="50000"/>
                  <a:lumOff val="5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2084512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dk1">
            <a:lumMod val="50000"/>
            <a:lumOff val="50000"/>
          </a:schemeClr>
        </a:solidFill>
        <a:round/>
      </a:ln>
    </cs:spPr>
  </cs:gridlineMajor>
  <cs:gridlineMinor>
    <cs:lnRef idx="0"/>
    <cs:fillRef idx="0"/>
    <cs:effectRef idx="0"/>
    <cs:fontRef idx="minor">
      <a:schemeClr val="tx1"/>
    </cs:fontRef>
    <cs:spPr>
      <a:ln>
        <a:solidFill>
          <a:schemeClr val="dk1">
            <a:lumMod val="60000"/>
            <a:lumOff val="4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9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dk1">
            <a:lumMod val="50000"/>
            <a:lumOff val="50000"/>
          </a:schemeClr>
        </a:solidFill>
        <a:round/>
      </a:ln>
    </cs:spPr>
  </cs:gridlineMajor>
  <cs:gridlineMinor>
    <cs:lnRef idx="0"/>
    <cs:fillRef idx="0"/>
    <cs:effectRef idx="0"/>
    <cs:fontRef idx="minor">
      <a:schemeClr val="tx1"/>
    </cs:fontRef>
    <cs:spPr>
      <a:ln>
        <a:solidFill>
          <a:schemeClr val="dk1">
            <a:lumMod val="60000"/>
            <a:lumOff val="4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5</xdr:col>
      <xdr:colOff>152399</xdr:colOff>
      <xdr:row>2</xdr:row>
      <xdr:rowOff>6351</xdr:rowOff>
    </xdr:from>
    <xdr:to>
      <xdr:col>19</xdr:col>
      <xdr:colOff>466724</xdr:colOff>
      <xdr:row>18</xdr:row>
      <xdr:rowOff>76200</xdr:rowOff>
    </xdr:to>
    <xdr:graphicFrame macro="">
      <xdr:nvGraphicFramePr>
        <xdr:cNvPr id="2" name="Chart 1">
          <a:extLst>
            <a:ext uri="{FF2B5EF4-FFF2-40B4-BE49-F238E27FC236}">
              <a16:creationId xmlns:a16="http://schemas.microsoft.com/office/drawing/2014/main" id="{B65133B4-F569-01D5-60AD-9D9D4CA9060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114301</xdr:colOff>
      <xdr:row>2</xdr:row>
      <xdr:rowOff>65086</xdr:rowOff>
    </xdr:from>
    <xdr:to>
      <xdr:col>19</xdr:col>
      <xdr:colOff>333375</xdr:colOff>
      <xdr:row>18</xdr:row>
      <xdr:rowOff>0</xdr:rowOff>
    </xdr:to>
    <xdr:graphicFrame macro="">
      <xdr:nvGraphicFramePr>
        <xdr:cNvPr id="2" name="Chart 1">
          <a:extLst>
            <a:ext uri="{FF2B5EF4-FFF2-40B4-BE49-F238E27FC236}">
              <a16:creationId xmlns:a16="http://schemas.microsoft.com/office/drawing/2014/main" id="{E57FEE24-422D-4227-C55C-ED0E9C86DB1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umar, Harshit" refreshedDate="45187.471062615739" createdVersion="8" refreshedVersion="8" minRefreshableVersion="3" recordCount="28" xr:uid="{04710B1A-8745-4D11-ADA2-597C207CB96E}">
  <cacheSource type="worksheet">
    <worksheetSource ref="B2:G30" sheet="Summary"/>
  </cacheSource>
  <cacheFields count="6">
    <cacheField name="Market" numFmtId="0">
      <sharedItems count="28">
        <s v=" ICEUS"/>
        <s v="BDM"/>
        <s v="OCC"/>
        <s v="NYMEX"/>
        <s v="COMEX"/>
        <s v="CBOT"/>
        <s v="CME"/>
        <s v="IFED"/>
        <s v="IFEU"/>
        <s v="IFLL"/>
        <s v="IFLX"/>
        <s v="IFLO"/>
        <s v="Eurex "/>
        <s v="EEX"/>
        <s v="MEFF"/>
        <s v="NOMX"/>
        <s v="IDEM"/>
        <s v="MONEP"/>
        <s v="MATIF"/>
        <s v="LME"/>
        <s v="TOCOM"/>
        <s v="TFX"/>
        <s v="JPX"/>
        <s v="SGX"/>
        <s v="HKEX"/>
        <s v="OSE"/>
        <s v="Non-Connected "/>
        <s v="Total"/>
      </sharedItems>
    </cacheField>
    <cacheField name="Total" numFmtId="0">
      <sharedItems containsSemiMixedTypes="0" containsString="0" containsNumber="1" containsInteger="1" minValue="0" maxValue="11545"/>
    </cacheField>
    <cacheField name="Automatable" numFmtId="0">
      <sharedItems containsSemiMixedTypes="0" containsString="0" containsNumber="1" containsInteger="1" minValue="0" maxValue="5368"/>
    </cacheField>
    <cacheField name="Automatable %" numFmtId="9">
      <sharedItems containsMixedTypes="1" containsNumber="1" minValue="0.40923076923076923" maxValue="0.52777777777777779" count="24">
        <n v="0.45238095238095238"/>
        <n v="0.40923076923076923"/>
        <n v="0.41212121212121211"/>
        <n v="0.52631578947368418"/>
        <n v="0.5252747252747253"/>
        <n v="0.52699784017278617"/>
        <n v="0.52777777777777779"/>
        <n v="0.4632768361581921"/>
        <n v="0.45640074211502785"/>
        <n v="0.45251396648044695"/>
        <n v="0.44652908067542213"/>
        <n v="0.46710526315789475"/>
        <n v="0.47126436781609193"/>
        <n v="0.47517730496453903"/>
        <n v="0.45578231292517007"/>
        <n v="0.45351473922902497"/>
        <n v="0.42417061611374407"/>
        <n v="0.4491315136476427"/>
        <n v="0.44801980198019803"/>
        <n v="0.44471744471744473"/>
        <n v="0.44768856447688565"/>
        <n v="0.48266666666666669"/>
        <e v="#DIV/0!"/>
        <n v="0.464963187527068"/>
      </sharedItems>
    </cacheField>
    <cacheField name="Not Automatable" numFmtId="0">
      <sharedItems containsSemiMixedTypes="0" containsString="0" containsNumber="1" containsInteger="1" minValue="0" maxValue="1494"/>
    </cacheField>
    <cacheField name="To Confirm" numFmtId="0">
      <sharedItems containsSemiMixedTypes="0" containsString="0" containsNumber="1" containsInteger="1" minValue="0" maxValue="4683"/>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umar, Harshit" refreshedDate="45187.49007777778" createdVersion="8" refreshedVersion="8" minRefreshableVersion="3" recordCount="28" xr:uid="{BD2D0F23-7E16-4856-B045-4BB992809BFA}">
  <cacheSource type="worksheet">
    <worksheetSource ref="O2:S30" sheet="Summary"/>
  </cacheSource>
  <cacheFields count="5">
    <cacheField name="Market" numFmtId="0">
      <sharedItems count="28">
        <s v="ICEUS"/>
        <s v="BDM"/>
        <s v="OCC"/>
        <s v="NYMEX"/>
        <s v="COMEX"/>
        <s v="CBOT"/>
        <s v="CME"/>
        <s v="IFED"/>
        <s v="IFEU"/>
        <s v="IFLL"/>
        <s v="IFLX"/>
        <s v="IFLO"/>
        <s v="Eurex "/>
        <s v="EEX"/>
        <s v="MEFF"/>
        <s v="NOMX"/>
        <s v="IDEM"/>
        <s v="MONEP"/>
        <s v="MATIF"/>
        <s v="LME"/>
        <s v="TOCOM"/>
        <s v="TFX"/>
        <s v="JPX"/>
        <s v="SGX"/>
        <s v="HKEX"/>
        <s v="OSE"/>
        <s v="Non-Connected "/>
        <s v="Total"/>
      </sharedItems>
    </cacheField>
    <cacheField name="SIT Automated" numFmtId="0">
      <sharedItems containsSemiMixedTypes="0" containsString="0" containsNumber="1" containsInteger="1" minValue="0" maxValue="2778"/>
    </cacheField>
    <cacheField name="Build Out" numFmtId="0">
      <sharedItems containsSemiMixedTypes="0" containsString="0" containsNumber="1" containsInteger="1" minValue="0" maxValue="2532"/>
    </cacheField>
    <cacheField name="Build Out %" numFmtId="9">
      <sharedItems containsMixedTypes="1" containsNumber="1" minValue="0" maxValue="0.98989898989898994" count="15">
        <n v="0.96052631578947367"/>
        <n v="0.97368421052631582"/>
        <n v="0.97520661157024791"/>
        <n v="0.90909090909090906"/>
        <n v="0.90869565217391302"/>
        <n v="0.90212765957446805"/>
        <n v="0.90336134453781514"/>
        <n v="0.98989898989898994"/>
        <n v="0.9885057471264368"/>
        <n v="0.8370786516853933"/>
        <e v="#DIV/0!"/>
        <n v="0"/>
        <n v="0.97297297297297303"/>
        <n v="0.95145631067961167"/>
        <n v="0.91144708423326137"/>
      </sharedItems>
    </cacheField>
    <cacheField name="Barclays to implement" numFmtId="0">
      <sharedItems containsSemiMixedTypes="0" containsString="0" containsNumber="1" containsInteger="1" minValue="0" maxValue="246"/>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8">
  <r>
    <x v="0"/>
    <n v="378"/>
    <n v="171"/>
    <x v="0"/>
    <n v="54"/>
    <n v="153"/>
  </r>
  <r>
    <x v="1"/>
    <n v="325"/>
    <n v="133"/>
    <x v="1"/>
    <n v="56"/>
    <n v="136"/>
  </r>
  <r>
    <x v="2"/>
    <n v="330"/>
    <n v="136"/>
    <x v="2"/>
    <n v="56"/>
    <n v="138"/>
  </r>
  <r>
    <x v="3"/>
    <n v="456"/>
    <n v="240"/>
    <x v="3"/>
    <n v="56"/>
    <n v="160"/>
  </r>
  <r>
    <x v="4"/>
    <n v="455"/>
    <n v="239"/>
    <x v="4"/>
    <n v="56"/>
    <n v="160"/>
  </r>
  <r>
    <x v="5"/>
    <n v="463"/>
    <n v="244"/>
    <x v="5"/>
    <n v="56"/>
    <n v="163"/>
  </r>
  <r>
    <x v="6"/>
    <n v="468"/>
    <n v="247"/>
    <x v="6"/>
    <n v="56"/>
    <n v="165"/>
  </r>
  <r>
    <x v="7"/>
    <n v="531"/>
    <n v="246"/>
    <x v="7"/>
    <n v="57"/>
    <n v="228"/>
  </r>
  <r>
    <x v="8"/>
    <n v="531"/>
    <n v="246"/>
    <x v="7"/>
    <n v="57"/>
    <n v="228"/>
  </r>
  <r>
    <x v="9"/>
    <n v="539"/>
    <n v="246"/>
    <x v="8"/>
    <n v="57"/>
    <n v="236"/>
  </r>
  <r>
    <x v="10"/>
    <n v="539"/>
    <n v="246"/>
    <x v="8"/>
    <n v="57"/>
    <n v="236"/>
  </r>
  <r>
    <x v="11"/>
    <n v="537"/>
    <n v="243"/>
    <x v="9"/>
    <n v="44"/>
    <n v="250"/>
  </r>
  <r>
    <x v="12"/>
    <n v="533"/>
    <n v="238"/>
    <x v="10"/>
    <n v="59"/>
    <n v="236"/>
  </r>
  <r>
    <x v="13"/>
    <n v="456"/>
    <n v="213"/>
    <x v="11"/>
    <n v="59"/>
    <n v="184"/>
  </r>
  <r>
    <x v="14"/>
    <n v="435"/>
    <n v="205"/>
    <x v="12"/>
    <n v="59"/>
    <n v="171"/>
  </r>
  <r>
    <x v="15"/>
    <n v="435"/>
    <n v="205"/>
    <x v="12"/>
    <n v="58"/>
    <n v="172"/>
  </r>
  <r>
    <x v="16"/>
    <n v="423"/>
    <n v="201"/>
    <x v="13"/>
    <n v="58"/>
    <n v="164"/>
  </r>
  <r>
    <x v="17"/>
    <n v="441"/>
    <n v="201"/>
    <x v="14"/>
    <n v="70"/>
    <n v="170"/>
  </r>
  <r>
    <x v="18"/>
    <n v="441"/>
    <n v="200"/>
    <x v="15"/>
    <n v="70"/>
    <n v="171"/>
  </r>
  <r>
    <x v="19"/>
    <n v="422"/>
    <n v="179"/>
    <x v="16"/>
    <n v="64"/>
    <n v="179"/>
  </r>
  <r>
    <x v="20"/>
    <n v="403"/>
    <n v="181"/>
    <x v="17"/>
    <n v="57"/>
    <n v="165"/>
  </r>
  <r>
    <x v="21"/>
    <n v="404"/>
    <n v="181"/>
    <x v="18"/>
    <n v="57"/>
    <n v="166"/>
  </r>
  <r>
    <x v="22"/>
    <n v="407"/>
    <n v="181"/>
    <x v="19"/>
    <n v="58"/>
    <n v="168"/>
  </r>
  <r>
    <x v="23"/>
    <n v="407"/>
    <n v="181"/>
    <x v="19"/>
    <n v="58"/>
    <n v="168"/>
  </r>
  <r>
    <x v="24"/>
    <n v="411"/>
    <n v="184"/>
    <x v="20"/>
    <n v="58"/>
    <n v="169"/>
  </r>
  <r>
    <x v="25"/>
    <n v="375"/>
    <n v="181"/>
    <x v="21"/>
    <n v="47"/>
    <n v="147"/>
  </r>
  <r>
    <x v="26"/>
    <n v="0"/>
    <n v="0"/>
    <x v="22"/>
    <n v="0"/>
    <n v="0"/>
  </r>
  <r>
    <x v="27"/>
    <n v="11545"/>
    <n v="5368"/>
    <x v="23"/>
    <n v="1494"/>
    <n v="468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8">
  <r>
    <x v="0"/>
    <n v="152"/>
    <n v="146"/>
    <x v="0"/>
    <n v="6"/>
  </r>
  <r>
    <x v="1"/>
    <n v="114"/>
    <n v="111"/>
    <x v="1"/>
    <n v="3"/>
  </r>
  <r>
    <x v="2"/>
    <n v="121"/>
    <n v="118"/>
    <x v="2"/>
    <n v="3"/>
  </r>
  <r>
    <x v="3"/>
    <n v="231"/>
    <n v="210"/>
    <x v="3"/>
    <n v="21"/>
  </r>
  <r>
    <x v="4"/>
    <n v="230"/>
    <n v="209"/>
    <x v="4"/>
    <n v="21"/>
  </r>
  <r>
    <x v="5"/>
    <n v="235"/>
    <n v="212"/>
    <x v="5"/>
    <n v="23"/>
  </r>
  <r>
    <x v="6"/>
    <n v="238"/>
    <n v="215"/>
    <x v="6"/>
    <n v="23"/>
  </r>
  <r>
    <x v="7"/>
    <n v="198"/>
    <n v="196"/>
    <x v="7"/>
    <n v="2"/>
  </r>
  <r>
    <x v="8"/>
    <n v="198"/>
    <n v="196"/>
    <x v="7"/>
    <n v="2"/>
  </r>
  <r>
    <x v="9"/>
    <n v="198"/>
    <n v="196"/>
    <x v="7"/>
    <n v="2"/>
  </r>
  <r>
    <x v="10"/>
    <n v="198"/>
    <n v="196"/>
    <x v="7"/>
    <n v="2"/>
  </r>
  <r>
    <x v="11"/>
    <n v="174"/>
    <n v="172"/>
    <x v="8"/>
    <n v="2"/>
  </r>
  <r>
    <x v="12"/>
    <n v="178"/>
    <n v="149"/>
    <x v="9"/>
    <n v="29"/>
  </r>
  <r>
    <x v="13"/>
    <n v="0"/>
    <n v="0"/>
    <x v="10"/>
    <n v="0"/>
  </r>
  <r>
    <x v="14"/>
    <n v="70"/>
    <n v="0"/>
    <x v="11"/>
    <n v="70"/>
  </r>
  <r>
    <x v="15"/>
    <n v="13"/>
    <n v="0"/>
    <x v="11"/>
    <n v="13"/>
  </r>
  <r>
    <x v="16"/>
    <n v="0"/>
    <n v="0"/>
    <x v="10"/>
    <n v="0"/>
  </r>
  <r>
    <x v="17"/>
    <n v="7"/>
    <n v="0"/>
    <x v="11"/>
    <n v="7"/>
  </r>
  <r>
    <x v="18"/>
    <n v="8"/>
    <n v="0"/>
    <x v="11"/>
    <n v="8"/>
  </r>
  <r>
    <x v="19"/>
    <n v="1"/>
    <n v="0"/>
    <x v="11"/>
    <n v="1"/>
  </r>
  <r>
    <x v="20"/>
    <n v="0"/>
    <n v="0"/>
    <x v="10"/>
    <n v="0"/>
  </r>
  <r>
    <x v="21"/>
    <n v="0"/>
    <n v="0"/>
    <x v="10"/>
    <n v="0"/>
  </r>
  <r>
    <x v="22"/>
    <n v="0"/>
    <n v="0"/>
    <x v="10"/>
    <n v="0"/>
  </r>
  <r>
    <x v="23"/>
    <n v="111"/>
    <n v="108"/>
    <x v="12"/>
    <n v="3"/>
  </r>
  <r>
    <x v="24"/>
    <n v="103"/>
    <n v="98"/>
    <x v="13"/>
    <n v="5"/>
  </r>
  <r>
    <x v="25"/>
    <n v="0"/>
    <n v="0"/>
    <x v="10"/>
    <n v="0"/>
  </r>
  <r>
    <x v="26"/>
    <n v="0"/>
    <n v="0"/>
    <x v="10"/>
    <n v="0"/>
  </r>
  <r>
    <x v="27"/>
    <n v="2778"/>
    <n v="2532"/>
    <x v="14"/>
    <n v="24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24DB5165-62AE-4538-9B4C-7ABDEC4132A7}" name="PivotTable1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3">
  <location ref="A3:E31" firstHeaderRow="0" firstDataRow="1" firstDataCol="1"/>
  <pivotFields count="6">
    <pivotField axis="axisRow" showAll="0">
      <items count="29">
        <item x="0"/>
        <item x="1"/>
        <item x="5"/>
        <item x="6"/>
        <item x="4"/>
        <item x="13"/>
        <item x="12"/>
        <item x="24"/>
        <item x="16"/>
        <item x="7"/>
        <item x="8"/>
        <item x="9"/>
        <item x="11"/>
        <item x="10"/>
        <item x="22"/>
        <item x="19"/>
        <item x="18"/>
        <item x="14"/>
        <item x="17"/>
        <item x="15"/>
        <item x="26"/>
        <item x="3"/>
        <item x="2"/>
        <item x="25"/>
        <item x="23"/>
        <item x="21"/>
        <item x="20"/>
        <item h="1" x="27"/>
        <item t="default"/>
      </items>
    </pivotField>
    <pivotField dataField="1" showAll="0"/>
    <pivotField dataField="1" showAll="0"/>
    <pivotField showAll="0">
      <items count="25">
        <item x="1"/>
        <item x="2"/>
        <item x="16"/>
        <item x="19"/>
        <item x="10"/>
        <item x="20"/>
        <item x="18"/>
        <item x="17"/>
        <item x="0"/>
        <item x="9"/>
        <item x="15"/>
        <item x="14"/>
        <item x="8"/>
        <item x="7"/>
        <item x="23"/>
        <item x="11"/>
        <item x="12"/>
        <item x="13"/>
        <item x="21"/>
        <item x="4"/>
        <item x="3"/>
        <item x="5"/>
        <item x="6"/>
        <item x="22"/>
        <item t="default"/>
      </items>
    </pivotField>
    <pivotField dataField="1" showAll="0"/>
    <pivotField dataField="1" showAll="0"/>
  </pivotFields>
  <rowFields count="1">
    <field x="0"/>
  </rowFields>
  <rowItems count="28">
    <i>
      <x/>
    </i>
    <i>
      <x v="1"/>
    </i>
    <i>
      <x v="2"/>
    </i>
    <i>
      <x v="3"/>
    </i>
    <i>
      <x v="4"/>
    </i>
    <i>
      <x v="5"/>
    </i>
    <i>
      <x v="6"/>
    </i>
    <i>
      <x v="7"/>
    </i>
    <i>
      <x v="8"/>
    </i>
    <i>
      <x v="9"/>
    </i>
    <i>
      <x v="10"/>
    </i>
    <i>
      <x v="11"/>
    </i>
    <i>
      <x v="12"/>
    </i>
    <i>
      <x v="13"/>
    </i>
    <i>
      <x v="14"/>
    </i>
    <i>
      <x v="15"/>
    </i>
    <i>
      <x v="16"/>
    </i>
    <i>
      <x v="17"/>
    </i>
    <i>
      <x v="18"/>
    </i>
    <i>
      <x v="19"/>
    </i>
    <i>
      <x v="20"/>
    </i>
    <i>
      <x v="21"/>
    </i>
    <i>
      <x v="22"/>
    </i>
    <i>
      <x v="23"/>
    </i>
    <i>
      <x v="24"/>
    </i>
    <i>
      <x v="25"/>
    </i>
    <i>
      <x v="26"/>
    </i>
    <i t="grand">
      <x/>
    </i>
  </rowItems>
  <colFields count="1">
    <field x="-2"/>
  </colFields>
  <colItems count="4">
    <i>
      <x/>
    </i>
    <i i="1">
      <x v="1"/>
    </i>
    <i i="2">
      <x v="2"/>
    </i>
    <i i="3">
      <x v="3"/>
    </i>
  </colItems>
  <dataFields count="4">
    <dataField name="Total Tests" fld="1" baseField="0" baseItem="0"/>
    <dataField name="Automatable " fld="2" baseField="0" baseItem="0"/>
    <dataField name="Not Automatable " fld="4" baseField="0" baseItem="0"/>
    <dataField name="To Confirm " fld="5" baseField="0" baseItem="0"/>
  </dataFields>
  <chartFormats count="4">
    <chartFormat chart="50" format="0" series="1">
      <pivotArea type="data" outline="0" fieldPosition="0">
        <references count="1">
          <reference field="4294967294" count="1" selected="0">
            <x v="0"/>
          </reference>
        </references>
      </pivotArea>
    </chartFormat>
    <chartFormat chart="50" format="1" series="1">
      <pivotArea type="data" outline="0" fieldPosition="0">
        <references count="1">
          <reference field="4294967294" count="1" selected="0">
            <x v="1"/>
          </reference>
        </references>
      </pivotArea>
    </chartFormat>
    <chartFormat chart="50" format="2" series="1">
      <pivotArea type="data" outline="0" fieldPosition="0">
        <references count="1">
          <reference field="4294967294" count="1" selected="0">
            <x v="2"/>
          </reference>
        </references>
      </pivotArea>
    </chartFormat>
    <chartFormat chart="50" format="3" series="1">
      <pivotArea type="data" outline="0" fieldPosition="0">
        <references count="1">
          <reference field="429496729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1CF728B-54BE-42FC-A47D-1C30C6501DAE}" name="PivotTable13"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0">
  <location ref="A3:D31" firstHeaderRow="0" firstDataRow="1" firstDataCol="1"/>
  <pivotFields count="5">
    <pivotField axis="axisRow" showAll="0">
      <items count="29">
        <item x="1"/>
        <item x="5"/>
        <item x="6"/>
        <item x="4"/>
        <item x="13"/>
        <item x="12"/>
        <item x="24"/>
        <item x="0"/>
        <item x="16"/>
        <item x="7"/>
        <item x="8"/>
        <item x="9"/>
        <item x="11"/>
        <item x="10"/>
        <item x="22"/>
        <item x="19"/>
        <item x="18"/>
        <item x="14"/>
        <item x="17"/>
        <item x="15"/>
        <item x="26"/>
        <item x="3"/>
        <item x="2"/>
        <item x="25"/>
        <item x="23"/>
        <item x="21"/>
        <item x="20"/>
        <item h="1" x="27"/>
        <item t="default"/>
      </items>
    </pivotField>
    <pivotField dataField="1" showAll="0"/>
    <pivotField dataField="1" showAll="0"/>
    <pivotField showAll="0">
      <items count="16">
        <item x="11"/>
        <item x="9"/>
        <item x="5"/>
        <item x="6"/>
        <item x="4"/>
        <item x="3"/>
        <item x="14"/>
        <item x="13"/>
        <item x="0"/>
        <item x="12"/>
        <item x="1"/>
        <item x="2"/>
        <item x="8"/>
        <item x="7"/>
        <item x="10"/>
        <item t="default"/>
      </items>
    </pivotField>
    <pivotField dataField="1" showAll="0"/>
  </pivotFields>
  <rowFields count="1">
    <field x="0"/>
  </rowFields>
  <rowItems count="28">
    <i>
      <x/>
    </i>
    <i>
      <x v="1"/>
    </i>
    <i>
      <x v="2"/>
    </i>
    <i>
      <x v="3"/>
    </i>
    <i>
      <x v="4"/>
    </i>
    <i>
      <x v="5"/>
    </i>
    <i>
      <x v="6"/>
    </i>
    <i>
      <x v="7"/>
    </i>
    <i>
      <x v="8"/>
    </i>
    <i>
      <x v="9"/>
    </i>
    <i>
      <x v="10"/>
    </i>
    <i>
      <x v="11"/>
    </i>
    <i>
      <x v="12"/>
    </i>
    <i>
      <x v="13"/>
    </i>
    <i>
      <x v="14"/>
    </i>
    <i>
      <x v="15"/>
    </i>
    <i>
      <x v="16"/>
    </i>
    <i>
      <x v="17"/>
    </i>
    <i>
      <x v="18"/>
    </i>
    <i>
      <x v="19"/>
    </i>
    <i>
      <x v="20"/>
    </i>
    <i>
      <x v="21"/>
    </i>
    <i>
      <x v="22"/>
    </i>
    <i>
      <x v="23"/>
    </i>
    <i>
      <x v="24"/>
    </i>
    <i>
      <x v="25"/>
    </i>
    <i>
      <x v="26"/>
    </i>
    <i t="grand">
      <x/>
    </i>
  </rowItems>
  <colFields count="1">
    <field x="-2"/>
  </colFields>
  <colItems count="3">
    <i>
      <x/>
    </i>
    <i i="1">
      <x v="1"/>
    </i>
    <i i="2">
      <x v="2"/>
    </i>
  </colItems>
  <dataFields count="3">
    <dataField name="SIT Automated " fld="1" baseField="0" baseItem="0"/>
    <dataField name="Build Out " fld="2" baseField="0" baseItem="0"/>
    <dataField name="Pending Build Out" fld="4" baseField="0" baseItem="0"/>
  </dataFields>
  <chartFormats count="3">
    <chartFormat chart="29" format="0" series="1">
      <pivotArea type="data" outline="0" fieldPosition="0">
        <references count="1">
          <reference field="4294967294" count="1" selected="0">
            <x v="0"/>
          </reference>
        </references>
      </pivotArea>
    </chartFormat>
    <chartFormat chart="29" format="1" series="1">
      <pivotArea type="data" outline="0" fieldPosition="0">
        <references count="1">
          <reference field="4294967294" count="1" selected="0">
            <x v="1"/>
          </reference>
        </references>
      </pivotArea>
    </chartFormat>
    <chartFormat chart="29" format="2"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81BF58-D1D5-4A29-980E-FB1D1E1BD208}">
  <sheetPr codeName="Sheet1" filterMode="1"/>
  <dimension ref="A1:JD763"/>
  <sheetViews>
    <sheetView zoomScale="98" zoomScaleNormal="70" workbookViewId="0">
      <selection activeCell="G80" sqref="G80"/>
    </sheetView>
  </sheetViews>
  <sheetFormatPr defaultColWidth="9.33203125" defaultRowHeight="14.4" x14ac:dyDescent="0.3"/>
  <cols>
    <col min="1" max="1" width="21.33203125" style="16" customWidth="1"/>
    <col min="2" max="2" width="22.109375" style="16" customWidth="1"/>
    <col min="3" max="3" width="31.109375" style="5" customWidth="1"/>
    <col min="4" max="4" width="17.109375" style="16" customWidth="1"/>
    <col min="5" max="5" width="15" style="16" customWidth="1"/>
    <col min="6" max="6" width="25" style="16" bestFit="1" customWidth="1"/>
    <col min="7" max="8" width="17.33203125" style="16" customWidth="1"/>
    <col min="9" max="10" width="15.33203125" style="16" customWidth="1"/>
    <col min="11" max="12" width="17.33203125" style="16" customWidth="1"/>
    <col min="13" max="13" width="37.88671875" style="5" customWidth="1"/>
    <col min="14" max="14" width="32.44140625" style="5" customWidth="1"/>
    <col min="15" max="15" width="21.6640625" style="5" customWidth="1"/>
    <col min="16" max="16" width="41.109375" style="5" customWidth="1"/>
    <col min="19" max="19" width="17.109375" style="16" customWidth="1"/>
    <col min="20" max="20" width="17.33203125" style="16" customWidth="1"/>
    <col min="22" max="23" width="15.33203125" style="16" customWidth="1"/>
    <col min="24" max="24" width="17.88671875" style="16" customWidth="1"/>
    <col min="25" max="25" width="18.109375" style="16" customWidth="1"/>
    <col min="26" max="26" width="16.44140625" style="16" customWidth="1"/>
    <col min="27" max="27" width="15.33203125" style="16" customWidth="1"/>
    <col min="28" max="28" width="15" style="16" customWidth="1"/>
    <col min="29" max="31" width="15.33203125" style="16" customWidth="1"/>
    <col min="32" max="32" width="14.6640625" style="16" customWidth="1"/>
    <col min="33" max="33" width="17.33203125" style="16" customWidth="1"/>
    <col min="34" max="34" width="17.88671875" style="16" customWidth="1"/>
    <col min="35" max="35" width="13.44140625" style="16" customWidth="1"/>
    <col min="36" max="36" width="16.6640625" style="16" customWidth="1"/>
    <col min="37" max="37" width="19.33203125" style="16" customWidth="1"/>
    <col min="38" max="38" width="17.88671875" style="16" customWidth="1"/>
    <col min="39" max="39" width="15.88671875" style="16" customWidth="1"/>
    <col min="40" max="41" width="16.44140625" style="16" customWidth="1"/>
    <col min="42" max="42" width="18.33203125" style="16" customWidth="1"/>
    <col min="43" max="43" width="12.33203125" style="16" bestFit="1" customWidth="1"/>
    <col min="44" max="44" width="12.88671875" style="16" customWidth="1"/>
    <col min="45" max="45" width="15.33203125" style="16" bestFit="1" customWidth="1"/>
    <col min="46" max="46" width="13.33203125" style="16" customWidth="1"/>
    <col min="47" max="47" width="18.6640625" style="16" customWidth="1"/>
    <col min="48" max="48" width="12.33203125" style="16" customWidth="1"/>
    <col min="49" max="16384" width="9.33203125" style="16"/>
  </cols>
  <sheetData>
    <row r="1" spans="1:264" s="38" customFormat="1" ht="54.75" customHeight="1" x14ac:dyDescent="0.3">
      <c r="A1" s="22" t="s">
        <v>3175</v>
      </c>
      <c r="B1" s="22" t="s">
        <v>2</v>
      </c>
      <c r="C1" s="21" t="s">
        <v>3173</v>
      </c>
      <c r="D1" s="23" t="s">
        <v>2337</v>
      </c>
      <c r="E1" s="24" t="s">
        <v>7</v>
      </c>
      <c r="F1" s="123" t="s">
        <v>3177</v>
      </c>
      <c r="G1" s="24" t="s">
        <v>1841</v>
      </c>
      <c r="H1" s="123" t="s">
        <v>3188</v>
      </c>
      <c r="I1" s="25" t="s">
        <v>2094</v>
      </c>
      <c r="J1" s="124" t="s">
        <v>3193</v>
      </c>
      <c r="K1" s="25" t="s">
        <v>8</v>
      </c>
      <c r="L1" s="124" t="s">
        <v>3194</v>
      </c>
      <c r="M1" s="21" t="s">
        <v>0</v>
      </c>
      <c r="N1" s="21" t="s">
        <v>1</v>
      </c>
      <c r="O1" s="42" t="s">
        <v>1646</v>
      </c>
      <c r="P1" s="28" t="s">
        <v>1026</v>
      </c>
      <c r="S1" s="23" t="s">
        <v>3154</v>
      </c>
      <c r="T1" s="23" t="s">
        <v>2336</v>
      </c>
      <c r="V1" s="24" t="s">
        <v>2283</v>
      </c>
      <c r="W1" s="24" t="s">
        <v>3</v>
      </c>
      <c r="X1" s="24" t="s">
        <v>4</v>
      </c>
      <c r="Y1" s="24" t="s">
        <v>5</v>
      </c>
      <c r="Z1" s="24" t="s">
        <v>6</v>
      </c>
      <c r="AA1" s="25" t="s">
        <v>2093</v>
      </c>
      <c r="AB1" s="25" t="s">
        <v>2095</v>
      </c>
      <c r="AC1" s="25" t="s">
        <v>2096</v>
      </c>
      <c r="AD1" s="25" t="s">
        <v>2408</v>
      </c>
      <c r="AE1" s="25" t="s">
        <v>2409</v>
      </c>
      <c r="AF1" s="25" t="s">
        <v>1899</v>
      </c>
      <c r="AG1" s="25" t="s">
        <v>9</v>
      </c>
      <c r="AH1" s="25" t="s">
        <v>10</v>
      </c>
      <c r="AI1" s="25" t="s">
        <v>2410</v>
      </c>
      <c r="AJ1" s="25" t="s">
        <v>11</v>
      </c>
      <c r="AK1" s="25" t="s">
        <v>12</v>
      </c>
      <c r="AL1" s="25" t="s">
        <v>13</v>
      </c>
      <c r="AM1" s="25" t="s">
        <v>953</v>
      </c>
      <c r="AN1" s="25" t="s">
        <v>900</v>
      </c>
      <c r="AO1" s="25" t="s">
        <v>901</v>
      </c>
      <c r="AP1" s="25" t="s">
        <v>2246</v>
      </c>
      <c r="AQ1" s="25" t="s">
        <v>2247</v>
      </c>
      <c r="AR1" s="25" t="s">
        <v>1898</v>
      </c>
      <c r="AS1" s="25" t="s">
        <v>190</v>
      </c>
      <c r="AT1" s="25" t="s">
        <v>954</v>
      </c>
      <c r="AU1" s="26" t="s">
        <v>1121</v>
      </c>
      <c r="AV1" s="25" t="s">
        <v>2428</v>
      </c>
    </row>
    <row r="2" spans="1:264" ht="103.5" hidden="1" customHeight="1" x14ac:dyDescent="0.3">
      <c r="A2" s="6" t="s">
        <v>56</v>
      </c>
      <c r="B2" s="6" t="s">
        <v>55</v>
      </c>
      <c r="C2" s="15" t="s">
        <v>3172</v>
      </c>
      <c r="D2" s="6" t="s">
        <v>32</v>
      </c>
      <c r="E2" s="15" t="s">
        <v>19</v>
      </c>
      <c r="F2" s="15" t="s">
        <v>19</v>
      </c>
      <c r="G2" s="15" t="s">
        <v>19</v>
      </c>
      <c r="H2" s="15" t="s">
        <v>19</v>
      </c>
      <c r="I2" s="15" t="s">
        <v>19</v>
      </c>
      <c r="J2" s="15" t="s">
        <v>19</v>
      </c>
      <c r="K2" s="15" t="s">
        <v>19</v>
      </c>
      <c r="L2" s="15" t="s">
        <v>19</v>
      </c>
      <c r="M2" s="15" t="s">
        <v>2855</v>
      </c>
      <c r="N2" s="4" t="s">
        <v>2856</v>
      </c>
      <c r="O2" s="4" t="s">
        <v>2857</v>
      </c>
      <c r="P2" s="4" t="s">
        <v>2858</v>
      </c>
      <c r="S2" s="6" t="e" cm="1">
        <f t="array" aca="1" ref="S2" ca="1">COMMONMARKETCOUNT(H2:AV2)</f>
        <v>#NAME?</v>
      </c>
      <c r="T2" s="6" t="e" cm="1">
        <f t="array" aca="1" ref="T2" ca="1">AUTOMATEDCOUNT(H2:AV2)</f>
        <v>#NAME?</v>
      </c>
      <c r="V2" s="15" t="s">
        <v>19</v>
      </c>
      <c r="W2" s="15" t="s">
        <v>19</v>
      </c>
      <c r="X2" s="15" t="s">
        <v>19</v>
      </c>
      <c r="Y2" s="15" t="s">
        <v>19</v>
      </c>
      <c r="Z2" s="15" t="s">
        <v>19</v>
      </c>
      <c r="AA2" s="15" t="s">
        <v>19</v>
      </c>
      <c r="AB2" s="15" t="s">
        <v>19</v>
      </c>
      <c r="AC2" s="15" t="s">
        <v>19</v>
      </c>
      <c r="AD2" s="15" t="s">
        <v>19</v>
      </c>
      <c r="AE2" s="15" t="s">
        <v>19</v>
      </c>
      <c r="AF2" s="15" t="s">
        <v>19</v>
      </c>
      <c r="AG2" s="15" t="s">
        <v>19</v>
      </c>
      <c r="AH2" s="15" t="s">
        <v>19</v>
      </c>
      <c r="AI2" s="15" t="s">
        <v>19</v>
      </c>
      <c r="AJ2" s="15" t="s">
        <v>19</v>
      </c>
      <c r="AK2" s="15" t="s">
        <v>19</v>
      </c>
      <c r="AL2" s="15" t="s">
        <v>19</v>
      </c>
      <c r="AM2" s="15" t="s">
        <v>19</v>
      </c>
      <c r="AN2" s="15" t="s">
        <v>19</v>
      </c>
      <c r="AO2" s="15" t="s">
        <v>19</v>
      </c>
      <c r="AP2" s="15" t="s">
        <v>19</v>
      </c>
      <c r="AQ2" s="15" t="s">
        <v>19</v>
      </c>
      <c r="AR2" s="15" t="s">
        <v>19</v>
      </c>
      <c r="AS2" s="15" t="s">
        <v>19</v>
      </c>
      <c r="AT2" s="15" t="s">
        <v>19</v>
      </c>
      <c r="AU2" s="18" t="s">
        <v>3153</v>
      </c>
      <c r="AV2" s="36" t="s">
        <v>19</v>
      </c>
    </row>
    <row r="3" spans="1:264" ht="111.75" hidden="1" customHeight="1" x14ac:dyDescent="0.3">
      <c r="A3" s="18" t="s">
        <v>25</v>
      </c>
      <c r="B3" s="15" t="s">
        <v>17</v>
      </c>
      <c r="C3" s="15" t="s">
        <v>14</v>
      </c>
      <c r="D3" s="15" t="s">
        <v>19</v>
      </c>
      <c r="E3" s="70" t="s">
        <v>19</v>
      </c>
      <c r="F3" s="70" t="s">
        <v>3178</v>
      </c>
      <c r="G3" s="70" t="s">
        <v>19</v>
      </c>
      <c r="H3" s="70" t="s">
        <v>3178</v>
      </c>
      <c r="I3" s="72" t="s">
        <v>19</v>
      </c>
      <c r="J3" s="72" t="s">
        <v>19</v>
      </c>
      <c r="K3" s="72" t="s">
        <v>19</v>
      </c>
      <c r="L3" s="72" t="s">
        <v>19</v>
      </c>
      <c r="M3" s="15" t="s">
        <v>3155</v>
      </c>
      <c r="N3" s="4" t="s">
        <v>15</v>
      </c>
      <c r="O3" s="15"/>
      <c r="P3" s="4" t="s">
        <v>16</v>
      </c>
      <c r="S3" s="15" t="e" cm="1">
        <f t="array" aca="1" ref="S3" ca="1">COMMONMARKETCOUNT(H3:AV3)</f>
        <v>#NAME?</v>
      </c>
      <c r="T3" s="6" t="e" cm="1">
        <f t="array" aca="1" ref="T3" ca="1">AUTOMATEDCOUNT(H3:AV3)</f>
        <v>#NAME?</v>
      </c>
      <c r="V3" s="70" t="s">
        <v>19</v>
      </c>
      <c r="W3" s="70" t="s">
        <v>19</v>
      </c>
      <c r="X3" s="70" t="s">
        <v>19</v>
      </c>
      <c r="Y3" s="70" t="s">
        <v>19</v>
      </c>
      <c r="Z3" s="70" t="s">
        <v>19</v>
      </c>
      <c r="AA3" s="72" t="s">
        <v>19</v>
      </c>
      <c r="AB3" s="72" t="s">
        <v>19</v>
      </c>
      <c r="AC3" s="72" t="s">
        <v>19</v>
      </c>
      <c r="AD3" s="72" t="s">
        <v>19</v>
      </c>
      <c r="AE3" s="18" t="s">
        <v>19</v>
      </c>
      <c r="AF3" s="18" t="s">
        <v>19</v>
      </c>
      <c r="AG3" s="29" t="s">
        <v>19</v>
      </c>
      <c r="AH3" s="18" t="s">
        <v>19</v>
      </c>
      <c r="AI3" s="18" t="s">
        <v>19</v>
      </c>
      <c r="AJ3" s="18" t="s">
        <v>19</v>
      </c>
      <c r="AK3" s="18" t="s">
        <v>19</v>
      </c>
      <c r="AL3" s="18" t="s">
        <v>19</v>
      </c>
      <c r="AM3" s="18" t="s">
        <v>19</v>
      </c>
      <c r="AN3" s="18" t="s">
        <v>19</v>
      </c>
      <c r="AO3" s="18" t="s">
        <v>19</v>
      </c>
      <c r="AP3" s="18" t="s">
        <v>19</v>
      </c>
      <c r="AQ3" s="18" t="s">
        <v>19</v>
      </c>
      <c r="AR3" s="18" t="s">
        <v>19</v>
      </c>
      <c r="AS3" s="70" t="s">
        <v>19</v>
      </c>
      <c r="AT3" s="72" t="s">
        <v>19</v>
      </c>
      <c r="AU3" s="29" t="s">
        <v>3153</v>
      </c>
      <c r="AV3" s="36" t="s">
        <v>19</v>
      </c>
    </row>
    <row r="4" spans="1:264" ht="84" customHeight="1" x14ac:dyDescent="0.3">
      <c r="A4" s="15" t="s">
        <v>25</v>
      </c>
      <c r="B4" s="15" t="s">
        <v>24</v>
      </c>
      <c r="C4" s="15" t="s">
        <v>20</v>
      </c>
      <c r="D4" s="15" t="s">
        <v>19</v>
      </c>
      <c r="E4" s="70" t="s">
        <v>19</v>
      </c>
      <c r="F4" s="70" t="s">
        <v>19</v>
      </c>
      <c r="G4" s="70" t="s">
        <v>19</v>
      </c>
      <c r="H4" s="70" t="s">
        <v>19</v>
      </c>
      <c r="I4" s="72" t="s">
        <v>19</v>
      </c>
      <c r="J4" s="72" t="s">
        <v>19</v>
      </c>
      <c r="K4" s="72" t="s">
        <v>19</v>
      </c>
      <c r="L4" s="72" t="s">
        <v>19</v>
      </c>
      <c r="M4" s="15" t="s">
        <v>21</v>
      </c>
      <c r="N4" s="4" t="s">
        <v>22</v>
      </c>
      <c r="O4" s="15"/>
      <c r="P4" s="4" t="s">
        <v>23</v>
      </c>
      <c r="S4" s="15" t="e" cm="1">
        <f t="array" aca="1" ref="S4" ca="1">COMMONMARKETCOUNT(H4:AV4)</f>
        <v>#NAME?</v>
      </c>
      <c r="T4" s="6" t="e" cm="1">
        <f t="array" aca="1" ref="T4" ca="1">AUTOMATEDCOUNT(H4:AV4)</f>
        <v>#NAME?</v>
      </c>
      <c r="V4" s="70" t="s">
        <v>19</v>
      </c>
      <c r="W4" s="70" t="s">
        <v>19</v>
      </c>
      <c r="X4" s="70" t="s">
        <v>19</v>
      </c>
      <c r="Y4" s="70" t="s">
        <v>19</v>
      </c>
      <c r="Z4" s="70" t="s">
        <v>19</v>
      </c>
      <c r="AA4" s="72" t="s">
        <v>19</v>
      </c>
      <c r="AB4" s="72" t="s">
        <v>19</v>
      </c>
      <c r="AC4" s="72" t="s">
        <v>19</v>
      </c>
      <c r="AD4" s="72" t="s">
        <v>19</v>
      </c>
      <c r="AE4" s="18" t="s">
        <v>19</v>
      </c>
      <c r="AF4" s="18" t="s">
        <v>19</v>
      </c>
      <c r="AG4" s="29" t="s">
        <v>19</v>
      </c>
      <c r="AH4" s="29" t="s">
        <v>19</v>
      </c>
      <c r="AI4" s="18" t="s">
        <v>19</v>
      </c>
      <c r="AJ4" s="18" t="s">
        <v>19</v>
      </c>
      <c r="AK4" s="18" t="s">
        <v>19</v>
      </c>
      <c r="AL4" s="18" t="s">
        <v>19</v>
      </c>
      <c r="AM4" s="18" t="s">
        <v>19</v>
      </c>
      <c r="AN4" s="18" t="s">
        <v>19</v>
      </c>
      <c r="AO4" s="18" t="s">
        <v>19</v>
      </c>
      <c r="AP4" s="18" t="s">
        <v>19</v>
      </c>
      <c r="AQ4" s="18" t="s">
        <v>19</v>
      </c>
      <c r="AR4" s="18" t="s">
        <v>19</v>
      </c>
      <c r="AS4" s="18" t="s">
        <v>19</v>
      </c>
      <c r="AT4" s="18" t="s">
        <v>19</v>
      </c>
      <c r="AU4" s="29" t="s">
        <v>3153</v>
      </c>
      <c r="AV4" s="36" t="s">
        <v>19</v>
      </c>
    </row>
    <row r="5" spans="1:264" ht="64.5" hidden="1" customHeight="1" x14ac:dyDescent="0.3">
      <c r="A5" s="15" t="s">
        <v>25</v>
      </c>
      <c r="B5" s="15" t="s">
        <v>24</v>
      </c>
      <c r="C5" s="15" t="s">
        <v>916</v>
      </c>
      <c r="D5" s="15" t="s">
        <v>32</v>
      </c>
      <c r="E5" s="15" t="s">
        <v>19</v>
      </c>
      <c r="F5" s="15" t="s">
        <v>19</v>
      </c>
      <c r="G5" s="15" t="s">
        <v>19</v>
      </c>
      <c r="H5" s="15" t="s">
        <v>19</v>
      </c>
      <c r="I5" s="15" t="s">
        <v>19</v>
      </c>
      <c r="J5" s="15" t="s">
        <v>19</v>
      </c>
      <c r="K5" s="15" t="s">
        <v>19</v>
      </c>
      <c r="L5" s="15" t="s">
        <v>19</v>
      </c>
      <c r="M5" s="15" t="s">
        <v>911</v>
      </c>
      <c r="N5" s="4" t="s">
        <v>892</v>
      </c>
      <c r="O5" s="33" t="s">
        <v>1645</v>
      </c>
      <c r="P5" s="4" t="s">
        <v>2425</v>
      </c>
      <c r="S5" s="15" t="e" cm="1">
        <f t="array" aca="1" ref="S5" ca="1">COMMONMARKETCOUNT(H5:AV5)</f>
        <v>#NAME?</v>
      </c>
      <c r="T5" s="6" t="e" cm="1">
        <f t="array" aca="1" ref="T5" ca="1">AUTOMATEDCOUNT(H5:AV5)</f>
        <v>#NAME?</v>
      </c>
      <c r="V5" s="15" t="s">
        <v>19</v>
      </c>
      <c r="W5" s="15" t="s">
        <v>19</v>
      </c>
      <c r="X5" s="15" t="s">
        <v>19</v>
      </c>
      <c r="Y5" s="15" t="s">
        <v>19</v>
      </c>
      <c r="Z5" s="15" t="s">
        <v>19</v>
      </c>
      <c r="AA5" s="15" t="s">
        <v>19</v>
      </c>
      <c r="AB5" s="15" t="s">
        <v>19</v>
      </c>
      <c r="AC5" s="15" t="s">
        <v>19</v>
      </c>
      <c r="AD5" s="15" t="s">
        <v>19</v>
      </c>
      <c r="AE5" s="15" t="s">
        <v>19</v>
      </c>
      <c r="AF5" s="15" t="s">
        <v>19</v>
      </c>
      <c r="AG5" s="15" t="s">
        <v>19</v>
      </c>
      <c r="AH5" s="15" t="s">
        <v>19</v>
      </c>
      <c r="AI5" s="15" t="s">
        <v>19</v>
      </c>
      <c r="AJ5" s="15" t="s">
        <v>19</v>
      </c>
      <c r="AK5" s="15" t="s">
        <v>19</v>
      </c>
      <c r="AL5" s="15" t="s">
        <v>19</v>
      </c>
      <c r="AM5" s="15" t="s">
        <v>19</v>
      </c>
      <c r="AN5" s="15" t="s">
        <v>19</v>
      </c>
      <c r="AO5" s="15" t="s">
        <v>19</v>
      </c>
      <c r="AP5" s="15" t="s">
        <v>19</v>
      </c>
      <c r="AQ5" s="15" t="s">
        <v>19</v>
      </c>
      <c r="AR5" s="15" t="s">
        <v>19</v>
      </c>
      <c r="AS5" s="15" t="s">
        <v>19</v>
      </c>
      <c r="AT5" s="15" t="s">
        <v>19</v>
      </c>
      <c r="AU5" s="15" t="s">
        <v>109</v>
      </c>
      <c r="AV5" s="36" t="s">
        <v>19</v>
      </c>
    </row>
    <row r="6" spans="1:264" ht="84" hidden="1" customHeight="1" x14ac:dyDescent="0.3">
      <c r="A6" s="15" t="s">
        <v>18</v>
      </c>
      <c r="B6" s="15" t="s">
        <v>17</v>
      </c>
      <c r="C6" s="15" t="s">
        <v>26</v>
      </c>
      <c r="D6" s="15" t="s">
        <v>19</v>
      </c>
      <c r="E6" s="70" t="s">
        <v>19</v>
      </c>
      <c r="F6" s="70" t="s">
        <v>3178</v>
      </c>
      <c r="G6" s="70" t="s">
        <v>19</v>
      </c>
      <c r="H6" s="70" t="s">
        <v>3178</v>
      </c>
      <c r="I6" s="72" t="s">
        <v>19</v>
      </c>
      <c r="J6" s="72" t="s">
        <v>19</v>
      </c>
      <c r="K6" s="72" t="s">
        <v>19</v>
      </c>
      <c r="L6" s="72" t="s">
        <v>19</v>
      </c>
      <c r="M6" s="15" t="s">
        <v>27</v>
      </c>
      <c r="N6" s="4" t="s">
        <v>28</v>
      </c>
      <c r="O6" s="15"/>
      <c r="P6" s="4" t="s">
        <v>3018</v>
      </c>
      <c r="S6" s="15" t="e" cm="1">
        <f t="array" aca="1" ref="S6" ca="1">COMMONMARKETCOUNT(H6:AV6)</f>
        <v>#NAME?</v>
      </c>
      <c r="T6" s="6" t="e" cm="1">
        <f t="array" aca="1" ref="T6" ca="1">AUTOMATEDCOUNT(H6:AV6)</f>
        <v>#NAME?</v>
      </c>
      <c r="V6" s="70" t="s">
        <v>19</v>
      </c>
      <c r="W6" s="70" t="s">
        <v>19</v>
      </c>
      <c r="X6" s="70" t="s">
        <v>19</v>
      </c>
      <c r="Y6" s="70" t="s">
        <v>19</v>
      </c>
      <c r="Z6" s="70" t="s">
        <v>19</v>
      </c>
      <c r="AA6" s="72" t="s">
        <v>19</v>
      </c>
      <c r="AB6" s="72" t="s">
        <v>19</v>
      </c>
      <c r="AC6" s="72" t="s">
        <v>19</v>
      </c>
      <c r="AD6" s="72" t="s">
        <v>19</v>
      </c>
      <c r="AE6" s="18" t="s">
        <v>19</v>
      </c>
      <c r="AF6" s="18" t="s">
        <v>19</v>
      </c>
      <c r="AG6" s="29" t="s">
        <v>19</v>
      </c>
      <c r="AH6" s="18" t="s">
        <v>19</v>
      </c>
      <c r="AI6" s="18" t="s">
        <v>19</v>
      </c>
      <c r="AJ6" s="18" t="s">
        <v>19</v>
      </c>
      <c r="AK6" s="18" t="s">
        <v>19</v>
      </c>
      <c r="AL6" s="18" t="s">
        <v>19</v>
      </c>
      <c r="AM6" s="18" t="s">
        <v>19</v>
      </c>
      <c r="AN6" s="18" t="s">
        <v>19</v>
      </c>
      <c r="AO6" s="18" t="s">
        <v>19</v>
      </c>
      <c r="AP6" s="18" t="s">
        <v>19</v>
      </c>
      <c r="AQ6" s="18" t="s">
        <v>19</v>
      </c>
      <c r="AR6" s="18" t="s">
        <v>19</v>
      </c>
      <c r="AS6" s="70" t="s">
        <v>19</v>
      </c>
      <c r="AT6" s="72" t="s">
        <v>19</v>
      </c>
      <c r="AU6" s="18" t="s">
        <v>3153</v>
      </c>
      <c r="AV6" s="36" t="s">
        <v>19</v>
      </c>
    </row>
    <row r="7" spans="1:264" ht="84" hidden="1" customHeight="1" x14ac:dyDescent="0.3">
      <c r="A7" s="15" t="s">
        <v>25</v>
      </c>
      <c r="B7" s="15" t="s">
        <v>17</v>
      </c>
      <c r="C7" s="15" t="s">
        <v>29</v>
      </c>
      <c r="D7" s="15" t="s">
        <v>19</v>
      </c>
      <c r="E7" s="70" t="s">
        <v>19</v>
      </c>
      <c r="F7" s="70" t="s">
        <v>3178</v>
      </c>
      <c r="G7" s="70" t="s">
        <v>19</v>
      </c>
      <c r="H7" s="70" t="s">
        <v>3178</v>
      </c>
      <c r="I7" s="72" t="s">
        <v>19</v>
      </c>
      <c r="J7" s="72" t="s">
        <v>19</v>
      </c>
      <c r="K7" s="72" t="s">
        <v>19</v>
      </c>
      <c r="L7" s="72" t="s">
        <v>19</v>
      </c>
      <c r="M7" s="15" t="s">
        <v>30</v>
      </c>
      <c r="N7" s="4" t="s">
        <v>31</v>
      </c>
      <c r="O7" s="15"/>
      <c r="P7" s="4" t="s">
        <v>3019</v>
      </c>
      <c r="S7" s="15" t="e" cm="1">
        <f t="array" aca="1" ref="S7" ca="1">COMMONMARKETCOUNT(H7:AV7)</f>
        <v>#NAME?</v>
      </c>
      <c r="T7" s="6" t="e" cm="1">
        <f t="array" aca="1" ref="T7" ca="1">AUTOMATEDCOUNT(H7:AV7)</f>
        <v>#NAME?</v>
      </c>
      <c r="V7" s="70" t="s">
        <v>19</v>
      </c>
      <c r="W7" s="70" t="s">
        <v>19</v>
      </c>
      <c r="X7" s="70" t="s">
        <v>19</v>
      </c>
      <c r="Y7" s="70" t="s">
        <v>19</v>
      </c>
      <c r="Z7" s="70" t="s">
        <v>19</v>
      </c>
      <c r="AA7" s="72" t="s">
        <v>19</v>
      </c>
      <c r="AB7" s="72" t="s">
        <v>19</v>
      </c>
      <c r="AC7" s="72" t="s">
        <v>19</v>
      </c>
      <c r="AD7" s="72" t="s">
        <v>19</v>
      </c>
      <c r="AE7" s="18" t="s">
        <v>19</v>
      </c>
      <c r="AF7" s="18" t="s">
        <v>19</v>
      </c>
      <c r="AG7" s="29" t="s">
        <v>19</v>
      </c>
      <c r="AH7" s="18" t="s">
        <v>19</v>
      </c>
      <c r="AI7" s="18" t="s">
        <v>19</v>
      </c>
      <c r="AJ7" s="18" t="s">
        <v>19</v>
      </c>
      <c r="AK7" s="18" t="s">
        <v>19</v>
      </c>
      <c r="AL7" s="18" t="s">
        <v>19</v>
      </c>
      <c r="AM7" s="18" t="s">
        <v>19</v>
      </c>
      <c r="AN7" s="18" t="s">
        <v>19</v>
      </c>
      <c r="AO7" s="18" t="s">
        <v>19</v>
      </c>
      <c r="AP7" s="18" t="s">
        <v>19</v>
      </c>
      <c r="AQ7" s="18" t="s">
        <v>19</v>
      </c>
      <c r="AR7" s="18" t="s">
        <v>19</v>
      </c>
      <c r="AS7" s="70" t="s">
        <v>19</v>
      </c>
      <c r="AT7" s="72" t="s">
        <v>19</v>
      </c>
      <c r="AU7" s="18" t="s">
        <v>3153</v>
      </c>
      <c r="AV7" s="36" t="s">
        <v>19</v>
      </c>
    </row>
    <row r="8" spans="1:264" ht="84" hidden="1" customHeight="1" x14ac:dyDescent="0.3">
      <c r="A8" s="15" t="s">
        <v>18</v>
      </c>
      <c r="B8" s="15" t="s">
        <v>37</v>
      </c>
      <c r="C8" s="15" t="s">
        <v>33</v>
      </c>
      <c r="D8" s="15" t="s">
        <v>19</v>
      </c>
      <c r="E8" s="70" t="s">
        <v>19</v>
      </c>
      <c r="F8" s="70" t="s">
        <v>19</v>
      </c>
      <c r="G8" s="70" t="s">
        <v>19</v>
      </c>
      <c r="H8" s="70" t="s">
        <v>3178</v>
      </c>
      <c r="I8" s="72" t="s">
        <v>19</v>
      </c>
      <c r="J8" s="72" t="s">
        <v>19</v>
      </c>
      <c r="K8" s="72" t="s">
        <v>19</v>
      </c>
      <c r="L8" s="72" t="s">
        <v>19</v>
      </c>
      <c r="M8" s="15" t="s">
        <v>34</v>
      </c>
      <c r="N8" s="4" t="s">
        <v>35</v>
      </c>
      <c r="O8" s="15"/>
      <c r="P8" s="4" t="s">
        <v>36</v>
      </c>
      <c r="S8" s="15" t="e" cm="1">
        <f t="array" aca="1" ref="S8" ca="1">COMMONMARKETCOUNT(H8:AV8)</f>
        <v>#NAME?</v>
      </c>
      <c r="T8" s="6" t="e" cm="1">
        <f t="array" aca="1" ref="T8" ca="1">AUTOMATEDCOUNT(H8:AV8)</f>
        <v>#NAME?</v>
      </c>
      <c r="V8" s="70" t="s">
        <v>19</v>
      </c>
      <c r="W8" s="70" t="s">
        <v>19</v>
      </c>
      <c r="X8" s="70" t="s">
        <v>19</v>
      </c>
      <c r="Y8" s="70" t="s">
        <v>19</v>
      </c>
      <c r="Z8" s="70" t="s">
        <v>19</v>
      </c>
      <c r="AA8" s="72" t="s">
        <v>19</v>
      </c>
      <c r="AB8" s="72" t="s">
        <v>19</v>
      </c>
      <c r="AC8" s="72" t="s">
        <v>19</v>
      </c>
      <c r="AD8" s="72" t="s">
        <v>19</v>
      </c>
      <c r="AE8" s="18" t="s">
        <v>19</v>
      </c>
      <c r="AF8" s="18" t="s">
        <v>19</v>
      </c>
      <c r="AG8" s="29" t="s">
        <v>19</v>
      </c>
      <c r="AH8" s="18" t="s">
        <v>19</v>
      </c>
      <c r="AI8" s="18" t="s">
        <v>19</v>
      </c>
      <c r="AJ8" s="18" t="s">
        <v>19</v>
      </c>
      <c r="AK8" s="18" t="s">
        <v>19</v>
      </c>
      <c r="AL8" s="18" t="s">
        <v>19</v>
      </c>
      <c r="AM8" s="18" t="s">
        <v>19</v>
      </c>
      <c r="AN8" s="18" t="s">
        <v>19</v>
      </c>
      <c r="AO8" s="18" t="s">
        <v>19</v>
      </c>
      <c r="AP8" s="18" t="s">
        <v>19</v>
      </c>
      <c r="AQ8" s="18" t="s">
        <v>19</v>
      </c>
      <c r="AR8" s="18" t="s">
        <v>19</v>
      </c>
      <c r="AS8" s="70" t="s">
        <v>19</v>
      </c>
      <c r="AT8" s="72" t="s">
        <v>19</v>
      </c>
      <c r="AU8" s="29" t="s">
        <v>3153</v>
      </c>
      <c r="AV8" s="36" t="s">
        <v>19</v>
      </c>
    </row>
    <row r="9" spans="1:264" ht="84" hidden="1" customHeight="1" x14ac:dyDescent="0.3">
      <c r="A9" s="15" t="s">
        <v>25</v>
      </c>
      <c r="B9" s="15" t="s">
        <v>37</v>
      </c>
      <c r="C9" s="15" t="s">
        <v>38</v>
      </c>
      <c r="D9" s="15" t="s">
        <v>19</v>
      </c>
      <c r="E9" s="70" t="s">
        <v>19</v>
      </c>
      <c r="F9" s="70" t="s">
        <v>19</v>
      </c>
      <c r="G9" s="70" t="s">
        <v>19</v>
      </c>
      <c r="H9" s="20" t="s">
        <v>3196</v>
      </c>
      <c r="I9" s="72" t="s">
        <v>19</v>
      </c>
      <c r="J9" s="72" t="s">
        <v>19</v>
      </c>
      <c r="K9" s="72" t="s">
        <v>19</v>
      </c>
      <c r="L9" s="72" t="s">
        <v>19</v>
      </c>
      <c r="M9" s="15" t="s">
        <v>1667</v>
      </c>
      <c r="N9" s="4" t="s">
        <v>914</v>
      </c>
      <c r="O9" s="15"/>
      <c r="P9" s="4" t="s">
        <v>39</v>
      </c>
      <c r="S9" s="15" t="e" cm="1">
        <f t="array" aca="1" ref="S9" ca="1">COMMONMARKETCOUNT(H9:AV9)</f>
        <v>#NAME?</v>
      </c>
      <c r="T9" s="6" t="e" cm="1">
        <f t="array" aca="1" ref="T9" ca="1">AUTOMATEDCOUNT(H9:AV9)</f>
        <v>#NAME?</v>
      </c>
      <c r="V9" s="70" t="s">
        <v>19</v>
      </c>
      <c r="W9" s="70" t="s">
        <v>19</v>
      </c>
      <c r="X9" s="70" t="s">
        <v>19</v>
      </c>
      <c r="Y9" s="70" t="s">
        <v>19</v>
      </c>
      <c r="Z9" s="70" t="s">
        <v>19</v>
      </c>
      <c r="AA9" s="72" t="s">
        <v>19</v>
      </c>
      <c r="AB9" s="72" t="s">
        <v>19</v>
      </c>
      <c r="AC9" s="72" t="s">
        <v>19</v>
      </c>
      <c r="AD9" s="72" t="s">
        <v>19</v>
      </c>
      <c r="AE9" s="18" t="s">
        <v>19</v>
      </c>
      <c r="AF9" s="18" t="s">
        <v>19</v>
      </c>
      <c r="AG9" s="29" t="s">
        <v>19</v>
      </c>
      <c r="AH9" s="18" t="s">
        <v>19</v>
      </c>
      <c r="AI9" s="18" t="s">
        <v>19</v>
      </c>
      <c r="AJ9" s="18" t="s">
        <v>19</v>
      </c>
      <c r="AK9" s="18" t="s">
        <v>19</v>
      </c>
      <c r="AL9" s="18" t="s">
        <v>19</v>
      </c>
      <c r="AM9" s="18" t="s">
        <v>19</v>
      </c>
      <c r="AN9" s="18" t="s">
        <v>19</v>
      </c>
      <c r="AO9" s="18" t="s">
        <v>19</v>
      </c>
      <c r="AP9" s="18" t="s">
        <v>19</v>
      </c>
      <c r="AQ9" s="18" t="s">
        <v>19</v>
      </c>
      <c r="AR9" s="18" t="s">
        <v>19</v>
      </c>
      <c r="AS9" s="70" t="s">
        <v>19</v>
      </c>
      <c r="AT9" s="72" t="s">
        <v>19</v>
      </c>
      <c r="AU9" s="29" t="s">
        <v>3153</v>
      </c>
      <c r="AV9" s="36" t="s">
        <v>19</v>
      </c>
    </row>
    <row r="10" spans="1:264" ht="74.25" hidden="1" customHeight="1" x14ac:dyDescent="0.3">
      <c r="A10" s="15" t="s">
        <v>18</v>
      </c>
      <c r="B10" s="15" t="s">
        <v>17</v>
      </c>
      <c r="C10" s="15" t="s">
        <v>40</v>
      </c>
      <c r="D10" s="15" t="s">
        <v>19</v>
      </c>
      <c r="E10" s="70" t="s">
        <v>19</v>
      </c>
      <c r="F10" s="70" t="s">
        <v>3178</v>
      </c>
      <c r="G10" s="70" t="s">
        <v>19</v>
      </c>
      <c r="H10" s="70" t="s">
        <v>3178</v>
      </c>
      <c r="I10" s="72" t="s">
        <v>19</v>
      </c>
      <c r="J10" s="72" t="s">
        <v>19</v>
      </c>
      <c r="K10" s="70" t="s">
        <v>19</v>
      </c>
      <c r="L10" s="70" t="s">
        <v>19</v>
      </c>
      <c r="M10" s="15" t="s">
        <v>41</v>
      </c>
      <c r="N10" s="4" t="s">
        <v>42</v>
      </c>
      <c r="O10" s="15"/>
      <c r="P10" s="4" t="s">
        <v>43</v>
      </c>
      <c r="S10" s="15" t="e" cm="1">
        <f t="array" aca="1" ref="S10" ca="1">COMMONMARKETCOUNT(H10:AV10)</f>
        <v>#NAME?</v>
      </c>
      <c r="T10" s="6" t="e" cm="1">
        <f t="array" aca="1" ref="T10" ca="1">AUTOMATEDCOUNT(H10:AV10)</f>
        <v>#NAME?</v>
      </c>
      <c r="V10" s="70" t="s">
        <v>19</v>
      </c>
      <c r="W10" s="70" t="s">
        <v>19</v>
      </c>
      <c r="X10" s="70" t="s">
        <v>19</v>
      </c>
      <c r="Y10" s="70" t="s">
        <v>19</v>
      </c>
      <c r="Z10" s="70" t="s">
        <v>19</v>
      </c>
      <c r="AA10" s="72" t="s">
        <v>19</v>
      </c>
      <c r="AB10" s="72" t="s">
        <v>19</v>
      </c>
      <c r="AC10" s="72" t="s">
        <v>19</v>
      </c>
      <c r="AD10" s="72" t="s">
        <v>19</v>
      </c>
      <c r="AE10" s="18" t="s">
        <v>19</v>
      </c>
      <c r="AF10" s="15" t="s">
        <v>19</v>
      </c>
      <c r="AG10" s="20" t="s">
        <v>19</v>
      </c>
      <c r="AH10" s="15" t="s">
        <v>19</v>
      </c>
      <c r="AI10" s="15" t="s">
        <v>19</v>
      </c>
      <c r="AJ10" s="15" t="s">
        <v>19</v>
      </c>
      <c r="AK10" s="15" t="s">
        <v>19</v>
      </c>
      <c r="AL10" s="18" t="s">
        <v>19</v>
      </c>
      <c r="AM10" s="18" t="s">
        <v>19</v>
      </c>
      <c r="AN10" s="18" t="s">
        <v>19</v>
      </c>
      <c r="AO10" s="18" t="s">
        <v>19</v>
      </c>
      <c r="AP10" s="15" t="s">
        <v>19</v>
      </c>
      <c r="AQ10" s="15" t="s">
        <v>19</v>
      </c>
      <c r="AR10" s="15" t="s">
        <v>19</v>
      </c>
      <c r="AS10" s="70" t="s">
        <v>19</v>
      </c>
      <c r="AT10" s="70" t="s">
        <v>19</v>
      </c>
      <c r="AU10" s="15" t="s">
        <v>3153</v>
      </c>
      <c r="AV10" s="36" t="s">
        <v>19</v>
      </c>
    </row>
    <row r="11" spans="1:264" ht="70.5" hidden="1" customHeight="1" x14ac:dyDescent="0.3">
      <c r="A11" s="15" t="s">
        <v>18</v>
      </c>
      <c r="B11" s="15" t="s">
        <v>17</v>
      </c>
      <c r="C11" s="15" t="s">
        <v>44</v>
      </c>
      <c r="D11" s="15" t="s">
        <v>19</v>
      </c>
      <c r="E11" s="70" t="s">
        <v>19</v>
      </c>
      <c r="F11" s="70" t="s">
        <v>3178</v>
      </c>
      <c r="G11" s="70" t="s">
        <v>19</v>
      </c>
      <c r="H11" s="70" t="s">
        <v>3178</v>
      </c>
      <c r="I11" s="72" t="s">
        <v>19</v>
      </c>
      <c r="J11" s="72" t="s">
        <v>19</v>
      </c>
      <c r="K11" s="72" t="s">
        <v>19</v>
      </c>
      <c r="L11" s="72" t="s">
        <v>19</v>
      </c>
      <c r="M11" s="15" t="s">
        <v>45</v>
      </c>
      <c r="N11" s="4" t="s">
        <v>46</v>
      </c>
      <c r="O11" s="15"/>
      <c r="P11" s="4" t="s">
        <v>47</v>
      </c>
      <c r="S11" s="15" t="e" cm="1">
        <f t="array" aca="1" ref="S11" ca="1">COMMONMARKETCOUNT(H11:AV11)</f>
        <v>#NAME?</v>
      </c>
      <c r="T11" s="6" t="e" cm="1">
        <f t="array" aca="1" ref="T11" ca="1">AUTOMATEDCOUNT(H11:AV11)</f>
        <v>#NAME?</v>
      </c>
      <c r="V11" s="70" t="s">
        <v>19</v>
      </c>
      <c r="W11" s="70" t="s">
        <v>19</v>
      </c>
      <c r="X11" s="70" t="s">
        <v>19</v>
      </c>
      <c r="Y11" s="70" t="s">
        <v>19</v>
      </c>
      <c r="Z11" s="70" t="s">
        <v>19</v>
      </c>
      <c r="AA11" s="72" t="s">
        <v>19</v>
      </c>
      <c r="AB11" s="72" t="s">
        <v>19</v>
      </c>
      <c r="AC11" s="72" t="s">
        <v>19</v>
      </c>
      <c r="AD11" s="72" t="s">
        <v>19</v>
      </c>
      <c r="AE11" s="18" t="s">
        <v>19</v>
      </c>
      <c r="AF11" s="18" t="s">
        <v>19</v>
      </c>
      <c r="AG11" s="29" t="s">
        <v>19</v>
      </c>
      <c r="AH11" s="18" t="s">
        <v>19</v>
      </c>
      <c r="AI11" s="18" t="s">
        <v>19</v>
      </c>
      <c r="AJ11" s="18" t="s">
        <v>19</v>
      </c>
      <c r="AK11" s="18" t="s">
        <v>19</v>
      </c>
      <c r="AL11" s="18" t="s">
        <v>19</v>
      </c>
      <c r="AM11" s="18" t="s">
        <v>19</v>
      </c>
      <c r="AN11" s="18" t="s">
        <v>19</v>
      </c>
      <c r="AO11" s="18" t="s">
        <v>19</v>
      </c>
      <c r="AP11" s="18" t="s">
        <v>19</v>
      </c>
      <c r="AQ11" s="18" t="s">
        <v>19</v>
      </c>
      <c r="AR11" s="18" t="s">
        <v>19</v>
      </c>
      <c r="AS11" s="70" t="s">
        <v>19</v>
      </c>
      <c r="AT11" s="72" t="s">
        <v>19</v>
      </c>
      <c r="AU11" s="18" t="s">
        <v>3153</v>
      </c>
      <c r="AV11" s="36" t="s">
        <v>19</v>
      </c>
    </row>
    <row r="12" spans="1:264" s="36" customFormat="1" ht="70.5" hidden="1" customHeight="1" x14ac:dyDescent="0.3">
      <c r="A12" s="15" t="s">
        <v>18</v>
      </c>
      <c r="B12" s="15" t="s">
        <v>55</v>
      </c>
      <c r="C12" s="15" t="s">
        <v>1813</v>
      </c>
      <c r="D12" s="18" t="s">
        <v>32</v>
      </c>
      <c r="E12" s="18" t="s">
        <v>109</v>
      </c>
      <c r="F12" s="18" t="s">
        <v>109</v>
      </c>
      <c r="G12" s="18" t="s">
        <v>109</v>
      </c>
      <c r="H12" s="18" t="s">
        <v>109</v>
      </c>
      <c r="I12" s="18" t="s">
        <v>109</v>
      </c>
      <c r="J12" s="18" t="s">
        <v>109</v>
      </c>
      <c r="K12" s="18" t="s">
        <v>109</v>
      </c>
      <c r="L12" s="18" t="s">
        <v>109</v>
      </c>
      <c r="M12" s="15" t="s">
        <v>1805</v>
      </c>
      <c r="N12" s="4" t="s">
        <v>1661</v>
      </c>
      <c r="O12" s="30" t="s">
        <v>1658</v>
      </c>
      <c r="P12" s="4" t="s">
        <v>1660</v>
      </c>
      <c r="S12" s="15" t="e" cm="1">
        <f t="array" aca="1" ref="S12" ca="1">COMMONMARKETCOUNT(H12:AV12)</f>
        <v>#NAME?</v>
      </c>
      <c r="T12" s="6" t="e" cm="1">
        <f t="array" aca="1" ref="T12" ca="1">AUTOMATEDCOUNT(H12:AV12)</f>
        <v>#NAME?</v>
      </c>
      <c r="V12" s="18" t="s">
        <v>109</v>
      </c>
      <c r="W12" s="18" t="s">
        <v>109</v>
      </c>
      <c r="X12" s="18" t="s">
        <v>109</v>
      </c>
      <c r="Y12" s="18" t="s">
        <v>109</v>
      </c>
      <c r="Z12" s="18" t="s">
        <v>109</v>
      </c>
      <c r="AA12" s="18" t="s">
        <v>109</v>
      </c>
      <c r="AB12" s="18" t="s">
        <v>109</v>
      </c>
      <c r="AC12" s="18" t="s">
        <v>109</v>
      </c>
      <c r="AD12" s="18" t="s">
        <v>109</v>
      </c>
      <c r="AE12" s="18" t="s">
        <v>109</v>
      </c>
      <c r="AF12" s="18" t="s">
        <v>109</v>
      </c>
      <c r="AG12" s="18" t="s">
        <v>109</v>
      </c>
      <c r="AH12" s="18" t="s">
        <v>109</v>
      </c>
      <c r="AI12" s="18" t="s">
        <v>109</v>
      </c>
      <c r="AJ12" s="18" t="s">
        <v>109</v>
      </c>
      <c r="AK12" s="18" t="s">
        <v>109</v>
      </c>
      <c r="AL12" s="18" t="s">
        <v>109</v>
      </c>
      <c r="AM12" s="18" t="s">
        <v>109</v>
      </c>
      <c r="AN12" s="18" t="s">
        <v>109</v>
      </c>
      <c r="AO12" s="18" t="s">
        <v>109</v>
      </c>
      <c r="AP12" s="18" t="s">
        <v>109</v>
      </c>
      <c r="AQ12" s="18" t="s">
        <v>109</v>
      </c>
      <c r="AR12" s="18" t="s">
        <v>109</v>
      </c>
      <c r="AS12" s="18" t="s">
        <v>109</v>
      </c>
      <c r="AT12" s="18" t="s">
        <v>109</v>
      </c>
      <c r="AU12" s="18" t="s">
        <v>109</v>
      </c>
      <c r="AV12" s="36" t="s">
        <v>109</v>
      </c>
      <c r="AW12" s="16"/>
      <c r="AX12" s="16"/>
      <c r="AY12" s="16"/>
      <c r="AZ12" s="16"/>
      <c r="BA12" s="16"/>
      <c r="BB12" s="16"/>
      <c r="BC12" s="16"/>
      <c r="BD12" s="16"/>
      <c r="BE12" s="16"/>
      <c r="BF12" s="16"/>
      <c r="BG12" s="16"/>
      <c r="BH12" s="16"/>
      <c r="BI12" s="16"/>
      <c r="BJ12" s="16"/>
      <c r="BK12" s="16"/>
      <c r="BL12" s="16"/>
      <c r="BM12" s="16"/>
      <c r="BN12" s="16"/>
      <c r="BO12" s="16"/>
      <c r="BP12" s="16"/>
      <c r="BQ12" s="16"/>
      <c r="BR12" s="16"/>
      <c r="BS12" s="16"/>
      <c r="BT12" s="16"/>
      <c r="BU12" s="16"/>
      <c r="BV12" s="16"/>
      <c r="BW12" s="16"/>
      <c r="BX12" s="16"/>
      <c r="BY12" s="16"/>
      <c r="BZ12" s="16"/>
      <c r="CA12" s="16"/>
      <c r="CB12" s="16"/>
      <c r="CC12" s="16"/>
      <c r="CD12" s="16"/>
      <c r="CE12" s="16"/>
      <c r="CF12" s="16"/>
      <c r="CG12" s="16"/>
      <c r="CH12" s="16"/>
      <c r="CI12" s="16"/>
      <c r="CJ12" s="16"/>
      <c r="CK12" s="16"/>
      <c r="CL12" s="16"/>
      <c r="CM12" s="16"/>
      <c r="CN12" s="16"/>
      <c r="CO12" s="16"/>
      <c r="CP12" s="16"/>
      <c r="CQ12" s="16"/>
      <c r="CR12" s="16"/>
      <c r="CS12" s="16"/>
      <c r="CT12" s="16"/>
      <c r="CU12" s="16"/>
      <c r="CV12" s="16"/>
      <c r="CW12" s="16"/>
      <c r="CX12" s="16"/>
      <c r="CY12" s="16"/>
      <c r="CZ12" s="16"/>
      <c r="DA12" s="16"/>
      <c r="DB12" s="16"/>
      <c r="DC12" s="16"/>
      <c r="DD12" s="16"/>
      <c r="DE12" s="16"/>
      <c r="DF12" s="16"/>
      <c r="DG12" s="16"/>
      <c r="DH12" s="16"/>
      <c r="DI12" s="16"/>
      <c r="DJ12" s="16"/>
      <c r="DK12" s="16"/>
      <c r="DL12" s="16"/>
      <c r="DM12" s="16"/>
      <c r="DN12" s="16"/>
      <c r="DO12" s="16"/>
      <c r="DP12" s="16"/>
      <c r="DQ12" s="16"/>
      <c r="DR12" s="16"/>
      <c r="DS12" s="16"/>
      <c r="DT12" s="16"/>
      <c r="DU12" s="16"/>
      <c r="DV12" s="16"/>
      <c r="DW12" s="16"/>
      <c r="DX12" s="16"/>
      <c r="DY12" s="16"/>
      <c r="DZ12" s="16"/>
      <c r="EA12" s="16"/>
      <c r="EB12" s="16"/>
      <c r="EC12" s="16"/>
      <c r="ED12" s="16"/>
      <c r="EE12" s="16"/>
      <c r="EF12" s="16"/>
      <c r="EG12" s="16"/>
      <c r="EH12" s="16"/>
      <c r="EI12" s="16"/>
      <c r="EJ12" s="16"/>
      <c r="EK12" s="16"/>
      <c r="EL12" s="16"/>
      <c r="EM12" s="16"/>
      <c r="EN12" s="16"/>
      <c r="EO12" s="16"/>
      <c r="EP12" s="16"/>
      <c r="EQ12" s="16"/>
      <c r="ER12" s="16"/>
      <c r="ES12" s="16"/>
      <c r="ET12" s="16"/>
      <c r="EU12" s="16"/>
      <c r="EV12" s="16"/>
      <c r="EW12" s="16"/>
      <c r="EX12" s="16"/>
      <c r="EY12" s="16"/>
      <c r="EZ12" s="16"/>
      <c r="FA12" s="16"/>
      <c r="FB12" s="16"/>
      <c r="FC12" s="16"/>
      <c r="FD12" s="16"/>
      <c r="FE12" s="16"/>
      <c r="FF12" s="16"/>
      <c r="FG12" s="16"/>
      <c r="FH12" s="16"/>
      <c r="FI12" s="16"/>
      <c r="FJ12" s="16"/>
      <c r="FK12" s="16"/>
      <c r="FL12" s="16"/>
      <c r="FM12" s="16"/>
      <c r="FN12" s="16"/>
      <c r="FO12" s="16"/>
      <c r="FP12" s="16"/>
      <c r="FQ12" s="16"/>
      <c r="FR12" s="16"/>
      <c r="FS12" s="16"/>
      <c r="FT12" s="16"/>
      <c r="FU12" s="16"/>
      <c r="FV12" s="16"/>
      <c r="FW12" s="16"/>
      <c r="FX12" s="16"/>
      <c r="FY12" s="16"/>
      <c r="FZ12" s="16"/>
      <c r="GA12" s="16"/>
      <c r="GB12" s="16"/>
      <c r="GC12" s="16"/>
      <c r="GD12" s="16"/>
      <c r="GE12" s="16"/>
      <c r="GF12" s="16"/>
      <c r="GG12" s="16"/>
      <c r="GH12" s="16"/>
      <c r="GI12" s="16"/>
      <c r="GJ12" s="16"/>
      <c r="GK12" s="16"/>
      <c r="GL12" s="16"/>
      <c r="GM12" s="16"/>
      <c r="GN12" s="16"/>
      <c r="GO12" s="16"/>
      <c r="GP12" s="16"/>
      <c r="GQ12" s="16"/>
      <c r="GR12" s="16"/>
      <c r="GS12" s="16"/>
      <c r="GT12" s="16"/>
      <c r="GU12" s="16"/>
      <c r="GV12" s="16"/>
      <c r="GW12" s="16"/>
      <c r="GX12" s="16"/>
      <c r="GY12" s="16"/>
      <c r="GZ12" s="16"/>
      <c r="HA12" s="16"/>
      <c r="HB12" s="16"/>
      <c r="HC12" s="16"/>
      <c r="HD12" s="16"/>
      <c r="HE12" s="16"/>
      <c r="HF12" s="16"/>
      <c r="HG12" s="16"/>
      <c r="HH12" s="16"/>
      <c r="HI12" s="16"/>
      <c r="HJ12" s="16"/>
      <c r="HK12" s="16"/>
      <c r="HL12" s="16"/>
      <c r="HM12" s="16"/>
      <c r="HN12" s="16"/>
      <c r="HO12" s="16"/>
      <c r="HP12" s="16"/>
      <c r="HQ12" s="16"/>
      <c r="HR12" s="16"/>
      <c r="HS12" s="16"/>
      <c r="HT12" s="16"/>
      <c r="HU12" s="16"/>
      <c r="HV12" s="16"/>
      <c r="HW12" s="16"/>
      <c r="HX12" s="16"/>
      <c r="HY12" s="16"/>
      <c r="HZ12" s="16"/>
      <c r="IA12" s="16"/>
      <c r="IB12" s="16"/>
      <c r="IC12" s="16"/>
      <c r="ID12" s="16"/>
      <c r="IE12" s="16"/>
      <c r="IF12" s="16"/>
      <c r="IG12" s="16"/>
      <c r="IH12" s="16"/>
      <c r="II12" s="16"/>
      <c r="IJ12" s="16"/>
      <c r="IK12" s="16"/>
      <c r="IL12" s="16"/>
      <c r="IM12" s="16"/>
      <c r="IN12" s="16"/>
      <c r="IO12" s="16"/>
      <c r="IP12" s="16"/>
      <c r="IQ12" s="16"/>
      <c r="IR12" s="16"/>
      <c r="IS12" s="16"/>
      <c r="IT12" s="16"/>
      <c r="IU12" s="16"/>
      <c r="IV12" s="16"/>
      <c r="IW12" s="16"/>
      <c r="IX12" s="16"/>
      <c r="IY12" s="16"/>
      <c r="IZ12" s="16"/>
      <c r="JA12" s="16"/>
      <c r="JB12" s="16"/>
      <c r="JC12" s="16"/>
      <c r="JD12" s="16"/>
    </row>
    <row r="13" spans="1:264" ht="86.25" hidden="1" customHeight="1" x14ac:dyDescent="0.3">
      <c r="A13" s="15" t="s">
        <v>18</v>
      </c>
      <c r="B13" s="15" t="s">
        <v>17</v>
      </c>
      <c r="C13" s="15" t="s">
        <v>48</v>
      </c>
      <c r="D13" s="15" t="s">
        <v>19</v>
      </c>
      <c r="E13" s="70" t="s">
        <v>19</v>
      </c>
      <c r="F13" s="70" t="s">
        <v>3178</v>
      </c>
      <c r="G13" s="70" t="s">
        <v>19</v>
      </c>
      <c r="H13" s="70" t="s">
        <v>3178</v>
      </c>
      <c r="I13" s="72" t="s">
        <v>19</v>
      </c>
      <c r="J13" s="72" t="s">
        <v>19</v>
      </c>
      <c r="K13" s="72" t="s">
        <v>19</v>
      </c>
      <c r="L13" s="72" t="s">
        <v>19</v>
      </c>
      <c r="M13" s="15" t="s">
        <v>49</v>
      </c>
      <c r="N13" s="4" t="s">
        <v>50</v>
      </c>
      <c r="O13" s="15"/>
      <c r="P13" s="4" t="s">
        <v>3020</v>
      </c>
      <c r="S13" s="15" t="e" cm="1">
        <f t="array" aca="1" ref="S13" ca="1">COMMONMARKETCOUNT(H13:AV13)</f>
        <v>#NAME?</v>
      </c>
      <c r="T13" s="6" t="e" cm="1">
        <f t="array" aca="1" ref="T13" ca="1">AUTOMATEDCOUNT(H13:AV13)</f>
        <v>#NAME?</v>
      </c>
      <c r="V13" s="70" t="s">
        <v>19</v>
      </c>
      <c r="W13" s="70" t="s">
        <v>19</v>
      </c>
      <c r="X13" s="70" t="s">
        <v>19</v>
      </c>
      <c r="Y13" s="70" t="s">
        <v>19</v>
      </c>
      <c r="Z13" s="70" t="s">
        <v>19</v>
      </c>
      <c r="AA13" s="72" t="s">
        <v>19</v>
      </c>
      <c r="AB13" s="72" t="s">
        <v>19</v>
      </c>
      <c r="AC13" s="72" t="s">
        <v>19</v>
      </c>
      <c r="AD13" s="72" t="s">
        <v>19</v>
      </c>
      <c r="AE13" s="18" t="s">
        <v>19</v>
      </c>
      <c r="AF13" s="18" t="s">
        <v>19</v>
      </c>
      <c r="AG13" s="29" t="s">
        <v>19</v>
      </c>
      <c r="AH13" s="18" t="s">
        <v>19</v>
      </c>
      <c r="AI13" s="18" t="s">
        <v>19</v>
      </c>
      <c r="AJ13" s="18" t="s">
        <v>19</v>
      </c>
      <c r="AK13" s="18" t="s">
        <v>19</v>
      </c>
      <c r="AL13" s="18" t="s">
        <v>19</v>
      </c>
      <c r="AM13" s="18" t="s">
        <v>19</v>
      </c>
      <c r="AN13" s="18" t="s">
        <v>19</v>
      </c>
      <c r="AO13" s="18" t="s">
        <v>19</v>
      </c>
      <c r="AP13" s="18" t="s">
        <v>19</v>
      </c>
      <c r="AQ13" s="18" t="s">
        <v>19</v>
      </c>
      <c r="AR13" s="18" t="s">
        <v>19</v>
      </c>
      <c r="AS13" s="70" t="s">
        <v>19</v>
      </c>
      <c r="AT13" s="72" t="s">
        <v>19</v>
      </c>
      <c r="AU13" s="18" t="s">
        <v>3153</v>
      </c>
      <c r="AV13" s="36" t="s">
        <v>19</v>
      </c>
    </row>
    <row r="14" spans="1:264" ht="139.5" hidden="1" customHeight="1" x14ac:dyDescent="0.3">
      <c r="A14" s="15" t="s">
        <v>56</v>
      </c>
      <c r="B14" s="15" t="s">
        <v>17</v>
      </c>
      <c r="C14" s="15" t="s">
        <v>915</v>
      </c>
      <c r="D14" s="15" t="s">
        <v>32</v>
      </c>
      <c r="E14" s="15" t="s">
        <v>19</v>
      </c>
      <c r="F14" s="15" t="s">
        <v>19</v>
      </c>
      <c r="G14" s="15" t="s">
        <v>19</v>
      </c>
      <c r="H14" s="15" t="s">
        <v>19</v>
      </c>
      <c r="I14" s="15" t="s">
        <v>19</v>
      </c>
      <c r="J14" s="15" t="s">
        <v>19</v>
      </c>
      <c r="K14" s="15" t="s">
        <v>19</v>
      </c>
      <c r="L14" s="15" t="s">
        <v>19</v>
      </c>
      <c r="M14" s="15" t="s">
        <v>890</v>
      </c>
      <c r="N14" s="4" t="s">
        <v>891</v>
      </c>
      <c r="O14" s="33" t="s">
        <v>1645</v>
      </c>
      <c r="P14" s="4" t="s">
        <v>1123</v>
      </c>
      <c r="S14" s="15" t="e" cm="1">
        <f t="array" aca="1" ref="S14" ca="1">COMMONMARKETCOUNT(H14:AV14)</f>
        <v>#NAME?</v>
      </c>
      <c r="T14" s="6" t="e" cm="1">
        <f t="array" aca="1" ref="T14" ca="1">AUTOMATEDCOUNT(H14:AV14)</f>
        <v>#NAME?</v>
      </c>
      <c r="V14" s="15" t="s">
        <v>19</v>
      </c>
      <c r="W14" s="15" t="s">
        <v>19</v>
      </c>
      <c r="X14" s="15" t="s">
        <v>19</v>
      </c>
      <c r="Y14" s="15" t="s">
        <v>19</v>
      </c>
      <c r="Z14" s="15" t="s">
        <v>19</v>
      </c>
      <c r="AA14" s="15" t="s">
        <v>19</v>
      </c>
      <c r="AB14" s="15" t="s">
        <v>19</v>
      </c>
      <c r="AC14" s="15" t="s">
        <v>19</v>
      </c>
      <c r="AD14" s="15" t="s">
        <v>19</v>
      </c>
      <c r="AE14" s="15" t="s">
        <v>19</v>
      </c>
      <c r="AF14" s="15" t="s">
        <v>19</v>
      </c>
      <c r="AG14" s="15" t="s">
        <v>19</v>
      </c>
      <c r="AH14" s="15" t="s">
        <v>19</v>
      </c>
      <c r="AI14" s="15" t="s">
        <v>19</v>
      </c>
      <c r="AJ14" s="15" t="s">
        <v>19</v>
      </c>
      <c r="AK14" s="15" t="s">
        <v>19</v>
      </c>
      <c r="AL14" s="15" t="s">
        <v>19</v>
      </c>
      <c r="AM14" s="15" t="s">
        <v>19</v>
      </c>
      <c r="AN14" s="15" t="s">
        <v>19</v>
      </c>
      <c r="AO14" s="15" t="s">
        <v>19</v>
      </c>
      <c r="AP14" s="15" t="s">
        <v>19</v>
      </c>
      <c r="AQ14" s="15" t="s">
        <v>19</v>
      </c>
      <c r="AR14" s="15" t="s">
        <v>19</v>
      </c>
      <c r="AS14" s="15" t="s">
        <v>19</v>
      </c>
      <c r="AT14" s="15" t="s">
        <v>19</v>
      </c>
      <c r="AU14" s="15" t="s">
        <v>3153</v>
      </c>
      <c r="AV14" s="36" t="s">
        <v>19</v>
      </c>
    </row>
    <row r="15" spans="1:264" ht="70.5" hidden="1" customHeight="1" x14ac:dyDescent="0.3">
      <c r="A15" s="15" t="s">
        <v>56</v>
      </c>
      <c r="B15" s="15" t="s">
        <v>55</v>
      </c>
      <c r="C15" s="15" t="s">
        <v>51</v>
      </c>
      <c r="D15" s="15" t="s">
        <v>32</v>
      </c>
      <c r="E15" s="15" t="s">
        <v>19</v>
      </c>
      <c r="F15" s="15" t="s">
        <v>19</v>
      </c>
      <c r="G15" s="15" t="s">
        <v>19</v>
      </c>
      <c r="H15" s="15" t="s">
        <v>19</v>
      </c>
      <c r="I15" s="18" t="s">
        <v>19</v>
      </c>
      <c r="J15" s="18" t="s">
        <v>19</v>
      </c>
      <c r="K15" s="18" t="s">
        <v>19</v>
      </c>
      <c r="L15" s="18" t="s">
        <v>19</v>
      </c>
      <c r="M15" s="15" t="s">
        <v>52</v>
      </c>
      <c r="N15" s="4" t="s">
        <v>53</v>
      </c>
      <c r="O15" s="15"/>
      <c r="P15" s="4" t="s">
        <v>54</v>
      </c>
      <c r="S15" s="15" t="e" cm="1">
        <f t="array" aca="1" ref="S15" ca="1">COMMONMARKETCOUNT(H15:AV15)</f>
        <v>#NAME?</v>
      </c>
      <c r="T15" s="6" t="e" cm="1">
        <f t="array" aca="1" ref="T15" ca="1">AUTOMATEDCOUNT(H15:AV15)</f>
        <v>#NAME?</v>
      </c>
      <c r="V15" s="15" t="s">
        <v>19</v>
      </c>
      <c r="W15" s="15" t="s">
        <v>19</v>
      </c>
      <c r="X15" s="15" t="s">
        <v>19</v>
      </c>
      <c r="Y15" s="15" t="s">
        <v>19</v>
      </c>
      <c r="Z15" s="15" t="s">
        <v>19</v>
      </c>
      <c r="AA15" s="18" t="s">
        <v>19</v>
      </c>
      <c r="AB15" s="18" t="s">
        <v>19</v>
      </c>
      <c r="AC15" s="18" t="s">
        <v>19</v>
      </c>
      <c r="AD15" s="15" t="s">
        <v>19</v>
      </c>
      <c r="AE15" s="15" t="s">
        <v>19</v>
      </c>
      <c r="AF15" s="18" t="s">
        <v>19</v>
      </c>
      <c r="AG15" s="18" t="s">
        <v>19</v>
      </c>
      <c r="AH15" s="18" t="s">
        <v>19</v>
      </c>
      <c r="AI15" s="18" t="s">
        <v>19</v>
      </c>
      <c r="AJ15" s="18" t="s">
        <v>19</v>
      </c>
      <c r="AK15" s="18" t="s">
        <v>19</v>
      </c>
      <c r="AL15" s="18" t="s">
        <v>19</v>
      </c>
      <c r="AM15" s="18" t="s">
        <v>19</v>
      </c>
      <c r="AN15" s="18" t="s">
        <v>19</v>
      </c>
      <c r="AO15" s="18" t="s">
        <v>19</v>
      </c>
      <c r="AP15" s="18" t="s">
        <v>19</v>
      </c>
      <c r="AQ15" s="18" t="s">
        <v>19</v>
      </c>
      <c r="AR15" s="18" t="s">
        <v>19</v>
      </c>
      <c r="AS15" s="18" t="s">
        <v>19</v>
      </c>
      <c r="AT15" s="18" t="s">
        <v>19</v>
      </c>
      <c r="AU15" s="18" t="s">
        <v>3153</v>
      </c>
      <c r="AV15" s="36" t="s">
        <v>19</v>
      </c>
    </row>
    <row r="16" spans="1:264" s="27" customFormat="1" ht="105.75" hidden="1" customHeight="1" x14ac:dyDescent="0.3">
      <c r="A16" s="15" t="s">
        <v>56</v>
      </c>
      <c r="B16" s="15" t="s">
        <v>55</v>
      </c>
      <c r="C16" s="15" t="s">
        <v>57</v>
      </c>
      <c r="D16" s="15" t="s">
        <v>32</v>
      </c>
      <c r="E16" s="15" t="s">
        <v>19</v>
      </c>
      <c r="F16" s="15" t="s">
        <v>19</v>
      </c>
      <c r="G16" s="15" t="s">
        <v>19</v>
      </c>
      <c r="H16" s="15" t="s">
        <v>19</v>
      </c>
      <c r="I16" s="18" t="s">
        <v>19</v>
      </c>
      <c r="J16" s="18" t="s">
        <v>19</v>
      </c>
      <c r="K16" s="18" t="s">
        <v>19</v>
      </c>
      <c r="L16" s="18" t="s">
        <v>19</v>
      </c>
      <c r="M16" s="15" t="s">
        <v>58</v>
      </c>
      <c r="N16" s="4" t="s">
        <v>59</v>
      </c>
      <c r="O16" s="15"/>
      <c r="P16" s="4" t="s">
        <v>3021</v>
      </c>
      <c r="S16" s="15" t="e" cm="1">
        <f t="array" aca="1" ref="S16" ca="1">COMMONMARKETCOUNT(H16:AV16)</f>
        <v>#NAME?</v>
      </c>
      <c r="T16" s="6" t="e" cm="1">
        <f t="array" aca="1" ref="T16" ca="1">AUTOMATEDCOUNT(H16:AV16)</f>
        <v>#NAME?</v>
      </c>
      <c r="V16" s="15" t="s">
        <v>19</v>
      </c>
      <c r="W16" s="15" t="s">
        <v>19</v>
      </c>
      <c r="X16" s="15" t="s">
        <v>19</v>
      </c>
      <c r="Y16" s="15" t="s">
        <v>19</v>
      </c>
      <c r="Z16" s="15" t="s">
        <v>19</v>
      </c>
      <c r="AA16" s="18" t="s">
        <v>19</v>
      </c>
      <c r="AB16" s="18" t="s">
        <v>19</v>
      </c>
      <c r="AC16" s="18" t="s">
        <v>19</v>
      </c>
      <c r="AD16" s="15" t="s">
        <v>19</v>
      </c>
      <c r="AE16" s="15" t="s">
        <v>19</v>
      </c>
      <c r="AF16" s="18" t="s">
        <v>19</v>
      </c>
      <c r="AG16" s="18" t="s">
        <v>19</v>
      </c>
      <c r="AH16" s="18" t="s">
        <v>19</v>
      </c>
      <c r="AI16" s="18" t="s">
        <v>19</v>
      </c>
      <c r="AJ16" s="18" t="s">
        <v>19</v>
      </c>
      <c r="AK16" s="18" t="s">
        <v>19</v>
      </c>
      <c r="AL16" s="18" t="s">
        <v>19</v>
      </c>
      <c r="AM16" s="18" t="s">
        <v>19</v>
      </c>
      <c r="AN16" s="18" t="s">
        <v>19</v>
      </c>
      <c r="AO16" s="18" t="s">
        <v>19</v>
      </c>
      <c r="AP16" s="18" t="s">
        <v>19</v>
      </c>
      <c r="AQ16" s="18" t="s">
        <v>19</v>
      </c>
      <c r="AR16" s="18" t="s">
        <v>19</v>
      </c>
      <c r="AS16" s="18" t="s">
        <v>19</v>
      </c>
      <c r="AT16" s="18" t="s">
        <v>19</v>
      </c>
      <c r="AU16" s="18" t="s">
        <v>3153</v>
      </c>
      <c r="AV16" s="36" t="s">
        <v>19</v>
      </c>
      <c r="AW16" s="16"/>
      <c r="AX16" s="16"/>
      <c r="AY16" s="16"/>
      <c r="AZ16" s="16"/>
      <c r="BA16" s="16"/>
      <c r="BB16" s="16"/>
      <c r="BC16" s="16"/>
      <c r="BD16" s="16"/>
      <c r="BE16" s="16"/>
      <c r="BF16" s="16"/>
      <c r="BG16" s="16"/>
      <c r="BH16" s="16"/>
      <c r="BI16" s="16"/>
      <c r="BJ16" s="16"/>
      <c r="BK16" s="16"/>
      <c r="BL16" s="16"/>
      <c r="BM16" s="16"/>
      <c r="BN16" s="16"/>
      <c r="BO16" s="16"/>
      <c r="BP16" s="16"/>
      <c r="BQ16" s="16"/>
      <c r="BR16" s="16"/>
      <c r="BS16" s="16"/>
      <c r="BT16" s="16"/>
      <c r="BU16" s="16"/>
      <c r="BV16" s="16"/>
      <c r="BW16" s="16"/>
      <c r="BX16" s="16"/>
      <c r="BY16" s="16"/>
      <c r="BZ16" s="16"/>
      <c r="CA16" s="16"/>
      <c r="CB16" s="16"/>
      <c r="CC16" s="16"/>
      <c r="CD16" s="16"/>
      <c r="CE16" s="16"/>
      <c r="CF16" s="16"/>
      <c r="CG16" s="16"/>
      <c r="CH16" s="16"/>
      <c r="CI16" s="16"/>
      <c r="CJ16" s="16"/>
      <c r="CK16" s="16"/>
      <c r="CL16" s="16"/>
      <c r="CM16" s="16"/>
      <c r="CN16" s="16"/>
      <c r="CO16" s="16"/>
      <c r="CP16" s="16"/>
      <c r="CQ16" s="16"/>
      <c r="CR16" s="16"/>
      <c r="CS16" s="16"/>
      <c r="CT16" s="16"/>
      <c r="CU16" s="16"/>
      <c r="CV16" s="16"/>
      <c r="CW16" s="16"/>
      <c r="CX16" s="16"/>
      <c r="CY16" s="16"/>
      <c r="CZ16" s="16"/>
      <c r="DA16" s="16"/>
      <c r="DB16" s="16"/>
      <c r="DC16" s="16"/>
      <c r="DD16" s="16"/>
      <c r="DE16" s="16"/>
      <c r="DF16" s="16"/>
      <c r="DG16" s="16"/>
      <c r="DH16" s="16"/>
      <c r="DI16" s="16"/>
      <c r="DJ16" s="16"/>
      <c r="DK16" s="16"/>
      <c r="DL16" s="16"/>
      <c r="DM16" s="16"/>
      <c r="DN16" s="16"/>
      <c r="DO16" s="16"/>
      <c r="DP16" s="16"/>
      <c r="DQ16" s="16"/>
      <c r="DR16" s="16"/>
      <c r="DS16" s="16"/>
      <c r="DT16" s="16"/>
      <c r="DU16" s="16"/>
      <c r="DV16" s="16"/>
      <c r="DW16" s="16"/>
      <c r="DX16" s="16"/>
      <c r="DY16" s="16"/>
      <c r="DZ16" s="16"/>
      <c r="EA16" s="16"/>
      <c r="EB16" s="16"/>
      <c r="EC16" s="16"/>
      <c r="ED16" s="16"/>
      <c r="EE16" s="16"/>
      <c r="EF16" s="16"/>
      <c r="EG16" s="16"/>
      <c r="EH16" s="16"/>
      <c r="EI16" s="16"/>
      <c r="EJ16" s="16"/>
      <c r="EK16" s="16"/>
      <c r="EL16" s="16"/>
      <c r="EM16" s="16"/>
      <c r="EN16" s="16"/>
      <c r="EO16" s="16"/>
      <c r="EP16" s="16"/>
      <c r="EQ16" s="16"/>
      <c r="ER16" s="16"/>
      <c r="ES16" s="16"/>
      <c r="ET16" s="16"/>
      <c r="EU16" s="16"/>
      <c r="EV16" s="16"/>
      <c r="EW16" s="16"/>
      <c r="EX16" s="16"/>
      <c r="EY16" s="16"/>
      <c r="EZ16" s="16"/>
      <c r="FA16" s="16"/>
      <c r="FB16" s="16"/>
      <c r="FC16" s="16"/>
      <c r="FD16" s="16"/>
      <c r="FE16" s="16"/>
      <c r="FF16" s="16"/>
      <c r="FG16" s="16"/>
      <c r="FH16" s="16"/>
      <c r="FI16" s="16"/>
      <c r="FJ16" s="16"/>
      <c r="FK16" s="16"/>
      <c r="FL16" s="16"/>
      <c r="FM16" s="16"/>
      <c r="FN16" s="16"/>
      <c r="FO16" s="16"/>
      <c r="FP16" s="16"/>
      <c r="FQ16" s="16"/>
      <c r="FR16" s="16"/>
      <c r="FS16" s="16"/>
      <c r="FT16" s="16"/>
      <c r="FU16" s="16"/>
      <c r="FV16" s="16"/>
      <c r="FW16" s="16"/>
      <c r="FX16" s="16"/>
      <c r="FY16" s="16"/>
      <c r="FZ16" s="16"/>
      <c r="GA16" s="16"/>
      <c r="GB16" s="16"/>
      <c r="GC16" s="16"/>
      <c r="GD16" s="16"/>
      <c r="GE16" s="16"/>
      <c r="GF16" s="16"/>
      <c r="GG16" s="16"/>
      <c r="GH16" s="16"/>
      <c r="GI16" s="16"/>
      <c r="GJ16" s="16"/>
      <c r="GK16" s="16"/>
      <c r="GL16" s="16"/>
      <c r="GM16" s="16"/>
      <c r="GN16" s="16"/>
      <c r="GO16" s="16"/>
      <c r="GP16" s="16"/>
      <c r="GQ16" s="16"/>
      <c r="GR16" s="16"/>
      <c r="GS16" s="16"/>
      <c r="GT16" s="16"/>
      <c r="GU16" s="16"/>
      <c r="GV16" s="16"/>
      <c r="GW16" s="16"/>
      <c r="GX16" s="16"/>
      <c r="GY16" s="16"/>
      <c r="GZ16" s="16"/>
      <c r="HA16" s="16"/>
      <c r="HB16" s="16"/>
      <c r="HC16" s="16"/>
      <c r="HD16" s="16"/>
      <c r="HE16" s="16"/>
      <c r="HF16" s="16"/>
      <c r="HG16" s="16"/>
      <c r="HH16" s="16"/>
      <c r="HI16" s="16"/>
      <c r="HJ16" s="16"/>
      <c r="HK16" s="16"/>
      <c r="HL16" s="16"/>
      <c r="HM16" s="16"/>
      <c r="HN16" s="16"/>
      <c r="HO16" s="16"/>
      <c r="HP16" s="16"/>
      <c r="HQ16" s="16"/>
      <c r="HR16" s="16"/>
      <c r="HS16" s="16"/>
      <c r="HT16" s="16"/>
      <c r="HU16" s="16"/>
      <c r="HV16" s="16"/>
      <c r="HW16" s="16"/>
      <c r="HX16" s="16"/>
      <c r="HY16" s="16"/>
      <c r="HZ16" s="16"/>
      <c r="IA16" s="16"/>
      <c r="IB16" s="16"/>
      <c r="IC16" s="16"/>
      <c r="ID16" s="16"/>
      <c r="IE16" s="16"/>
      <c r="IF16" s="16"/>
      <c r="IG16" s="16"/>
      <c r="IH16" s="16"/>
      <c r="II16" s="16"/>
      <c r="IJ16" s="16"/>
      <c r="IK16" s="16"/>
      <c r="IL16" s="16"/>
      <c r="IM16" s="16"/>
      <c r="IN16" s="16"/>
      <c r="IO16" s="16"/>
      <c r="IP16" s="16"/>
      <c r="IQ16" s="16"/>
      <c r="IR16" s="16"/>
      <c r="IS16" s="16"/>
      <c r="IT16" s="16"/>
      <c r="IU16" s="16"/>
      <c r="IV16" s="16"/>
      <c r="IW16" s="16"/>
      <c r="IX16" s="16"/>
      <c r="IY16" s="16"/>
      <c r="IZ16" s="16"/>
      <c r="JA16" s="16"/>
      <c r="JB16" s="16"/>
      <c r="JC16" s="16"/>
      <c r="JD16" s="16"/>
    </row>
    <row r="17" spans="1:264" s="27" customFormat="1" ht="95.25" customHeight="1" x14ac:dyDescent="0.3">
      <c r="A17" s="15" t="s">
        <v>25</v>
      </c>
      <c r="B17" s="15" t="s">
        <v>24</v>
      </c>
      <c r="C17" s="15" t="s">
        <v>913</v>
      </c>
      <c r="D17" s="15" t="s">
        <v>19</v>
      </c>
      <c r="E17" s="15" t="s">
        <v>19</v>
      </c>
      <c r="F17" s="15" t="s">
        <v>19</v>
      </c>
      <c r="G17" s="15" t="s">
        <v>19</v>
      </c>
      <c r="H17" s="15" t="s">
        <v>19</v>
      </c>
      <c r="I17" s="15" t="s">
        <v>19</v>
      </c>
      <c r="J17" s="15" t="s">
        <v>19</v>
      </c>
      <c r="K17" s="15" t="s">
        <v>19</v>
      </c>
      <c r="L17" s="15" t="s">
        <v>19</v>
      </c>
      <c r="M17" s="15" t="s">
        <v>889</v>
      </c>
      <c r="N17" s="4" t="s">
        <v>912</v>
      </c>
      <c r="O17" s="33" t="s">
        <v>1645</v>
      </c>
      <c r="P17" s="4" t="s">
        <v>2426</v>
      </c>
      <c r="S17" s="15" t="e" cm="1">
        <f t="array" aca="1" ref="S17" ca="1">COMMONMARKETCOUNT(H17:AV17)</f>
        <v>#NAME?</v>
      </c>
      <c r="T17" s="6" t="e" cm="1">
        <f t="array" aca="1" ref="T17" ca="1">AUTOMATEDCOUNT(H17:AV17)</f>
        <v>#NAME?</v>
      </c>
      <c r="V17" s="15" t="s">
        <v>19</v>
      </c>
      <c r="W17" s="15" t="s">
        <v>19</v>
      </c>
      <c r="X17" s="15" t="s">
        <v>19</v>
      </c>
      <c r="Y17" s="15" t="s">
        <v>19</v>
      </c>
      <c r="Z17" s="15" t="s">
        <v>19</v>
      </c>
      <c r="AA17" s="15" t="s">
        <v>19</v>
      </c>
      <c r="AB17" s="15" t="s">
        <v>19</v>
      </c>
      <c r="AC17" s="15" t="s">
        <v>19</v>
      </c>
      <c r="AD17" s="18" t="s">
        <v>109</v>
      </c>
      <c r="AE17" s="18" t="s">
        <v>109</v>
      </c>
      <c r="AF17" s="15" t="s">
        <v>19</v>
      </c>
      <c r="AG17" s="15" t="s">
        <v>19</v>
      </c>
      <c r="AH17" s="15" t="s">
        <v>19</v>
      </c>
      <c r="AI17" s="15" t="s">
        <v>19</v>
      </c>
      <c r="AJ17" s="15" t="s">
        <v>19</v>
      </c>
      <c r="AK17" s="15" t="s">
        <v>19</v>
      </c>
      <c r="AL17" s="15" t="s">
        <v>19</v>
      </c>
      <c r="AM17" s="15" t="s">
        <v>19</v>
      </c>
      <c r="AN17" s="15" t="s">
        <v>19</v>
      </c>
      <c r="AO17" s="15" t="s">
        <v>19</v>
      </c>
      <c r="AP17" s="15" t="s">
        <v>19</v>
      </c>
      <c r="AQ17" s="15" t="s">
        <v>19</v>
      </c>
      <c r="AR17" s="15" t="s">
        <v>19</v>
      </c>
      <c r="AS17" s="15" t="s">
        <v>19</v>
      </c>
      <c r="AT17" s="15" t="s">
        <v>19</v>
      </c>
      <c r="AU17" s="15" t="s">
        <v>3153</v>
      </c>
      <c r="AV17" s="36" t="s">
        <v>19</v>
      </c>
      <c r="AW17" s="16"/>
      <c r="AX17" s="16"/>
      <c r="AY17" s="16"/>
      <c r="AZ17" s="16"/>
      <c r="BA17" s="16"/>
      <c r="BB17" s="16"/>
      <c r="BC17" s="16"/>
      <c r="BD17" s="16"/>
      <c r="BE17" s="16"/>
      <c r="BF17" s="16"/>
      <c r="BG17" s="16"/>
      <c r="BH17" s="16"/>
      <c r="BI17" s="16"/>
      <c r="BJ17" s="16"/>
      <c r="BK17" s="16"/>
      <c r="BL17" s="16"/>
      <c r="BM17" s="16"/>
      <c r="BN17" s="16"/>
      <c r="BO17" s="16"/>
      <c r="BP17" s="16"/>
      <c r="BQ17" s="16"/>
      <c r="BR17" s="16"/>
      <c r="BS17" s="16"/>
      <c r="BT17" s="16"/>
      <c r="BU17" s="16"/>
      <c r="BV17" s="16"/>
      <c r="BW17" s="16"/>
      <c r="BX17" s="16"/>
      <c r="BY17" s="16"/>
      <c r="BZ17" s="16"/>
      <c r="CA17" s="16"/>
      <c r="CB17" s="16"/>
      <c r="CC17" s="16"/>
      <c r="CD17" s="16"/>
      <c r="CE17" s="16"/>
      <c r="CF17" s="16"/>
      <c r="CG17" s="16"/>
      <c r="CH17" s="16"/>
      <c r="CI17" s="16"/>
      <c r="CJ17" s="16"/>
      <c r="CK17" s="16"/>
      <c r="CL17" s="16"/>
      <c r="CM17" s="16"/>
      <c r="CN17" s="16"/>
      <c r="CO17" s="16"/>
      <c r="CP17" s="16"/>
      <c r="CQ17" s="16"/>
      <c r="CR17" s="16"/>
      <c r="CS17" s="16"/>
      <c r="CT17" s="16"/>
      <c r="CU17" s="16"/>
      <c r="CV17" s="16"/>
      <c r="CW17" s="16"/>
      <c r="CX17" s="16"/>
      <c r="CY17" s="16"/>
      <c r="CZ17" s="16"/>
      <c r="DA17" s="16"/>
      <c r="DB17" s="16"/>
      <c r="DC17" s="16"/>
      <c r="DD17" s="16"/>
      <c r="DE17" s="16"/>
      <c r="DF17" s="16"/>
      <c r="DG17" s="16"/>
      <c r="DH17" s="16"/>
      <c r="DI17" s="16"/>
      <c r="DJ17" s="16"/>
      <c r="DK17" s="16"/>
      <c r="DL17" s="16"/>
      <c r="DM17" s="16"/>
      <c r="DN17" s="16"/>
      <c r="DO17" s="16"/>
      <c r="DP17" s="16"/>
      <c r="DQ17" s="16"/>
      <c r="DR17" s="16"/>
      <c r="DS17" s="16"/>
      <c r="DT17" s="16"/>
      <c r="DU17" s="16"/>
      <c r="DV17" s="16"/>
      <c r="DW17" s="16"/>
      <c r="DX17" s="16"/>
      <c r="DY17" s="16"/>
      <c r="DZ17" s="16"/>
      <c r="EA17" s="16"/>
      <c r="EB17" s="16"/>
      <c r="EC17" s="16"/>
      <c r="ED17" s="16"/>
      <c r="EE17" s="16"/>
      <c r="EF17" s="16"/>
      <c r="EG17" s="16"/>
      <c r="EH17" s="16"/>
      <c r="EI17" s="16"/>
      <c r="EJ17" s="16"/>
      <c r="EK17" s="16"/>
      <c r="EL17" s="16"/>
      <c r="EM17" s="16"/>
      <c r="EN17" s="16"/>
      <c r="EO17" s="16"/>
      <c r="EP17" s="16"/>
      <c r="EQ17" s="16"/>
      <c r="ER17" s="16"/>
      <c r="ES17" s="16"/>
      <c r="ET17" s="16"/>
      <c r="EU17" s="16"/>
      <c r="EV17" s="16"/>
      <c r="EW17" s="16"/>
      <c r="EX17" s="16"/>
      <c r="EY17" s="16"/>
      <c r="EZ17" s="16"/>
      <c r="FA17" s="16"/>
      <c r="FB17" s="16"/>
      <c r="FC17" s="16"/>
      <c r="FD17" s="16"/>
      <c r="FE17" s="16"/>
      <c r="FF17" s="16"/>
      <c r="FG17" s="16"/>
      <c r="FH17" s="16"/>
      <c r="FI17" s="16"/>
      <c r="FJ17" s="16"/>
      <c r="FK17" s="16"/>
      <c r="FL17" s="16"/>
      <c r="FM17" s="16"/>
      <c r="FN17" s="16"/>
      <c r="FO17" s="16"/>
      <c r="FP17" s="16"/>
      <c r="FQ17" s="16"/>
      <c r="FR17" s="16"/>
      <c r="FS17" s="16"/>
      <c r="FT17" s="16"/>
      <c r="FU17" s="16"/>
      <c r="FV17" s="16"/>
      <c r="FW17" s="16"/>
      <c r="FX17" s="16"/>
      <c r="FY17" s="16"/>
      <c r="FZ17" s="16"/>
      <c r="GA17" s="16"/>
      <c r="GB17" s="16"/>
      <c r="GC17" s="16"/>
      <c r="GD17" s="16"/>
      <c r="GE17" s="16"/>
      <c r="GF17" s="16"/>
      <c r="GG17" s="16"/>
      <c r="GH17" s="16"/>
      <c r="GI17" s="16"/>
      <c r="GJ17" s="16"/>
      <c r="GK17" s="16"/>
      <c r="GL17" s="16"/>
      <c r="GM17" s="16"/>
      <c r="GN17" s="16"/>
      <c r="GO17" s="16"/>
      <c r="GP17" s="16"/>
      <c r="GQ17" s="16"/>
      <c r="GR17" s="16"/>
      <c r="GS17" s="16"/>
      <c r="GT17" s="16"/>
      <c r="GU17" s="16"/>
      <c r="GV17" s="16"/>
      <c r="GW17" s="16"/>
      <c r="GX17" s="16"/>
      <c r="GY17" s="16"/>
      <c r="GZ17" s="16"/>
      <c r="HA17" s="16"/>
      <c r="HB17" s="16"/>
      <c r="HC17" s="16"/>
      <c r="HD17" s="16"/>
      <c r="HE17" s="16"/>
      <c r="HF17" s="16"/>
      <c r="HG17" s="16"/>
      <c r="HH17" s="16"/>
      <c r="HI17" s="16"/>
      <c r="HJ17" s="16"/>
      <c r="HK17" s="16"/>
      <c r="HL17" s="16"/>
      <c r="HM17" s="16"/>
      <c r="HN17" s="16"/>
      <c r="HO17" s="16"/>
      <c r="HP17" s="16"/>
      <c r="HQ17" s="16"/>
      <c r="HR17" s="16"/>
      <c r="HS17" s="16"/>
      <c r="HT17" s="16"/>
      <c r="HU17" s="16"/>
      <c r="HV17" s="16"/>
      <c r="HW17" s="16"/>
      <c r="HX17" s="16"/>
      <c r="HY17" s="16"/>
      <c r="HZ17" s="16"/>
      <c r="IA17" s="16"/>
      <c r="IB17" s="16"/>
      <c r="IC17" s="16"/>
      <c r="ID17" s="16"/>
      <c r="IE17" s="16"/>
      <c r="IF17" s="16"/>
      <c r="IG17" s="16"/>
      <c r="IH17" s="16"/>
      <c r="II17" s="16"/>
      <c r="IJ17" s="16"/>
      <c r="IK17" s="16"/>
      <c r="IL17" s="16"/>
      <c r="IM17" s="16"/>
      <c r="IN17" s="16"/>
      <c r="IO17" s="16"/>
      <c r="IP17" s="16"/>
      <c r="IQ17" s="16"/>
      <c r="IR17" s="16"/>
      <c r="IS17" s="16"/>
      <c r="IT17" s="16"/>
      <c r="IU17" s="16"/>
      <c r="IV17" s="16"/>
      <c r="IW17" s="16"/>
      <c r="IX17" s="16"/>
      <c r="IY17" s="16"/>
      <c r="IZ17" s="16"/>
      <c r="JA17" s="16"/>
      <c r="JB17" s="16"/>
      <c r="JC17" s="16"/>
      <c r="JD17" s="16"/>
    </row>
    <row r="18" spans="1:264" ht="92.25" hidden="1" customHeight="1" x14ac:dyDescent="0.3">
      <c r="A18" s="15" t="s">
        <v>25</v>
      </c>
      <c r="B18" s="15" t="s">
        <v>24</v>
      </c>
      <c r="C18" s="15" t="s">
        <v>1812</v>
      </c>
      <c r="D18" s="15" t="s">
        <v>19</v>
      </c>
      <c r="E18" s="15" t="s">
        <v>19</v>
      </c>
      <c r="F18" s="15" t="s">
        <v>19</v>
      </c>
      <c r="G18" s="15" t="s">
        <v>109</v>
      </c>
      <c r="H18" s="15" t="s">
        <v>109</v>
      </c>
      <c r="I18" s="15" t="s">
        <v>19</v>
      </c>
      <c r="J18" s="15" t="s">
        <v>19</v>
      </c>
      <c r="K18" s="15" t="s">
        <v>19</v>
      </c>
      <c r="L18" s="15" t="s">
        <v>19</v>
      </c>
      <c r="M18" s="15" t="s">
        <v>1811</v>
      </c>
      <c r="N18" s="4" t="s">
        <v>912</v>
      </c>
      <c r="O18" s="33" t="s">
        <v>1645</v>
      </c>
      <c r="P18" s="4" t="s">
        <v>2427</v>
      </c>
      <c r="S18" s="15" t="e" cm="1">
        <f t="array" aca="1" ref="S18" ca="1">COMMONMARKETCOUNT(H18:AV18)</f>
        <v>#NAME?</v>
      </c>
      <c r="T18" s="6" t="e" cm="1">
        <f t="array" aca="1" ref="T18" ca="1">AUTOMATEDCOUNT(H18:AV18)</f>
        <v>#NAME?</v>
      </c>
      <c r="V18" s="15" t="s">
        <v>109</v>
      </c>
      <c r="W18" s="15" t="s">
        <v>109</v>
      </c>
      <c r="X18" s="15" t="s">
        <v>19</v>
      </c>
      <c r="Y18" s="15" t="s">
        <v>19</v>
      </c>
      <c r="Z18" s="15" t="s">
        <v>19</v>
      </c>
      <c r="AA18" s="15" t="s">
        <v>19</v>
      </c>
      <c r="AB18" s="15" t="s">
        <v>19</v>
      </c>
      <c r="AC18" s="15" t="s">
        <v>19</v>
      </c>
      <c r="AD18" s="18" t="s">
        <v>19</v>
      </c>
      <c r="AE18" s="18" t="s">
        <v>19</v>
      </c>
      <c r="AF18" s="15" t="s">
        <v>19</v>
      </c>
      <c r="AG18" s="15" t="s">
        <v>19</v>
      </c>
      <c r="AH18" s="15" t="s">
        <v>19</v>
      </c>
      <c r="AI18" s="15" t="s">
        <v>19</v>
      </c>
      <c r="AJ18" s="15" t="s">
        <v>19</v>
      </c>
      <c r="AK18" s="15" t="s">
        <v>19</v>
      </c>
      <c r="AL18" s="15" t="s">
        <v>19</v>
      </c>
      <c r="AM18" s="15" t="s">
        <v>19</v>
      </c>
      <c r="AN18" s="15" t="s">
        <v>19</v>
      </c>
      <c r="AO18" s="15" t="s">
        <v>19</v>
      </c>
      <c r="AP18" s="15" t="s">
        <v>19</v>
      </c>
      <c r="AQ18" s="15" t="s">
        <v>19</v>
      </c>
      <c r="AR18" s="15" t="s">
        <v>19</v>
      </c>
      <c r="AS18" s="15" t="s">
        <v>19</v>
      </c>
      <c r="AT18" s="15" t="s">
        <v>19</v>
      </c>
      <c r="AU18" s="15" t="s">
        <v>3153</v>
      </c>
      <c r="AV18" s="36" t="s">
        <v>19</v>
      </c>
    </row>
    <row r="19" spans="1:264" ht="77.25" hidden="1" customHeight="1" x14ac:dyDescent="0.3">
      <c r="A19" s="15" t="s">
        <v>18</v>
      </c>
      <c r="B19" s="15" t="s">
        <v>17</v>
      </c>
      <c r="C19" s="15" t="s">
        <v>60</v>
      </c>
      <c r="D19" s="15" t="s">
        <v>19</v>
      </c>
      <c r="E19" s="70" t="s">
        <v>19</v>
      </c>
      <c r="F19" s="70" t="s">
        <v>3178</v>
      </c>
      <c r="G19" s="70" t="s">
        <v>19</v>
      </c>
      <c r="H19" s="70" t="s">
        <v>3178</v>
      </c>
      <c r="I19" s="72" t="s">
        <v>19</v>
      </c>
      <c r="J19" s="72" t="s">
        <v>19</v>
      </c>
      <c r="K19" s="72" t="s">
        <v>19</v>
      </c>
      <c r="L19" s="72" t="s">
        <v>19</v>
      </c>
      <c r="M19" s="15" t="s">
        <v>61</v>
      </c>
      <c r="N19" s="4" t="s">
        <v>62</v>
      </c>
      <c r="O19" s="15"/>
      <c r="P19" s="4" t="s">
        <v>3022</v>
      </c>
      <c r="S19" s="15" t="e" cm="1">
        <f t="array" aca="1" ref="S19" ca="1">COMMONMARKETCOUNT(H19:AV19)</f>
        <v>#NAME?</v>
      </c>
      <c r="T19" s="6" t="e" cm="1">
        <f t="array" aca="1" ref="T19" ca="1">AUTOMATEDCOUNT(H19:AV19)</f>
        <v>#NAME?</v>
      </c>
      <c r="V19" s="70" t="s">
        <v>19</v>
      </c>
      <c r="W19" s="70" t="s">
        <v>19</v>
      </c>
      <c r="X19" s="70" t="s">
        <v>19</v>
      </c>
      <c r="Y19" s="70" t="s">
        <v>19</v>
      </c>
      <c r="Z19" s="70" t="s">
        <v>19</v>
      </c>
      <c r="AA19" s="72" t="s">
        <v>19</v>
      </c>
      <c r="AB19" s="72" t="s">
        <v>19</v>
      </c>
      <c r="AC19" s="72" t="s">
        <v>19</v>
      </c>
      <c r="AD19" s="72" t="s">
        <v>19</v>
      </c>
      <c r="AE19" s="18" t="s">
        <v>19</v>
      </c>
      <c r="AF19" s="18" t="s">
        <v>19</v>
      </c>
      <c r="AG19" s="29" t="s">
        <v>19</v>
      </c>
      <c r="AH19" s="18" t="s">
        <v>19</v>
      </c>
      <c r="AI19" s="18" t="s">
        <v>19</v>
      </c>
      <c r="AJ19" s="18" t="s">
        <v>19</v>
      </c>
      <c r="AK19" s="18" t="s">
        <v>19</v>
      </c>
      <c r="AL19" s="18" t="s">
        <v>19</v>
      </c>
      <c r="AM19" s="18" t="s">
        <v>19</v>
      </c>
      <c r="AN19" s="18" t="s">
        <v>19</v>
      </c>
      <c r="AO19" s="18" t="s">
        <v>19</v>
      </c>
      <c r="AP19" s="18" t="s">
        <v>19</v>
      </c>
      <c r="AQ19" s="18" t="s">
        <v>19</v>
      </c>
      <c r="AR19" s="18" t="s">
        <v>19</v>
      </c>
      <c r="AS19" s="70" t="s">
        <v>19</v>
      </c>
      <c r="AT19" s="72" t="s">
        <v>19</v>
      </c>
      <c r="AU19" s="18" t="s">
        <v>3153</v>
      </c>
      <c r="AV19" s="36" t="s">
        <v>19</v>
      </c>
    </row>
    <row r="20" spans="1:264" ht="136.5" hidden="1" customHeight="1" x14ac:dyDescent="0.3">
      <c r="A20" s="15" t="s">
        <v>25</v>
      </c>
      <c r="B20" s="15" t="s">
        <v>64</v>
      </c>
      <c r="C20" s="15" t="s">
        <v>63</v>
      </c>
      <c r="D20" s="15" t="s">
        <v>19</v>
      </c>
      <c r="E20" s="20" t="s">
        <v>19</v>
      </c>
      <c r="F20" s="20" t="s">
        <v>19</v>
      </c>
      <c r="G20" s="15" t="s">
        <v>109</v>
      </c>
      <c r="H20" s="15" t="s">
        <v>109</v>
      </c>
      <c r="I20" s="18" t="s">
        <v>109</v>
      </c>
      <c r="J20" s="18" t="s">
        <v>109</v>
      </c>
      <c r="K20" s="18" t="s">
        <v>109</v>
      </c>
      <c r="L20" s="18" t="s">
        <v>109</v>
      </c>
      <c r="M20" s="15" t="s">
        <v>2863</v>
      </c>
      <c r="N20" s="4" t="s">
        <v>1674</v>
      </c>
      <c r="O20" s="15"/>
      <c r="P20" s="4" t="s">
        <v>1002</v>
      </c>
      <c r="S20" s="15" t="e" cm="1">
        <f t="array" aca="1" ref="S20" ca="1">COMMONMARKETCOUNT(H20:AV20)</f>
        <v>#NAME?</v>
      </c>
      <c r="T20" s="6" t="e" cm="1">
        <f t="array" aca="1" ref="T20" ca="1">AUTOMATEDCOUNT(H20:AV20)</f>
        <v>#NAME?</v>
      </c>
      <c r="V20" s="15" t="s">
        <v>109</v>
      </c>
      <c r="W20" s="15" t="s">
        <v>109</v>
      </c>
      <c r="X20" s="20" t="s">
        <v>19</v>
      </c>
      <c r="Y20" s="20" t="s">
        <v>19</v>
      </c>
      <c r="Z20" s="20" t="s">
        <v>19</v>
      </c>
      <c r="AA20" s="18" t="s">
        <v>109</v>
      </c>
      <c r="AB20" s="18" t="s">
        <v>109</v>
      </c>
      <c r="AC20" s="18" t="s">
        <v>109</v>
      </c>
      <c r="AD20" s="18" t="s">
        <v>109</v>
      </c>
      <c r="AE20" s="18" t="s">
        <v>109</v>
      </c>
      <c r="AF20" s="18" t="s">
        <v>109</v>
      </c>
      <c r="AG20" s="18" t="s">
        <v>109</v>
      </c>
      <c r="AH20" s="18" t="s">
        <v>109</v>
      </c>
      <c r="AI20" s="18" t="s">
        <v>109</v>
      </c>
      <c r="AJ20" s="18" t="s">
        <v>109</v>
      </c>
      <c r="AK20" s="18" t="s">
        <v>109</v>
      </c>
      <c r="AL20" s="18" t="s">
        <v>109</v>
      </c>
      <c r="AM20" s="18" t="s">
        <v>109</v>
      </c>
      <c r="AN20" s="18" t="s">
        <v>109</v>
      </c>
      <c r="AO20" s="18" t="s">
        <v>109</v>
      </c>
      <c r="AP20" s="18" t="s">
        <v>109</v>
      </c>
      <c r="AQ20" s="18" t="s">
        <v>109</v>
      </c>
      <c r="AR20" s="18" t="s">
        <v>109</v>
      </c>
      <c r="AS20" s="18" t="s">
        <v>109</v>
      </c>
      <c r="AT20" s="18" t="s">
        <v>109</v>
      </c>
      <c r="AU20" s="18" t="s">
        <v>109</v>
      </c>
      <c r="AV20" s="36" t="s">
        <v>109</v>
      </c>
    </row>
    <row r="21" spans="1:264" ht="97.5" hidden="1" customHeight="1" x14ac:dyDescent="0.3">
      <c r="A21" s="15" t="s">
        <v>25</v>
      </c>
      <c r="B21" s="15" t="s">
        <v>64</v>
      </c>
      <c r="C21" s="15" t="s">
        <v>65</v>
      </c>
      <c r="D21" s="15" t="s">
        <v>19</v>
      </c>
      <c r="E21" s="70" t="s">
        <v>19</v>
      </c>
      <c r="F21" s="70" t="s">
        <v>19</v>
      </c>
      <c r="G21" s="15" t="s">
        <v>109</v>
      </c>
      <c r="H21" s="15" t="s">
        <v>109</v>
      </c>
      <c r="I21" s="18" t="s">
        <v>109</v>
      </c>
      <c r="J21" s="18" t="s">
        <v>109</v>
      </c>
      <c r="K21" s="18" t="s">
        <v>109</v>
      </c>
      <c r="L21" s="18" t="s">
        <v>109</v>
      </c>
      <c r="M21" s="15" t="s">
        <v>2864</v>
      </c>
      <c r="N21" s="4" t="s">
        <v>1675</v>
      </c>
      <c r="O21" s="15"/>
      <c r="P21" s="4" t="s">
        <v>1003</v>
      </c>
      <c r="S21" s="15" t="e" cm="1">
        <f t="array" aca="1" ref="S21" ca="1">COMMONMARKETCOUNT(H21:AV21)</f>
        <v>#NAME?</v>
      </c>
      <c r="T21" s="6" t="e" cm="1">
        <f t="array" aca="1" ref="T21" ca="1">AUTOMATEDCOUNT(H21:AV21)</f>
        <v>#NAME?</v>
      </c>
      <c r="V21" s="15" t="s">
        <v>109</v>
      </c>
      <c r="W21" s="15" t="s">
        <v>109</v>
      </c>
      <c r="X21" s="70" t="s">
        <v>19</v>
      </c>
      <c r="Y21" s="70" t="s">
        <v>19</v>
      </c>
      <c r="Z21" s="70" t="s">
        <v>19</v>
      </c>
      <c r="AA21" s="18" t="s">
        <v>109</v>
      </c>
      <c r="AB21" s="18" t="s">
        <v>109</v>
      </c>
      <c r="AC21" s="18" t="s">
        <v>109</v>
      </c>
      <c r="AD21" s="6" t="s">
        <v>109</v>
      </c>
      <c r="AE21" s="6" t="s">
        <v>109</v>
      </c>
      <c r="AF21" s="18" t="s">
        <v>109</v>
      </c>
      <c r="AG21" s="18" t="s">
        <v>109</v>
      </c>
      <c r="AH21" s="18" t="s">
        <v>109</v>
      </c>
      <c r="AI21" s="18" t="s">
        <v>109</v>
      </c>
      <c r="AJ21" s="18" t="s">
        <v>109</v>
      </c>
      <c r="AK21" s="18" t="s">
        <v>109</v>
      </c>
      <c r="AL21" s="18" t="s">
        <v>109</v>
      </c>
      <c r="AM21" s="18" t="s">
        <v>109</v>
      </c>
      <c r="AN21" s="18" t="s">
        <v>109</v>
      </c>
      <c r="AO21" s="18" t="s">
        <v>109</v>
      </c>
      <c r="AP21" s="18" t="s">
        <v>109</v>
      </c>
      <c r="AQ21" s="18" t="s">
        <v>109</v>
      </c>
      <c r="AR21" s="18" t="s">
        <v>109</v>
      </c>
      <c r="AS21" s="18" t="s">
        <v>109</v>
      </c>
      <c r="AT21" s="18" t="s">
        <v>109</v>
      </c>
      <c r="AU21" s="18" t="s">
        <v>109</v>
      </c>
      <c r="AV21" s="36" t="s">
        <v>109</v>
      </c>
    </row>
    <row r="22" spans="1:264" ht="70.5" hidden="1" customHeight="1" x14ac:dyDescent="0.3">
      <c r="A22" s="15" t="s">
        <v>25</v>
      </c>
      <c r="B22" s="15" t="s">
        <v>64</v>
      </c>
      <c r="C22" s="15" t="s">
        <v>66</v>
      </c>
      <c r="D22" s="15" t="s">
        <v>19</v>
      </c>
      <c r="E22" s="70" t="s">
        <v>19</v>
      </c>
      <c r="F22" s="70" t="s">
        <v>19</v>
      </c>
      <c r="G22" s="15" t="s">
        <v>109</v>
      </c>
      <c r="H22" s="15" t="s">
        <v>109</v>
      </c>
      <c r="I22" s="18" t="s">
        <v>109</v>
      </c>
      <c r="J22" s="18" t="s">
        <v>109</v>
      </c>
      <c r="K22" s="18" t="s">
        <v>109</v>
      </c>
      <c r="L22" s="18" t="s">
        <v>109</v>
      </c>
      <c r="M22" s="15" t="s">
        <v>2865</v>
      </c>
      <c r="N22" s="4" t="s">
        <v>1676</v>
      </c>
      <c r="O22" s="15"/>
      <c r="P22" s="4" t="s">
        <v>979</v>
      </c>
      <c r="S22" s="15" t="e" cm="1">
        <f t="array" aca="1" ref="S22" ca="1">COMMONMARKETCOUNT(H22:AV22)</f>
        <v>#NAME?</v>
      </c>
      <c r="T22" s="6" t="e" cm="1">
        <f t="array" aca="1" ref="T22" ca="1">AUTOMATEDCOUNT(H22:AV22)</f>
        <v>#NAME?</v>
      </c>
      <c r="V22" s="15" t="s">
        <v>109</v>
      </c>
      <c r="W22" s="15" t="s">
        <v>109</v>
      </c>
      <c r="X22" s="70" t="s">
        <v>19</v>
      </c>
      <c r="Y22" s="70" t="s">
        <v>19</v>
      </c>
      <c r="Z22" s="70" t="s">
        <v>19</v>
      </c>
      <c r="AA22" s="18" t="s">
        <v>109</v>
      </c>
      <c r="AB22" s="18" t="s">
        <v>109</v>
      </c>
      <c r="AC22" s="18" t="s">
        <v>109</v>
      </c>
      <c r="AD22" s="18" t="s">
        <v>109</v>
      </c>
      <c r="AE22" s="18" t="s">
        <v>109</v>
      </c>
      <c r="AF22" s="18" t="s">
        <v>109</v>
      </c>
      <c r="AG22" s="18" t="s">
        <v>109</v>
      </c>
      <c r="AH22" s="18" t="s">
        <v>109</v>
      </c>
      <c r="AI22" s="18" t="s">
        <v>109</v>
      </c>
      <c r="AJ22" s="18" t="s">
        <v>109</v>
      </c>
      <c r="AK22" s="18" t="s">
        <v>109</v>
      </c>
      <c r="AL22" s="18" t="s">
        <v>109</v>
      </c>
      <c r="AM22" s="18" t="s">
        <v>109</v>
      </c>
      <c r="AN22" s="18" t="s">
        <v>109</v>
      </c>
      <c r="AO22" s="18" t="s">
        <v>109</v>
      </c>
      <c r="AP22" s="18" t="s">
        <v>109</v>
      </c>
      <c r="AQ22" s="18" t="s">
        <v>109</v>
      </c>
      <c r="AR22" s="18" t="s">
        <v>109</v>
      </c>
      <c r="AS22" s="18" t="s">
        <v>109</v>
      </c>
      <c r="AT22" s="18" t="s">
        <v>109</v>
      </c>
      <c r="AU22" s="18" t="s">
        <v>109</v>
      </c>
      <c r="AV22" s="36" t="s">
        <v>109</v>
      </c>
      <c r="AW22" s="5"/>
      <c r="AX22" s="5"/>
      <c r="AY22" s="5"/>
      <c r="AZ22" s="5"/>
      <c r="BA22" s="5"/>
      <c r="BB22" s="5"/>
      <c r="BC22" s="5"/>
      <c r="BD22" s="5"/>
      <c r="BE22" s="5"/>
      <c r="BF22" s="5"/>
      <c r="BG22" s="5"/>
      <c r="BH22" s="5"/>
      <c r="BI22" s="5"/>
      <c r="BJ22" s="5"/>
      <c r="BK22" s="5"/>
      <c r="BL22" s="5"/>
      <c r="BM22" s="5"/>
      <c r="BN22" s="5"/>
      <c r="BO22" s="5"/>
      <c r="BP22" s="5"/>
      <c r="BQ22" s="5"/>
      <c r="BR22" s="5"/>
      <c r="BS22" s="5"/>
      <c r="BT22" s="5"/>
      <c r="BU22" s="5"/>
      <c r="BV22" s="5"/>
      <c r="BW22" s="5"/>
      <c r="BX22" s="5"/>
      <c r="BY22" s="5"/>
      <c r="BZ22" s="5"/>
      <c r="CA22" s="5"/>
      <c r="CB22" s="5"/>
      <c r="CC22" s="5"/>
      <c r="CD22" s="5"/>
      <c r="CE22" s="5"/>
      <c r="CF22" s="5"/>
      <c r="CG22" s="5"/>
      <c r="CH22" s="5"/>
      <c r="CI22" s="5"/>
      <c r="CJ22" s="5"/>
      <c r="CK22" s="5"/>
      <c r="CL22" s="5"/>
      <c r="CM22" s="5"/>
      <c r="CN22" s="5"/>
      <c r="CO22" s="5"/>
      <c r="CP22" s="5"/>
      <c r="CQ22" s="5"/>
      <c r="CR22" s="5"/>
      <c r="CS22" s="5"/>
      <c r="CT22" s="5"/>
      <c r="CU22" s="5"/>
      <c r="CV22" s="5"/>
      <c r="CW22" s="5"/>
      <c r="CX22" s="5"/>
      <c r="CY22" s="5"/>
      <c r="CZ22" s="5"/>
      <c r="DA22" s="5"/>
      <c r="DB22" s="5"/>
      <c r="DC22" s="5"/>
      <c r="DD22" s="5"/>
      <c r="DE22" s="5"/>
      <c r="DF22" s="5"/>
      <c r="DG22" s="5"/>
      <c r="DH22" s="5"/>
      <c r="DI22" s="5"/>
      <c r="DJ22" s="5"/>
      <c r="DK22" s="5"/>
      <c r="DL22" s="5"/>
      <c r="DM22" s="5"/>
      <c r="DN22" s="5"/>
      <c r="DO22" s="5"/>
      <c r="DP22" s="5"/>
      <c r="DQ22" s="5"/>
      <c r="DR22" s="5"/>
      <c r="DS22" s="5"/>
      <c r="DT22" s="5"/>
      <c r="DU22" s="5"/>
      <c r="DV22" s="5"/>
      <c r="DW22" s="5"/>
      <c r="DX22" s="5"/>
      <c r="DY22" s="5"/>
      <c r="DZ22" s="5"/>
      <c r="EA22" s="5"/>
      <c r="EB22" s="5"/>
      <c r="EC22" s="5"/>
      <c r="ED22" s="5"/>
      <c r="EE22" s="5"/>
      <c r="EF22" s="5"/>
      <c r="EG22" s="5"/>
      <c r="EH22" s="5"/>
      <c r="EI22" s="5"/>
      <c r="EJ22" s="5"/>
      <c r="EK22" s="5"/>
      <c r="EL22" s="5"/>
      <c r="EM22" s="5"/>
      <c r="EN22" s="5"/>
      <c r="EO22" s="5"/>
      <c r="EP22" s="5"/>
      <c r="EQ22" s="5"/>
      <c r="ER22" s="5"/>
      <c r="ES22" s="5"/>
      <c r="ET22" s="5"/>
      <c r="EU22" s="5"/>
      <c r="EV22" s="5"/>
      <c r="EW22" s="5"/>
      <c r="EX22" s="5"/>
      <c r="EY22" s="5"/>
      <c r="EZ22" s="5"/>
      <c r="FA22" s="5"/>
      <c r="FB22" s="5"/>
      <c r="FC22" s="5"/>
      <c r="FD22" s="5"/>
      <c r="FE22" s="5"/>
      <c r="FF22" s="5"/>
      <c r="FG22" s="5"/>
      <c r="FH22" s="5"/>
      <c r="FI22" s="5"/>
      <c r="FJ22" s="5"/>
      <c r="FK22" s="5"/>
      <c r="FL22" s="5"/>
      <c r="FM22" s="5"/>
      <c r="FN22" s="5"/>
      <c r="FO22" s="5"/>
      <c r="FP22" s="5"/>
      <c r="FQ22" s="5"/>
      <c r="FR22" s="5"/>
      <c r="FS22" s="5"/>
      <c r="FT22" s="5"/>
      <c r="FU22" s="5"/>
      <c r="FV22" s="5"/>
      <c r="FW22" s="5"/>
      <c r="FX22" s="5"/>
      <c r="FY22" s="5"/>
      <c r="FZ22" s="5"/>
      <c r="GA22" s="5"/>
      <c r="GB22" s="5"/>
      <c r="GC22" s="5"/>
      <c r="GD22" s="5"/>
      <c r="GE22" s="5"/>
      <c r="GF22" s="5"/>
      <c r="GG22" s="5"/>
      <c r="GH22" s="5"/>
      <c r="GI22" s="5"/>
      <c r="GJ22" s="5"/>
      <c r="GK22" s="5"/>
      <c r="GL22" s="5"/>
      <c r="GM22" s="5"/>
      <c r="GN22" s="5"/>
      <c r="GO22" s="5"/>
      <c r="GP22" s="5"/>
      <c r="GQ22" s="5"/>
      <c r="GR22" s="5"/>
      <c r="GS22" s="5"/>
      <c r="GT22" s="5"/>
      <c r="GU22" s="5"/>
      <c r="GV22" s="5"/>
      <c r="GW22" s="5"/>
      <c r="GX22" s="5"/>
      <c r="GY22" s="5"/>
      <c r="GZ22" s="5"/>
      <c r="HA22" s="5"/>
      <c r="HB22" s="5"/>
      <c r="HC22" s="5"/>
      <c r="HD22" s="5"/>
      <c r="HE22" s="5"/>
      <c r="HF22" s="5"/>
      <c r="HG22" s="5"/>
      <c r="HH22" s="5"/>
      <c r="HI22" s="5"/>
      <c r="HJ22" s="5"/>
      <c r="HK22" s="5"/>
      <c r="HL22" s="5"/>
      <c r="HM22" s="5"/>
      <c r="HN22" s="5"/>
      <c r="HO22" s="5"/>
      <c r="HP22" s="5"/>
      <c r="HQ22" s="5"/>
      <c r="HR22" s="5"/>
      <c r="HS22" s="5"/>
      <c r="HT22" s="5"/>
      <c r="HU22" s="5"/>
      <c r="HV22" s="5"/>
      <c r="HW22" s="5"/>
      <c r="HX22" s="5"/>
      <c r="HY22" s="5"/>
      <c r="HZ22" s="5"/>
      <c r="IA22" s="5"/>
      <c r="IB22" s="5"/>
      <c r="IC22" s="5"/>
      <c r="ID22" s="5"/>
      <c r="IE22" s="5"/>
      <c r="IF22" s="5"/>
      <c r="IG22" s="5"/>
      <c r="IH22" s="5"/>
      <c r="II22" s="5"/>
      <c r="IJ22" s="5"/>
      <c r="IK22" s="5"/>
      <c r="IL22" s="5"/>
      <c r="IM22" s="5"/>
      <c r="IN22" s="5"/>
      <c r="IO22" s="5"/>
      <c r="IP22" s="5"/>
      <c r="IQ22" s="5"/>
      <c r="IR22" s="5"/>
      <c r="IS22" s="5"/>
      <c r="IT22" s="5"/>
      <c r="IU22" s="5"/>
      <c r="IV22" s="5"/>
      <c r="IW22" s="5"/>
      <c r="IX22" s="5"/>
      <c r="IY22" s="5"/>
      <c r="IZ22" s="5"/>
      <c r="JA22" s="5"/>
      <c r="JB22" s="5"/>
      <c r="JC22" s="5"/>
      <c r="JD22" s="5"/>
    </row>
    <row r="23" spans="1:264" ht="70.5" hidden="1" customHeight="1" x14ac:dyDescent="0.3">
      <c r="A23" s="15" t="s">
        <v>25</v>
      </c>
      <c r="B23" s="15" t="s">
        <v>64</v>
      </c>
      <c r="C23" s="15" t="s">
        <v>67</v>
      </c>
      <c r="D23" s="15" t="s">
        <v>19</v>
      </c>
      <c r="E23" s="70" t="s">
        <v>19</v>
      </c>
      <c r="F23" s="70" t="s">
        <v>19</v>
      </c>
      <c r="G23" s="15" t="s">
        <v>109</v>
      </c>
      <c r="H23" s="15" t="s">
        <v>109</v>
      </c>
      <c r="I23" s="18" t="s">
        <v>109</v>
      </c>
      <c r="J23" s="18" t="s">
        <v>109</v>
      </c>
      <c r="K23" s="18" t="s">
        <v>109</v>
      </c>
      <c r="L23" s="18" t="s">
        <v>109</v>
      </c>
      <c r="M23" s="15" t="s">
        <v>2866</v>
      </c>
      <c r="N23" s="4" t="s">
        <v>1677</v>
      </c>
      <c r="O23" s="15"/>
      <c r="P23" s="4" t="s">
        <v>980</v>
      </c>
      <c r="S23" s="15" t="e" cm="1">
        <f t="array" aca="1" ref="S23" ca="1">COMMONMARKETCOUNT(H23:AV23)</f>
        <v>#NAME?</v>
      </c>
      <c r="T23" s="6" t="e" cm="1">
        <f t="array" aca="1" ref="T23" ca="1">AUTOMATEDCOUNT(H23:AV23)</f>
        <v>#NAME?</v>
      </c>
      <c r="V23" s="15" t="s">
        <v>109</v>
      </c>
      <c r="W23" s="15" t="s">
        <v>109</v>
      </c>
      <c r="X23" s="70" t="s">
        <v>19</v>
      </c>
      <c r="Y23" s="70" t="s">
        <v>19</v>
      </c>
      <c r="Z23" s="70" t="s">
        <v>19</v>
      </c>
      <c r="AA23" s="18" t="s">
        <v>109</v>
      </c>
      <c r="AB23" s="18" t="s">
        <v>109</v>
      </c>
      <c r="AC23" s="18" t="s">
        <v>109</v>
      </c>
      <c r="AD23" s="18" t="s">
        <v>109</v>
      </c>
      <c r="AE23" s="18" t="s">
        <v>109</v>
      </c>
      <c r="AF23" s="18" t="s">
        <v>109</v>
      </c>
      <c r="AG23" s="18" t="s">
        <v>109</v>
      </c>
      <c r="AH23" s="18" t="s">
        <v>109</v>
      </c>
      <c r="AI23" s="18" t="s">
        <v>109</v>
      </c>
      <c r="AJ23" s="18" t="s">
        <v>109</v>
      </c>
      <c r="AK23" s="18" t="s">
        <v>109</v>
      </c>
      <c r="AL23" s="18" t="s">
        <v>109</v>
      </c>
      <c r="AM23" s="18" t="s">
        <v>109</v>
      </c>
      <c r="AN23" s="18" t="s">
        <v>109</v>
      </c>
      <c r="AO23" s="18" t="s">
        <v>109</v>
      </c>
      <c r="AP23" s="18" t="s">
        <v>109</v>
      </c>
      <c r="AQ23" s="18" t="s">
        <v>109</v>
      </c>
      <c r="AR23" s="18" t="s">
        <v>109</v>
      </c>
      <c r="AS23" s="18" t="s">
        <v>109</v>
      </c>
      <c r="AT23" s="18" t="s">
        <v>109</v>
      </c>
      <c r="AU23" s="18" t="s">
        <v>109</v>
      </c>
      <c r="AV23" s="36" t="s">
        <v>109</v>
      </c>
    </row>
    <row r="24" spans="1:264" ht="96.75" hidden="1" customHeight="1" x14ac:dyDescent="0.3">
      <c r="A24" s="15" t="s">
        <v>25</v>
      </c>
      <c r="B24" s="15" t="s">
        <v>64</v>
      </c>
      <c r="C24" s="15" t="s">
        <v>68</v>
      </c>
      <c r="D24" s="15" t="s">
        <v>19</v>
      </c>
      <c r="E24" s="70" t="s">
        <v>19</v>
      </c>
      <c r="F24" s="70" t="s">
        <v>19</v>
      </c>
      <c r="G24" s="15" t="s">
        <v>109</v>
      </c>
      <c r="H24" s="15" t="s">
        <v>109</v>
      </c>
      <c r="I24" s="18" t="s">
        <v>109</v>
      </c>
      <c r="J24" s="18" t="s">
        <v>109</v>
      </c>
      <c r="K24" s="18" t="s">
        <v>109</v>
      </c>
      <c r="L24" s="18" t="s">
        <v>109</v>
      </c>
      <c r="M24" s="15" t="s">
        <v>2867</v>
      </c>
      <c r="N24" s="4" t="s">
        <v>69</v>
      </c>
      <c r="O24" s="15"/>
      <c r="P24" s="4" t="s">
        <v>968</v>
      </c>
      <c r="S24" s="15" t="e" cm="1">
        <f t="array" aca="1" ref="S24" ca="1">COMMONMARKETCOUNT(H24:AV24)</f>
        <v>#NAME?</v>
      </c>
      <c r="T24" s="6" t="e" cm="1">
        <f t="array" aca="1" ref="T24" ca="1">AUTOMATEDCOUNT(H24:AV24)</f>
        <v>#NAME?</v>
      </c>
      <c r="V24" s="15" t="s">
        <v>109</v>
      </c>
      <c r="W24" s="15" t="s">
        <v>109</v>
      </c>
      <c r="X24" s="70" t="s">
        <v>19</v>
      </c>
      <c r="Y24" s="70" t="s">
        <v>19</v>
      </c>
      <c r="Z24" s="70" t="s">
        <v>19</v>
      </c>
      <c r="AA24" s="18" t="s">
        <v>109</v>
      </c>
      <c r="AB24" s="18" t="s">
        <v>109</v>
      </c>
      <c r="AC24" s="18" t="s">
        <v>109</v>
      </c>
      <c r="AD24" s="18" t="s">
        <v>109</v>
      </c>
      <c r="AE24" s="18" t="s">
        <v>109</v>
      </c>
      <c r="AF24" s="18" t="s">
        <v>109</v>
      </c>
      <c r="AG24" s="18" t="s">
        <v>109</v>
      </c>
      <c r="AH24" s="18" t="s">
        <v>109</v>
      </c>
      <c r="AI24" s="18" t="s">
        <v>109</v>
      </c>
      <c r="AJ24" s="18" t="s">
        <v>109</v>
      </c>
      <c r="AK24" s="18" t="s">
        <v>109</v>
      </c>
      <c r="AL24" s="18" t="s">
        <v>109</v>
      </c>
      <c r="AM24" s="18" t="s">
        <v>109</v>
      </c>
      <c r="AN24" s="18" t="s">
        <v>109</v>
      </c>
      <c r="AO24" s="18" t="s">
        <v>109</v>
      </c>
      <c r="AP24" s="18" t="s">
        <v>109</v>
      </c>
      <c r="AQ24" s="18" t="s">
        <v>109</v>
      </c>
      <c r="AR24" s="18" t="s">
        <v>109</v>
      </c>
      <c r="AS24" s="18" t="s">
        <v>109</v>
      </c>
      <c r="AT24" s="18" t="s">
        <v>109</v>
      </c>
      <c r="AU24" s="18" t="s">
        <v>109</v>
      </c>
      <c r="AV24" s="36" t="s">
        <v>109</v>
      </c>
    </row>
    <row r="25" spans="1:264" s="5" customFormat="1" ht="70.5" hidden="1" customHeight="1" x14ac:dyDescent="0.3">
      <c r="A25" s="15" t="s">
        <v>25</v>
      </c>
      <c r="B25" s="15" t="s">
        <v>64</v>
      </c>
      <c r="C25" s="15" t="s">
        <v>70</v>
      </c>
      <c r="D25" s="15" t="s">
        <v>19</v>
      </c>
      <c r="E25" s="20" t="s">
        <v>19</v>
      </c>
      <c r="F25" s="20" t="s">
        <v>19</v>
      </c>
      <c r="G25" s="15" t="s">
        <v>109</v>
      </c>
      <c r="H25" s="15" t="s">
        <v>109</v>
      </c>
      <c r="I25" s="18" t="s">
        <v>109</v>
      </c>
      <c r="J25" s="18" t="s">
        <v>109</v>
      </c>
      <c r="K25" s="18" t="s">
        <v>109</v>
      </c>
      <c r="L25" s="18" t="s">
        <v>109</v>
      </c>
      <c r="M25" s="15" t="s">
        <v>2868</v>
      </c>
      <c r="N25" s="4" t="s">
        <v>71</v>
      </c>
      <c r="O25" s="15"/>
      <c r="P25" s="4" t="s">
        <v>969</v>
      </c>
      <c r="S25" s="15" t="e" cm="1">
        <f t="array" aca="1" ref="S25" ca="1">COMMONMARKETCOUNT(H25:AV25)</f>
        <v>#NAME?</v>
      </c>
      <c r="T25" s="6" t="e" cm="1">
        <f t="array" aca="1" ref="T25" ca="1">AUTOMATEDCOUNT(H25:AV25)</f>
        <v>#NAME?</v>
      </c>
      <c r="V25" s="15" t="s">
        <v>109</v>
      </c>
      <c r="W25" s="15" t="s">
        <v>109</v>
      </c>
      <c r="X25" s="20" t="s">
        <v>19</v>
      </c>
      <c r="Y25" s="20" t="s">
        <v>19</v>
      </c>
      <c r="Z25" s="20" t="s">
        <v>19</v>
      </c>
      <c r="AA25" s="18" t="s">
        <v>109</v>
      </c>
      <c r="AB25" s="18" t="s">
        <v>109</v>
      </c>
      <c r="AC25" s="18" t="s">
        <v>109</v>
      </c>
      <c r="AD25" s="18" t="s">
        <v>109</v>
      </c>
      <c r="AE25" s="18" t="s">
        <v>109</v>
      </c>
      <c r="AF25" s="18" t="s">
        <v>109</v>
      </c>
      <c r="AG25" s="18" t="s">
        <v>109</v>
      </c>
      <c r="AH25" s="18" t="s">
        <v>109</v>
      </c>
      <c r="AI25" s="18" t="s">
        <v>109</v>
      </c>
      <c r="AJ25" s="18" t="s">
        <v>109</v>
      </c>
      <c r="AK25" s="18" t="s">
        <v>109</v>
      </c>
      <c r="AL25" s="18" t="s">
        <v>109</v>
      </c>
      <c r="AM25" s="18" t="s">
        <v>109</v>
      </c>
      <c r="AN25" s="18" t="s">
        <v>109</v>
      </c>
      <c r="AO25" s="18" t="s">
        <v>109</v>
      </c>
      <c r="AP25" s="18" t="s">
        <v>109</v>
      </c>
      <c r="AQ25" s="18" t="s">
        <v>109</v>
      </c>
      <c r="AR25" s="18" t="s">
        <v>109</v>
      </c>
      <c r="AS25" s="18" t="s">
        <v>109</v>
      </c>
      <c r="AT25" s="18" t="s">
        <v>109</v>
      </c>
      <c r="AU25" s="18" t="s">
        <v>109</v>
      </c>
      <c r="AV25" s="36" t="s">
        <v>109</v>
      </c>
      <c r="AW25" s="16"/>
      <c r="AX25" s="16"/>
      <c r="AY25" s="16"/>
      <c r="AZ25" s="16"/>
      <c r="BA25" s="16"/>
      <c r="BB25" s="16"/>
      <c r="BC25" s="16"/>
      <c r="BD25" s="16"/>
      <c r="BE25" s="16"/>
      <c r="BF25" s="16"/>
      <c r="BG25" s="16"/>
      <c r="BH25" s="16"/>
      <c r="BI25" s="16"/>
      <c r="BJ25" s="16"/>
      <c r="BK25" s="16"/>
      <c r="BL25" s="16"/>
      <c r="BM25" s="16"/>
      <c r="BN25" s="16"/>
      <c r="BO25" s="16"/>
      <c r="BP25" s="16"/>
      <c r="BQ25" s="16"/>
      <c r="BR25" s="16"/>
      <c r="BS25" s="16"/>
      <c r="BT25" s="16"/>
      <c r="BU25" s="16"/>
      <c r="BV25" s="16"/>
      <c r="BW25" s="16"/>
      <c r="BX25" s="16"/>
      <c r="BY25" s="16"/>
      <c r="BZ25" s="16"/>
      <c r="CA25" s="16"/>
      <c r="CB25" s="16"/>
      <c r="CC25" s="16"/>
      <c r="CD25" s="16"/>
      <c r="CE25" s="16"/>
      <c r="CF25" s="16"/>
      <c r="CG25" s="16"/>
      <c r="CH25" s="16"/>
      <c r="CI25" s="16"/>
      <c r="CJ25" s="16"/>
      <c r="CK25" s="16"/>
      <c r="CL25" s="16"/>
      <c r="CM25" s="16"/>
      <c r="CN25" s="16"/>
      <c r="CO25" s="16"/>
      <c r="CP25" s="16"/>
      <c r="CQ25" s="16"/>
      <c r="CR25" s="16"/>
      <c r="CS25" s="16"/>
      <c r="CT25" s="16"/>
      <c r="CU25" s="16"/>
      <c r="CV25" s="16"/>
      <c r="CW25" s="16"/>
      <c r="CX25" s="16"/>
      <c r="CY25" s="16"/>
      <c r="CZ25" s="16"/>
      <c r="DA25" s="16"/>
      <c r="DB25" s="16"/>
      <c r="DC25" s="16"/>
      <c r="DD25" s="16"/>
      <c r="DE25" s="16"/>
      <c r="DF25" s="16"/>
      <c r="DG25" s="16"/>
      <c r="DH25" s="16"/>
      <c r="DI25" s="16"/>
      <c r="DJ25" s="16"/>
      <c r="DK25" s="16"/>
      <c r="DL25" s="16"/>
      <c r="DM25" s="16"/>
      <c r="DN25" s="16"/>
      <c r="DO25" s="16"/>
      <c r="DP25" s="16"/>
      <c r="DQ25" s="16"/>
      <c r="DR25" s="16"/>
      <c r="DS25" s="16"/>
      <c r="DT25" s="16"/>
      <c r="DU25" s="16"/>
      <c r="DV25" s="16"/>
      <c r="DW25" s="16"/>
      <c r="DX25" s="16"/>
      <c r="DY25" s="16"/>
      <c r="DZ25" s="16"/>
      <c r="EA25" s="16"/>
      <c r="EB25" s="16"/>
      <c r="EC25" s="16"/>
      <c r="ED25" s="16"/>
      <c r="EE25" s="16"/>
      <c r="EF25" s="16"/>
      <c r="EG25" s="16"/>
      <c r="EH25" s="16"/>
      <c r="EI25" s="16"/>
      <c r="EJ25" s="16"/>
      <c r="EK25" s="16"/>
      <c r="EL25" s="16"/>
      <c r="EM25" s="16"/>
      <c r="EN25" s="16"/>
      <c r="EO25" s="16"/>
      <c r="EP25" s="16"/>
      <c r="EQ25" s="16"/>
      <c r="ER25" s="16"/>
      <c r="ES25" s="16"/>
      <c r="ET25" s="16"/>
      <c r="EU25" s="16"/>
      <c r="EV25" s="16"/>
      <c r="EW25" s="16"/>
      <c r="EX25" s="16"/>
      <c r="EY25" s="16"/>
      <c r="EZ25" s="16"/>
      <c r="FA25" s="16"/>
      <c r="FB25" s="16"/>
      <c r="FC25" s="16"/>
      <c r="FD25" s="16"/>
      <c r="FE25" s="16"/>
      <c r="FF25" s="16"/>
      <c r="FG25" s="16"/>
      <c r="FH25" s="16"/>
      <c r="FI25" s="16"/>
      <c r="FJ25" s="16"/>
      <c r="FK25" s="16"/>
      <c r="FL25" s="16"/>
      <c r="FM25" s="16"/>
      <c r="FN25" s="16"/>
      <c r="FO25" s="16"/>
      <c r="FP25" s="16"/>
      <c r="FQ25" s="16"/>
      <c r="FR25" s="16"/>
      <c r="FS25" s="16"/>
      <c r="FT25" s="16"/>
      <c r="FU25" s="16"/>
      <c r="FV25" s="16"/>
      <c r="FW25" s="16"/>
      <c r="FX25" s="16"/>
      <c r="FY25" s="16"/>
      <c r="FZ25" s="16"/>
      <c r="GA25" s="16"/>
      <c r="GB25" s="16"/>
      <c r="GC25" s="16"/>
      <c r="GD25" s="16"/>
      <c r="GE25" s="16"/>
      <c r="GF25" s="16"/>
      <c r="GG25" s="16"/>
      <c r="GH25" s="16"/>
      <c r="GI25" s="16"/>
      <c r="GJ25" s="16"/>
      <c r="GK25" s="16"/>
      <c r="GL25" s="16"/>
      <c r="GM25" s="16"/>
      <c r="GN25" s="16"/>
      <c r="GO25" s="16"/>
      <c r="GP25" s="16"/>
      <c r="GQ25" s="16"/>
      <c r="GR25" s="16"/>
      <c r="GS25" s="16"/>
      <c r="GT25" s="16"/>
      <c r="GU25" s="16"/>
      <c r="GV25" s="16"/>
      <c r="GW25" s="16"/>
      <c r="GX25" s="16"/>
      <c r="GY25" s="16"/>
      <c r="GZ25" s="16"/>
      <c r="HA25" s="16"/>
      <c r="HB25" s="16"/>
      <c r="HC25" s="16"/>
      <c r="HD25" s="16"/>
      <c r="HE25" s="16"/>
      <c r="HF25" s="16"/>
      <c r="HG25" s="16"/>
      <c r="HH25" s="16"/>
      <c r="HI25" s="16"/>
      <c r="HJ25" s="16"/>
      <c r="HK25" s="16"/>
      <c r="HL25" s="16"/>
      <c r="HM25" s="16"/>
      <c r="HN25" s="16"/>
      <c r="HO25" s="16"/>
      <c r="HP25" s="16"/>
      <c r="HQ25" s="16"/>
      <c r="HR25" s="16"/>
      <c r="HS25" s="16"/>
      <c r="HT25" s="16"/>
      <c r="HU25" s="16"/>
      <c r="HV25" s="16"/>
      <c r="HW25" s="16"/>
      <c r="HX25" s="16"/>
      <c r="HY25" s="16"/>
      <c r="HZ25" s="16"/>
      <c r="IA25" s="16"/>
      <c r="IB25" s="16"/>
      <c r="IC25" s="16"/>
      <c r="ID25" s="16"/>
      <c r="IE25" s="16"/>
      <c r="IF25" s="16"/>
      <c r="IG25" s="16"/>
      <c r="IH25" s="16"/>
      <c r="II25" s="16"/>
      <c r="IJ25" s="16"/>
      <c r="IK25" s="16"/>
      <c r="IL25" s="16"/>
      <c r="IM25" s="16"/>
      <c r="IN25" s="16"/>
      <c r="IO25" s="16"/>
      <c r="IP25" s="16"/>
      <c r="IQ25" s="16"/>
      <c r="IR25" s="16"/>
      <c r="IS25" s="16"/>
      <c r="IT25" s="16"/>
      <c r="IU25" s="16"/>
      <c r="IV25" s="16"/>
      <c r="IW25" s="16"/>
      <c r="IX25" s="16"/>
      <c r="IY25" s="16"/>
      <c r="IZ25" s="16"/>
      <c r="JA25" s="16"/>
      <c r="JB25" s="16"/>
      <c r="JC25" s="16"/>
      <c r="JD25" s="16"/>
    </row>
    <row r="26" spans="1:264" ht="70.5" hidden="1" customHeight="1" x14ac:dyDescent="0.3">
      <c r="A26" s="15" t="s">
        <v>25</v>
      </c>
      <c r="B26" s="15" t="s">
        <v>64</v>
      </c>
      <c r="C26" s="15" t="s">
        <v>72</v>
      </c>
      <c r="D26" s="15" t="s">
        <v>19</v>
      </c>
      <c r="E26" s="70" t="s">
        <v>19</v>
      </c>
      <c r="F26" s="70" t="s">
        <v>19</v>
      </c>
      <c r="G26" s="15" t="s">
        <v>109</v>
      </c>
      <c r="H26" s="15" t="s">
        <v>109</v>
      </c>
      <c r="I26" s="18" t="s">
        <v>109</v>
      </c>
      <c r="J26" s="18" t="s">
        <v>109</v>
      </c>
      <c r="K26" s="18" t="s">
        <v>109</v>
      </c>
      <c r="L26" s="18" t="s">
        <v>109</v>
      </c>
      <c r="M26" s="15" t="s">
        <v>2869</v>
      </c>
      <c r="N26" s="4" t="s">
        <v>73</v>
      </c>
      <c r="O26" s="15"/>
      <c r="P26" s="4" t="s">
        <v>970</v>
      </c>
      <c r="S26" s="15" t="e" cm="1">
        <f t="array" aca="1" ref="S26" ca="1">COMMONMARKETCOUNT(H26:AV26)</f>
        <v>#NAME?</v>
      </c>
      <c r="T26" s="6" t="e" cm="1">
        <f t="array" aca="1" ref="T26" ca="1">AUTOMATEDCOUNT(H26:AV26)</f>
        <v>#NAME?</v>
      </c>
      <c r="V26" s="15" t="s">
        <v>109</v>
      </c>
      <c r="W26" s="15" t="s">
        <v>109</v>
      </c>
      <c r="X26" s="70" t="s">
        <v>19</v>
      </c>
      <c r="Y26" s="70" t="s">
        <v>19</v>
      </c>
      <c r="Z26" s="70" t="s">
        <v>19</v>
      </c>
      <c r="AA26" s="18" t="s">
        <v>109</v>
      </c>
      <c r="AB26" s="18" t="s">
        <v>109</v>
      </c>
      <c r="AC26" s="18" t="s">
        <v>109</v>
      </c>
      <c r="AD26" s="18" t="s">
        <v>109</v>
      </c>
      <c r="AE26" s="18" t="s">
        <v>109</v>
      </c>
      <c r="AF26" s="18" t="s">
        <v>109</v>
      </c>
      <c r="AG26" s="18" t="s">
        <v>109</v>
      </c>
      <c r="AH26" s="18" t="s">
        <v>109</v>
      </c>
      <c r="AI26" s="18" t="s">
        <v>109</v>
      </c>
      <c r="AJ26" s="18" t="s">
        <v>109</v>
      </c>
      <c r="AK26" s="18" t="s">
        <v>109</v>
      </c>
      <c r="AL26" s="18" t="s">
        <v>109</v>
      </c>
      <c r="AM26" s="18" t="s">
        <v>109</v>
      </c>
      <c r="AN26" s="18" t="s">
        <v>109</v>
      </c>
      <c r="AO26" s="18" t="s">
        <v>109</v>
      </c>
      <c r="AP26" s="18" t="s">
        <v>109</v>
      </c>
      <c r="AQ26" s="18" t="s">
        <v>109</v>
      </c>
      <c r="AR26" s="18" t="s">
        <v>109</v>
      </c>
      <c r="AS26" s="18" t="s">
        <v>109</v>
      </c>
      <c r="AT26" s="18" t="s">
        <v>109</v>
      </c>
      <c r="AU26" s="18" t="s">
        <v>109</v>
      </c>
      <c r="AV26" s="36" t="s">
        <v>109</v>
      </c>
    </row>
    <row r="27" spans="1:264" ht="70.5" hidden="1" customHeight="1" x14ac:dyDescent="0.3">
      <c r="A27" s="15" t="s">
        <v>25</v>
      </c>
      <c r="B27" s="15" t="s">
        <v>64</v>
      </c>
      <c r="C27" s="15" t="s">
        <v>74</v>
      </c>
      <c r="D27" s="15" t="s">
        <v>19</v>
      </c>
      <c r="E27" s="70" t="s">
        <v>19</v>
      </c>
      <c r="F27" s="70" t="s">
        <v>19</v>
      </c>
      <c r="G27" s="15" t="s">
        <v>109</v>
      </c>
      <c r="H27" s="15" t="s">
        <v>109</v>
      </c>
      <c r="I27" s="18" t="s">
        <v>109</v>
      </c>
      <c r="J27" s="18" t="s">
        <v>109</v>
      </c>
      <c r="K27" s="18" t="s">
        <v>109</v>
      </c>
      <c r="L27" s="18" t="s">
        <v>109</v>
      </c>
      <c r="M27" s="15" t="s">
        <v>2870</v>
      </c>
      <c r="N27" s="4" t="s">
        <v>75</v>
      </c>
      <c r="O27" s="15"/>
      <c r="P27" s="4" t="s">
        <v>974</v>
      </c>
      <c r="S27" s="15" t="e" cm="1">
        <f t="array" aca="1" ref="S27" ca="1">COMMONMARKETCOUNT(H27:AV27)</f>
        <v>#NAME?</v>
      </c>
      <c r="T27" s="6" t="e" cm="1">
        <f t="array" aca="1" ref="T27" ca="1">AUTOMATEDCOUNT(H27:AV27)</f>
        <v>#NAME?</v>
      </c>
      <c r="V27" s="15" t="s">
        <v>109</v>
      </c>
      <c r="W27" s="15" t="s">
        <v>109</v>
      </c>
      <c r="X27" s="70" t="s">
        <v>19</v>
      </c>
      <c r="Y27" s="70" t="s">
        <v>19</v>
      </c>
      <c r="Z27" s="70" t="s">
        <v>19</v>
      </c>
      <c r="AA27" s="18" t="s">
        <v>109</v>
      </c>
      <c r="AB27" s="18" t="s">
        <v>109</v>
      </c>
      <c r="AC27" s="18" t="s">
        <v>109</v>
      </c>
      <c r="AD27" s="18" t="s">
        <v>109</v>
      </c>
      <c r="AE27" s="18" t="s">
        <v>109</v>
      </c>
      <c r="AF27" s="18" t="s">
        <v>109</v>
      </c>
      <c r="AG27" s="18" t="s">
        <v>109</v>
      </c>
      <c r="AH27" s="18" t="s">
        <v>109</v>
      </c>
      <c r="AI27" s="18" t="s">
        <v>109</v>
      </c>
      <c r="AJ27" s="18" t="s">
        <v>109</v>
      </c>
      <c r="AK27" s="18" t="s">
        <v>109</v>
      </c>
      <c r="AL27" s="18" t="s">
        <v>109</v>
      </c>
      <c r="AM27" s="18" t="s">
        <v>109</v>
      </c>
      <c r="AN27" s="18" t="s">
        <v>109</v>
      </c>
      <c r="AO27" s="18" t="s">
        <v>109</v>
      </c>
      <c r="AP27" s="18" t="s">
        <v>109</v>
      </c>
      <c r="AQ27" s="18" t="s">
        <v>109</v>
      </c>
      <c r="AR27" s="18" t="s">
        <v>109</v>
      </c>
      <c r="AS27" s="18" t="s">
        <v>109</v>
      </c>
      <c r="AT27" s="18" t="s">
        <v>109</v>
      </c>
      <c r="AU27" s="18" t="s">
        <v>109</v>
      </c>
      <c r="AV27" s="36" t="s">
        <v>109</v>
      </c>
    </row>
    <row r="28" spans="1:264" ht="70.5" hidden="1" customHeight="1" x14ac:dyDescent="0.3">
      <c r="A28" s="15" t="s">
        <v>25</v>
      </c>
      <c r="B28" s="15" t="s">
        <v>64</v>
      </c>
      <c r="C28" s="15" t="s">
        <v>76</v>
      </c>
      <c r="D28" s="15" t="s">
        <v>19</v>
      </c>
      <c r="E28" s="70" t="s">
        <v>19</v>
      </c>
      <c r="F28" s="70" t="s">
        <v>19</v>
      </c>
      <c r="G28" s="15" t="s">
        <v>109</v>
      </c>
      <c r="H28" s="15" t="s">
        <v>109</v>
      </c>
      <c r="I28" s="18" t="s">
        <v>109</v>
      </c>
      <c r="J28" s="18" t="s">
        <v>109</v>
      </c>
      <c r="K28" s="18" t="s">
        <v>109</v>
      </c>
      <c r="L28" s="18" t="s">
        <v>109</v>
      </c>
      <c r="M28" s="15" t="s">
        <v>2871</v>
      </c>
      <c r="N28" s="4" t="s">
        <v>77</v>
      </c>
      <c r="O28" s="15"/>
      <c r="P28" s="4" t="s">
        <v>971</v>
      </c>
      <c r="S28" s="15" t="e" cm="1">
        <f t="array" aca="1" ref="S28" ca="1">COMMONMARKETCOUNT(H28:AV28)</f>
        <v>#NAME?</v>
      </c>
      <c r="T28" s="6" t="e" cm="1">
        <f t="array" aca="1" ref="T28" ca="1">AUTOMATEDCOUNT(H28:AV28)</f>
        <v>#NAME?</v>
      </c>
      <c r="V28" s="15" t="s">
        <v>109</v>
      </c>
      <c r="W28" s="15" t="s">
        <v>109</v>
      </c>
      <c r="X28" s="70" t="s">
        <v>19</v>
      </c>
      <c r="Y28" s="70" t="s">
        <v>19</v>
      </c>
      <c r="Z28" s="70" t="s">
        <v>19</v>
      </c>
      <c r="AA28" s="18" t="s">
        <v>109</v>
      </c>
      <c r="AB28" s="18" t="s">
        <v>109</v>
      </c>
      <c r="AC28" s="18" t="s">
        <v>109</v>
      </c>
      <c r="AD28" s="18" t="s">
        <v>109</v>
      </c>
      <c r="AE28" s="18" t="s">
        <v>109</v>
      </c>
      <c r="AF28" s="18" t="s">
        <v>109</v>
      </c>
      <c r="AG28" s="18" t="s">
        <v>109</v>
      </c>
      <c r="AH28" s="18" t="s">
        <v>109</v>
      </c>
      <c r="AI28" s="18" t="s">
        <v>109</v>
      </c>
      <c r="AJ28" s="18" t="s">
        <v>109</v>
      </c>
      <c r="AK28" s="18" t="s">
        <v>109</v>
      </c>
      <c r="AL28" s="18" t="s">
        <v>109</v>
      </c>
      <c r="AM28" s="18" t="s">
        <v>109</v>
      </c>
      <c r="AN28" s="18" t="s">
        <v>109</v>
      </c>
      <c r="AO28" s="18" t="s">
        <v>109</v>
      </c>
      <c r="AP28" s="18" t="s">
        <v>109</v>
      </c>
      <c r="AQ28" s="18" t="s">
        <v>109</v>
      </c>
      <c r="AR28" s="18" t="s">
        <v>109</v>
      </c>
      <c r="AS28" s="18" t="s">
        <v>109</v>
      </c>
      <c r="AT28" s="18" t="s">
        <v>109</v>
      </c>
      <c r="AU28" s="18" t="s">
        <v>109</v>
      </c>
      <c r="AV28" s="36" t="s">
        <v>109</v>
      </c>
      <c r="AW28" s="5"/>
      <c r="AX28" s="5"/>
      <c r="AY28" s="5"/>
      <c r="AZ28" s="5"/>
      <c r="BA28" s="5"/>
      <c r="BB28" s="5"/>
      <c r="BC28" s="5"/>
      <c r="BD28" s="5"/>
      <c r="BE28" s="5"/>
      <c r="BF28" s="5"/>
      <c r="BG28" s="5"/>
      <c r="BH28" s="5"/>
      <c r="BI28" s="5"/>
      <c r="BJ28" s="5"/>
      <c r="BK28" s="5"/>
      <c r="BL28" s="5"/>
      <c r="BM28" s="5"/>
      <c r="BN28" s="5"/>
      <c r="BO28" s="5"/>
      <c r="BP28" s="5"/>
      <c r="BQ28" s="5"/>
      <c r="BR28" s="5"/>
      <c r="BS28" s="5"/>
      <c r="BT28" s="5"/>
      <c r="BU28" s="5"/>
      <c r="BV28" s="5"/>
      <c r="BW28" s="5"/>
      <c r="BX28" s="5"/>
      <c r="BY28" s="5"/>
      <c r="BZ28" s="5"/>
      <c r="CA28" s="5"/>
      <c r="CB28" s="5"/>
      <c r="CC28" s="5"/>
      <c r="CD28" s="5"/>
      <c r="CE28" s="5"/>
      <c r="CF28" s="5"/>
      <c r="CG28" s="5"/>
      <c r="CH28" s="5"/>
      <c r="CI28" s="5"/>
      <c r="CJ28" s="5"/>
      <c r="CK28" s="5"/>
      <c r="CL28" s="5"/>
      <c r="CM28" s="5"/>
      <c r="CN28" s="5"/>
      <c r="CO28" s="5"/>
      <c r="CP28" s="5"/>
      <c r="CQ28" s="5"/>
      <c r="CR28" s="5"/>
      <c r="CS28" s="5"/>
      <c r="CT28" s="5"/>
      <c r="CU28" s="5"/>
      <c r="CV28" s="5"/>
      <c r="CW28" s="5"/>
      <c r="CX28" s="5"/>
      <c r="CY28" s="5"/>
      <c r="CZ28" s="5"/>
      <c r="DA28" s="5"/>
      <c r="DB28" s="5"/>
      <c r="DC28" s="5"/>
      <c r="DD28" s="5"/>
      <c r="DE28" s="5"/>
      <c r="DF28" s="5"/>
      <c r="DG28" s="5"/>
      <c r="DH28" s="5"/>
      <c r="DI28" s="5"/>
      <c r="DJ28" s="5"/>
      <c r="DK28" s="5"/>
      <c r="DL28" s="5"/>
      <c r="DM28" s="5"/>
      <c r="DN28" s="5"/>
      <c r="DO28" s="5"/>
      <c r="DP28" s="5"/>
      <c r="DQ28" s="5"/>
      <c r="DR28" s="5"/>
      <c r="DS28" s="5"/>
      <c r="DT28" s="5"/>
      <c r="DU28" s="5"/>
      <c r="DV28" s="5"/>
      <c r="DW28" s="5"/>
      <c r="DX28" s="5"/>
      <c r="DY28" s="5"/>
      <c r="DZ28" s="5"/>
      <c r="EA28" s="5"/>
      <c r="EB28" s="5"/>
      <c r="EC28" s="5"/>
      <c r="ED28" s="5"/>
      <c r="EE28" s="5"/>
      <c r="EF28" s="5"/>
      <c r="EG28" s="5"/>
      <c r="EH28" s="5"/>
      <c r="EI28" s="5"/>
      <c r="EJ28" s="5"/>
      <c r="EK28" s="5"/>
      <c r="EL28" s="5"/>
      <c r="EM28" s="5"/>
      <c r="EN28" s="5"/>
      <c r="EO28" s="5"/>
      <c r="EP28" s="5"/>
      <c r="EQ28" s="5"/>
      <c r="ER28" s="5"/>
      <c r="ES28" s="5"/>
      <c r="ET28" s="5"/>
      <c r="EU28" s="5"/>
      <c r="EV28" s="5"/>
      <c r="EW28" s="5"/>
      <c r="EX28" s="5"/>
      <c r="EY28" s="5"/>
      <c r="EZ28" s="5"/>
      <c r="FA28" s="5"/>
      <c r="FB28" s="5"/>
      <c r="FC28" s="5"/>
      <c r="FD28" s="5"/>
      <c r="FE28" s="5"/>
      <c r="FF28" s="5"/>
      <c r="FG28" s="5"/>
      <c r="FH28" s="5"/>
      <c r="FI28" s="5"/>
      <c r="FJ28" s="5"/>
      <c r="FK28" s="5"/>
      <c r="FL28" s="5"/>
      <c r="FM28" s="5"/>
      <c r="FN28" s="5"/>
      <c r="FO28" s="5"/>
      <c r="FP28" s="5"/>
      <c r="FQ28" s="5"/>
      <c r="FR28" s="5"/>
      <c r="FS28" s="5"/>
      <c r="FT28" s="5"/>
      <c r="FU28" s="5"/>
      <c r="FV28" s="5"/>
      <c r="FW28" s="5"/>
      <c r="FX28" s="5"/>
      <c r="FY28" s="5"/>
      <c r="FZ28" s="5"/>
      <c r="GA28" s="5"/>
      <c r="GB28" s="5"/>
      <c r="GC28" s="5"/>
      <c r="GD28" s="5"/>
      <c r="GE28" s="5"/>
      <c r="GF28" s="5"/>
      <c r="GG28" s="5"/>
      <c r="GH28" s="5"/>
      <c r="GI28" s="5"/>
      <c r="GJ28" s="5"/>
      <c r="GK28" s="5"/>
      <c r="GL28" s="5"/>
      <c r="GM28" s="5"/>
      <c r="GN28" s="5"/>
      <c r="GO28" s="5"/>
      <c r="GP28" s="5"/>
      <c r="GQ28" s="5"/>
      <c r="GR28" s="5"/>
      <c r="GS28" s="5"/>
      <c r="GT28" s="5"/>
      <c r="GU28" s="5"/>
      <c r="GV28" s="5"/>
      <c r="GW28" s="5"/>
      <c r="GX28" s="5"/>
      <c r="GY28" s="5"/>
      <c r="GZ28" s="5"/>
      <c r="HA28" s="5"/>
      <c r="HB28" s="5"/>
      <c r="HC28" s="5"/>
      <c r="HD28" s="5"/>
      <c r="HE28" s="5"/>
      <c r="HF28" s="5"/>
      <c r="HG28" s="5"/>
      <c r="HH28" s="5"/>
      <c r="HI28" s="5"/>
      <c r="HJ28" s="5"/>
      <c r="HK28" s="5"/>
      <c r="HL28" s="5"/>
      <c r="HM28" s="5"/>
      <c r="HN28" s="5"/>
      <c r="HO28" s="5"/>
      <c r="HP28" s="5"/>
      <c r="HQ28" s="5"/>
      <c r="HR28" s="5"/>
      <c r="HS28" s="5"/>
      <c r="HT28" s="5"/>
      <c r="HU28" s="5"/>
      <c r="HV28" s="5"/>
      <c r="HW28" s="5"/>
      <c r="HX28" s="5"/>
      <c r="HY28" s="5"/>
      <c r="HZ28" s="5"/>
      <c r="IA28" s="5"/>
      <c r="IB28" s="5"/>
      <c r="IC28" s="5"/>
      <c r="ID28" s="5"/>
      <c r="IE28" s="5"/>
      <c r="IF28" s="5"/>
      <c r="IG28" s="5"/>
      <c r="IH28" s="5"/>
      <c r="II28" s="5"/>
      <c r="IJ28" s="5"/>
      <c r="IK28" s="5"/>
      <c r="IL28" s="5"/>
      <c r="IM28" s="5"/>
      <c r="IN28" s="5"/>
      <c r="IO28" s="5"/>
      <c r="IP28" s="5"/>
      <c r="IQ28" s="5"/>
      <c r="IR28" s="5"/>
      <c r="IS28" s="5"/>
      <c r="IT28" s="5"/>
      <c r="IU28" s="5"/>
      <c r="IV28" s="5"/>
      <c r="IW28" s="5"/>
      <c r="IX28" s="5"/>
      <c r="IY28" s="5"/>
      <c r="IZ28" s="5"/>
      <c r="JA28" s="5"/>
      <c r="JB28" s="5"/>
      <c r="JC28" s="5"/>
      <c r="JD28" s="5"/>
    </row>
    <row r="29" spans="1:264" ht="70.5" hidden="1" customHeight="1" x14ac:dyDescent="0.3">
      <c r="A29" s="15" t="s">
        <v>25</v>
      </c>
      <c r="B29" s="15" t="s">
        <v>64</v>
      </c>
      <c r="C29" s="15" t="s">
        <v>78</v>
      </c>
      <c r="D29" s="15" t="s">
        <v>19</v>
      </c>
      <c r="E29" s="70" t="s">
        <v>19</v>
      </c>
      <c r="F29" s="70" t="s">
        <v>19</v>
      </c>
      <c r="G29" s="15" t="s">
        <v>109</v>
      </c>
      <c r="H29" s="15" t="s">
        <v>109</v>
      </c>
      <c r="I29" s="18" t="s">
        <v>109</v>
      </c>
      <c r="J29" s="18" t="s">
        <v>109</v>
      </c>
      <c r="K29" s="18" t="s">
        <v>109</v>
      </c>
      <c r="L29" s="18" t="s">
        <v>109</v>
      </c>
      <c r="M29" s="15" t="s">
        <v>2871</v>
      </c>
      <c r="N29" s="4" t="s">
        <v>79</v>
      </c>
      <c r="O29" s="15"/>
      <c r="P29" s="4" t="s">
        <v>1004</v>
      </c>
      <c r="S29" s="15" t="e" cm="1">
        <f t="array" aca="1" ref="S29" ca="1">COMMONMARKETCOUNT(H29:AV29)</f>
        <v>#NAME?</v>
      </c>
      <c r="T29" s="6" t="e" cm="1">
        <f t="array" aca="1" ref="T29" ca="1">AUTOMATEDCOUNT(H29:AV29)</f>
        <v>#NAME?</v>
      </c>
      <c r="V29" s="15" t="s">
        <v>109</v>
      </c>
      <c r="W29" s="15" t="s">
        <v>109</v>
      </c>
      <c r="X29" s="70" t="s">
        <v>19</v>
      </c>
      <c r="Y29" s="70" t="s">
        <v>19</v>
      </c>
      <c r="Z29" s="70" t="s">
        <v>19</v>
      </c>
      <c r="AA29" s="18" t="s">
        <v>109</v>
      </c>
      <c r="AB29" s="18" t="s">
        <v>109</v>
      </c>
      <c r="AC29" s="18" t="s">
        <v>109</v>
      </c>
      <c r="AD29" s="18" t="s">
        <v>109</v>
      </c>
      <c r="AE29" s="18" t="s">
        <v>109</v>
      </c>
      <c r="AF29" s="18" t="s">
        <v>109</v>
      </c>
      <c r="AG29" s="18" t="s">
        <v>109</v>
      </c>
      <c r="AH29" s="18" t="s">
        <v>109</v>
      </c>
      <c r="AI29" s="18" t="s">
        <v>109</v>
      </c>
      <c r="AJ29" s="18" t="s">
        <v>109</v>
      </c>
      <c r="AK29" s="18" t="s">
        <v>109</v>
      </c>
      <c r="AL29" s="18" t="s">
        <v>109</v>
      </c>
      <c r="AM29" s="18" t="s">
        <v>109</v>
      </c>
      <c r="AN29" s="18" t="s">
        <v>109</v>
      </c>
      <c r="AO29" s="18" t="s">
        <v>109</v>
      </c>
      <c r="AP29" s="18" t="s">
        <v>109</v>
      </c>
      <c r="AQ29" s="18" t="s">
        <v>109</v>
      </c>
      <c r="AR29" s="18" t="s">
        <v>109</v>
      </c>
      <c r="AS29" s="18" t="s">
        <v>109</v>
      </c>
      <c r="AT29" s="18" t="s">
        <v>109</v>
      </c>
      <c r="AU29" s="18" t="s">
        <v>109</v>
      </c>
      <c r="AV29" s="36" t="s">
        <v>109</v>
      </c>
    </row>
    <row r="30" spans="1:264" ht="91.5" hidden="1" customHeight="1" x14ac:dyDescent="0.3">
      <c r="A30" s="15" t="s">
        <v>18</v>
      </c>
      <c r="B30" s="15" t="s">
        <v>17</v>
      </c>
      <c r="C30" s="15" t="s">
        <v>80</v>
      </c>
      <c r="D30" s="15" t="s">
        <v>19</v>
      </c>
      <c r="E30" s="70" t="s">
        <v>19</v>
      </c>
      <c r="F30" s="70" t="s">
        <v>3178</v>
      </c>
      <c r="G30" s="70" t="s">
        <v>19</v>
      </c>
      <c r="H30" s="70" t="s">
        <v>3178</v>
      </c>
      <c r="I30" s="72" t="s">
        <v>19</v>
      </c>
      <c r="J30" s="72" t="s">
        <v>19</v>
      </c>
      <c r="K30" s="72" t="s">
        <v>19</v>
      </c>
      <c r="L30" s="72" t="s">
        <v>19</v>
      </c>
      <c r="M30" s="15" t="s">
        <v>2872</v>
      </c>
      <c r="N30" s="4" t="s">
        <v>81</v>
      </c>
      <c r="O30" s="15"/>
      <c r="P30" s="4" t="s">
        <v>3023</v>
      </c>
      <c r="S30" s="15" t="e" cm="1">
        <f t="array" aca="1" ref="S30" ca="1">COMMONMARKETCOUNT(H30:AV30)</f>
        <v>#NAME?</v>
      </c>
      <c r="T30" s="6" t="e" cm="1">
        <f t="array" aca="1" ref="T30" ca="1">AUTOMATEDCOUNT(H30:AV30)</f>
        <v>#NAME?</v>
      </c>
      <c r="V30" s="70" t="s">
        <v>19</v>
      </c>
      <c r="W30" s="70" t="s">
        <v>19</v>
      </c>
      <c r="X30" s="70" t="s">
        <v>19</v>
      </c>
      <c r="Y30" s="70" t="s">
        <v>19</v>
      </c>
      <c r="Z30" s="70" t="s">
        <v>19</v>
      </c>
      <c r="AA30" s="72" t="s">
        <v>19</v>
      </c>
      <c r="AB30" s="72" t="s">
        <v>19</v>
      </c>
      <c r="AC30" s="72" t="s">
        <v>19</v>
      </c>
      <c r="AD30" s="72" t="s">
        <v>19</v>
      </c>
      <c r="AE30" s="18" t="s">
        <v>19</v>
      </c>
      <c r="AF30" s="18" t="s">
        <v>19</v>
      </c>
      <c r="AG30" s="29" t="s">
        <v>19</v>
      </c>
      <c r="AH30" s="18" t="s">
        <v>19</v>
      </c>
      <c r="AI30" s="18" t="s">
        <v>19</v>
      </c>
      <c r="AJ30" s="18" t="s">
        <v>19</v>
      </c>
      <c r="AK30" s="18" t="s">
        <v>19</v>
      </c>
      <c r="AL30" s="18" t="s">
        <v>19</v>
      </c>
      <c r="AM30" s="18" t="s">
        <v>19</v>
      </c>
      <c r="AN30" s="18" t="s">
        <v>19</v>
      </c>
      <c r="AO30" s="18" t="s">
        <v>19</v>
      </c>
      <c r="AP30" s="18" t="s">
        <v>19</v>
      </c>
      <c r="AQ30" s="18" t="s">
        <v>19</v>
      </c>
      <c r="AR30" s="18" t="s">
        <v>19</v>
      </c>
      <c r="AS30" s="70" t="s">
        <v>19</v>
      </c>
      <c r="AT30" s="72" t="s">
        <v>19</v>
      </c>
      <c r="AU30" s="18" t="s">
        <v>3153</v>
      </c>
      <c r="AV30" s="36" t="s">
        <v>19</v>
      </c>
    </row>
    <row r="31" spans="1:264" ht="70.5" hidden="1" customHeight="1" x14ac:dyDescent="0.3">
      <c r="A31" s="15" t="s">
        <v>25</v>
      </c>
      <c r="B31" s="15" t="s">
        <v>64</v>
      </c>
      <c r="C31" s="15" t="s">
        <v>82</v>
      </c>
      <c r="D31" s="15" t="s">
        <v>19</v>
      </c>
      <c r="E31" s="20" t="s">
        <v>19</v>
      </c>
      <c r="F31" s="20" t="s">
        <v>19</v>
      </c>
      <c r="G31" s="15" t="s">
        <v>109</v>
      </c>
      <c r="H31" s="15" t="s">
        <v>109</v>
      </c>
      <c r="I31" s="18" t="s">
        <v>109</v>
      </c>
      <c r="J31" s="18" t="s">
        <v>109</v>
      </c>
      <c r="K31" s="18" t="s">
        <v>109</v>
      </c>
      <c r="L31" s="18" t="s">
        <v>109</v>
      </c>
      <c r="M31" s="15" t="s">
        <v>2872</v>
      </c>
      <c r="N31" s="4" t="s">
        <v>83</v>
      </c>
      <c r="O31" s="15"/>
      <c r="P31" s="4" t="s">
        <v>1473</v>
      </c>
      <c r="S31" s="15" t="e" cm="1">
        <f t="array" aca="1" ref="S31" ca="1">COMMONMARKETCOUNT(H31:AV31)</f>
        <v>#NAME?</v>
      </c>
      <c r="T31" s="6" t="e" cm="1">
        <f t="array" aca="1" ref="T31" ca="1">AUTOMATEDCOUNT(H31:AV31)</f>
        <v>#NAME?</v>
      </c>
      <c r="V31" s="15" t="s">
        <v>109</v>
      </c>
      <c r="W31" s="15" t="s">
        <v>109</v>
      </c>
      <c r="X31" s="20" t="s">
        <v>19</v>
      </c>
      <c r="Y31" s="20" t="s">
        <v>19</v>
      </c>
      <c r="Z31" s="20" t="s">
        <v>19</v>
      </c>
      <c r="AA31" s="18" t="s">
        <v>109</v>
      </c>
      <c r="AB31" s="18" t="s">
        <v>109</v>
      </c>
      <c r="AC31" s="18" t="s">
        <v>109</v>
      </c>
      <c r="AD31" s="18" t="s">
        <v>19</v>
      </c>
      <c r="AE31" s="18" t="s">
        <v>19</v>
      </c>
      <c r="AF31" s="18" t="s">
        <v>109</v>
      </c>
      <c r="AG31" s="18" t="s">
        <v>109</v>
      </c>
      <c r="AH31" s="18" t="s">
        <v>109</v>
      </c>
      <c r="AI31" s="18" t="s">
        <v>109</v>
      </c>
      <c r="AJ31" s="18" t="s">
        <v>109</v>
      </c>
      <c r="AK31" s="18" t="s">
        <v>109</v>
      </c>
      <c r="AL31" s="18" t="s">
        <v>109</v>
      </c>
      <c r="AM31" s="18" t="s">
        <v>109</v>
      </c>
      <c r="AN31" s="18" t="s">
        <v>109</v>
      </c>
      <c r="AO31" s="18" t="s">
        <v>109</v>
      </c>
      <c r="AP31" s="18" t="s">
        <v>109</v>
      </c>
      <c r="AQ31" s="18" t="s">
        <v>109</v>
      </c>
      <c r="AR31" s="18" t="s">
        <v>109</v>
      </c>
      <c r="AS31" s="18" t="s">
        <v>109</v>
      </c>
      <c r="AT31" s="18" t="s">
        <v>109</v>
      </c>
      <c r="AU31" s="18" t="s">
        <v>109</v>
      </c>
      <c r="AV31" s="36" t="s">
        <v>109</v>
      </c>
      <c r="AW31" s="5"/>
      <c r="AX31" s="5"/>
      <c r="AY31" s="5"/>
      <c r="AZ31" s="5"/>
      <c r="BA31" s="5"/>
      <c r="BB31" s="5"/>
      <c r="BC31" s="5"/>
      <c r="BD31" s="5"/>
      <c r="BE31" s="5"/>
      <c r="BF31" s="5"/>
      <c r="BG31" s="5"/>
      <c r="BH31" s="5"/>
      <c r="BI31" s="5"/>
      <c r="BJ31" s="5"/>
      <c r="BK31" s="5"/>
      <c r="BL31" s="5"/>
      <c r="BM31" s="5"/>
      <c r="BN31" s="5"/>
      <c r="BO31" s="5"/>
      <c r="BP31" s="5"/>
      <c r="BQ31" s="5"/>
      <c r="BR31" s="5"/>
      <c r="BS31" s="5"/>
      <c r="BT31" s="5"/>
      <c r="BU31" s="5"/>
      <c r="BV31" s="5"/>
      <c r="BW31" s="5"/>
      <c r="BX31" s="5"/>
      <c r="BY31" s="5"/>
      <c r="BZ31" s="5"/>
      <c r="CA31" s="5"/>
      <c r="CB31" s="5"/>
      <c r="CC31" s="5"/>
      <c r="CD31" s="5"/>
      <c r="CE31" s="5"/>
      <c r="CF31" s="5"/>
      <c r="CG31" s="5"/>
      <c r="CH31" s="5"/>
      <c r="CI31" s="5"/>
      <c r="CJ31" s="5"/>
      <c r="CK31" s="5"/>
      <c r="CL31" s="5"/>
      <c r="CM31" s="5"/>
      <c r="CN31" s="5"/>
      <c r="CO31" s="5"/>
      <c r="CP31" s="5"/>
      <c r="CQ31" s="5"/>
      <c r="CR31" s="5"/>
      <c r="CS31" s="5"/>
      <c r="CT31" s="5"/>
      <c r="CU31" s="5"/>
      <c r="CV31" s="5"/>
      <c r="CW31" s="5"/>
      <c r="CX31" s="5"/>
      <c r="CY31" s="5"/>
      <c r="CZ31" s="5"/>
      <c r="DA31" s="5"/>
      <c r="DB31" s="5"/>
      <c r="DC31" s="5"/>
      <c r="DD31" s="5"/>
      <c r="DE31" s="5"/>
      <c r="DF31" s="5"/>
      <c r="DG31" s="5"/>
      <c r="DH31" s="5"/>
      <c r="DI31" s="5"/>
      <c r="DJ31" s="5"/>
      <c r="DK31" s="5"/>
      <c r="DL31" s="5"/>
      <c r="DM31" s="5"/>
      <c r="DN31" s="5"/>
      <c r="DO31" s="5"/>
      <c r="DP31" s="5"/>
      <c r="DQ31" s="5"/>
      <c r="DR31" s="5"/>
      <c r="DS31" s="5"/>
      <c r="DT31" s="5"/>
      <c r="DU31" s="5"/>
      <c r="DV31" s="5"/>
      <c r="DW31" s="5"/>
      <c r="DX31" s="5"/>
      <c r="DY31" s="5"/>
      <c r="DZ31" s="5"/>
      <c r="EA31" s="5"/>
      <c r="EB31" s="5"/>
      <c r="EC31" s="5"/>
      <c r="ED31" s="5"/>
      <c r="EE31" s="5"/>
      <c r="EF31" s="5"/>
      <c r="EG31" s="5"/>
      <c r="EH31" s="5"/>
      <c r="EI31" s="5"/>
      <c r="EJ31" s="5"/>
      <c r="EK31" s="5"/>
      <c r="EL31" s="5"/>
      <c r="EM31" s="5"/>
      <c r="EN31" s="5"/>
      <c r="EO31" s="5"/>
      <c r="EP31" s="5"/>
      <c r="EQ31" s="5"/>
      <c r="ER31" s="5"/>
      <c r="ES31" s="5"/>
      <c r="ET31" s="5"/>
      <c r="EU31" s="5"/>
      <c r="EV31" s="5"/>
      <c r="EW31" s="5"/>
      <c r="EX31" s="5"/>
      <c r="EY31" s="5"/>
      <c r="EZ31" s="5"/>
      <c r="FA31" s="5"/>
      <c r="FB31" s="5"/>
      <c r="FC31" s="5"/>
      <c r="FD31" s="5"/>
      <c r="FE31" s="5"/>
      <c r="FF31" s="5"/>
      <c r="FG31" s="5"/>
      <c r="FH31" s="5"/>
      <c r="FI31" s="5"/>
      <c r="FJ31" s="5"/>
      <c r="FK31" s="5"/>
      <c r="FL31" s="5"/>
      <c r="FM31" s="5"/>
      <c r="FN31" s="5"/>
      <c r="FO31" s="5"/>
      <c r="FP31" s="5"/>
      <c r="FQ31" s="5"/>
      <c r="FR31" s="5"/>
      <c r="FS31" s="5"/>
      <c r="FT31" s="5"/>
      <c r="FU31" s="5"/>
      <c r="FV31" s="5"/>
      <c r="FW31" s="5"/>
      <c r="FX31" s="5"/>
      <c r="FY31" s="5"/>
      <c r="FZ31" s="5"/>
      <c r="GA31" s="5"/>
      <c r="GB31" s="5"/>
      <c r="GC31" s="5"/>
      <c r="GD31" s="5"/>
      <c r="GE31" s="5"/>
      <c r="GF31" s="5"/>
      <c r="GG31" s="5"/>
      <c r="GH31" s="5"/>
      <c r="GI31" s="5"/>
      <c r="GJ31" s="5"/>
      <c r="GK31" s="5"/>
      <c r="GL31" s="5"/>
      <c r="GM31" s="5"/>
      <c r="GN31" s="5"/>
      <c r="GO31" s="5"/>
      <c r="GP31" s="5"/>
      <c r="GQ31" s="5"/>
      <c r="GR31" s="5"/>
      <c r="GS31" s="5"/>
      <c r="GT31" s="5"/>
      <c r="GU31" s="5"/>
      <c r="GV31" s="5"/>
      <c r="GW31" s="5"/>
      <c r="GX31" s="5"/>
      <c r="GY31" s="5"/>
      <c r="GZ31" s="5"/>
      <c r="HA31" s="5"/>
      <c r="HB31" s="5"/>
      <c r="HC31" s="5"/>
      <c r="HD31" s="5"/>
      <c r="HE31" s="5"/>
      <c r="HF31" s="5"/>
      <c r="HG31" s="5"/>
      <c r="HH31" s="5"/>
      <c r="HI31" s="5"/>
      <c r="HJ31" s="5"/>
      <c r="HK31" s="5"/>
      <c r="HL31" s="5"/>
      <c r="HM31" s="5"/>
      <c r="HN31" s="5"/>
      <c r="HO31" s="5"/>
      <c r="HP31" s="5"/>
      <c r="HQ31" s="5"/>
      <c r="HR31" s="5"/>
      <c r="HS31" s="5"/>
      <c r="HT31" s="5"/>
      <c r="HU31" s="5"/>
      <c r="HV31" s="5"/>
      <c r="HW31" s="5"/>
      <c r="HX31" s="5"/>
      <c r="HY31" s="5"/>
      <c r="HZ31" s="5"/>
      <c r="IA31" s="5"/>
      <c r="IB31" s="5"/>
      <c r="IC31" s="5"/>
      <c r="ID31" s="5"/>
      <c r="IE31" s="5"/>
      <c r="IF31" s="5"/>
      <c r="IG31" s="5"/>
      <c r="IH31" s="5"/>
      <c r="II31" s="5"/>
      <c r="IJ31" s="5"/>
      <c r="IK31" s="5"/>
      <c r="IL31" s="5"/>
      <c r="IM31" s="5"/>
      <c r="IN31" s="5"/>
      <c r="IO31" s="5"/>
      <c r="IP31" s="5"/>
      <c r="IQ31" s="5"/>
      <c r="IR31" s="5"/>
      <c r="IS31" s="5"/>
      <c r="IT31" s="5"/>
      <c r="IU31" s="5"/>
      <c r="IV31" s="5"/>
      <c r="IW31" s="5"/>
      <c r="IX31" s="5"/>
      <c r="IY31" s="5"/>
      <c r="IZ31" s="5"/>
      <c r="JA31" s="5"/>
      <c r="JB31" s="5"/>
      <c r="JC31" s="5"/>
      <c r="JD31" s="5"/>
    </row>
    <row r="32" spans="1:264" s="5" customFormat="1" ht="119.25" hidden="1" customHeight="1" x14ac:dyDescent="0.3">
      <c r="A32" s="15" t="s">
        <v>25</v>
      </c>
      <c r="B32" s="15" t="s">
        <v>64</v>
      </c>
      <c r="C32" s="15" t="s">
        <v>84</v>
      </c>
      <c r="D32" s="15" t="s">
        <v>19</v>
      </c>
      <c r="E32" s="70" t="s">
        <v>19</v>
      </c>
      <c r="F32" s="70" t="s">
        <v>19</v>
      </c>
      <c r="G32" s="15" t="s">
        <v>109</v>
      </c>
      <c r="H32" s="15" t="s">
        <v>109</v>
      </c>
      <c r="I32" s="18" t="s">
        <v>109</v>
      </c>
      <c r="J32" s="18" t="s">
        <v>109</v>
      </c>
      <c r="K32" s="18" t="s">
        <v>109</v>
      </c>
      <c r="L32" s="18" t="s">
        <v>109</v>
      </c>
      <c r="M32" s="15" t="s">
        <v>2873</v>
      </c>
      <c r="N32" s="4" t="s">
        <v>85</v>
      </c>
      <c r="O32" s="15"/>
      <c r="P32" s="4" t="s">
        <v>1474</v>
      </c>
      <c r="S32" s="15" t="e" cm="1">
        <f t="array" aca="1" ref="S32" ca="1">COMMONMARKETCOUNT(H32:AV32)</f>
        <v>#NAME?</v>
      </c>
      <c r="T32" s="6" t="e" cm="1">
        <f t="array" aca="1" ref="T32" ca="1">AUTOMATEDCOUNT(H32:AV32)</f>
        <v>#NAME?</v>
      </c>
      <c r="V32" s="15" t="s">
        <v>109</v>
      </c>
      <c r="W32" s="15" t="s">
        <v>109</v>
      </c>
      <c r="X32" s="70" t="s">
        <v>19</v>
      </c>
      <c r="Y32" s="70" t="s">
        <v>19</v>
      </c>
      <c r="Z32" s="70" t="s">
        <v>19</v>
      </c>
      <c r="AA32" s="18" t="s">
        <v>109</v>
      </c>
      <c r="AB32" s="18" t="s">
        <v>109</v>
      </c>
      <c r="AC32" s="18" t="s">
        <v>109</v>
      </c>
      <c r="AD32" s="18" t="s">
        <v>109</v>
      </c>
      <c r="AE32" s="18" t="s">
        <v>109</v>
      </c>
      <c r="AF32" s="18" t="s">
        <v>109</v>
      </c>
      <c r="AG32" s="18" t="s">
        <v>109</v>
      </c>
      <c r="AH32" s="18" t="s">
        <v>109</v>
      </c>
      <c r="AI32" s="18" t="s">
        <v>109</v>
      </c>
      <c r="AJ32" s="18" t="s">
        <v>109</v>
      </c>
      <c r="AK32" s="18" t="s">
        <v>109</v>
      </c>
      <c r="AL32" s="18" t="s">
        <v>109</v>
      </c>
      <c r="AM32" s="18" t="s">
        <v>109</v>
      </c>
      <c r="AN32" s="18" t="s">
        <v>109</v>
      </c>
      <c r="AO32" s="18" t="s">
        <v>109</v>
      </c>
      <c r="AP32" s="18" t="s">
        <v>109</v>
      </c>
      <c r="AQ32" s="18" t="s">
        <v>109</v>
      </c>
      <c r="AR32" s="18" t="s">
        <v>109</v>
      </c>
      <c r="AS32" s="18" t="s">
        <v>109</v>
      </c>
      <c r="AT32" s="18" t="s">
        <v>109</v>
      </c>
      <c r="AU32" s="18" t="s">
        <v>109</v>
      </c>
      <c r="AV32" s="36" t="s">
        <v>109</v>
      </c>
      <c r="AW32" s="16"/>
      <c r="AX32" s="16"/>
      <c r="AY32" s="16"/>
      <c r="AZ32" s="16"/>
      <c r="BA32" s="16"/>
      <c r="BB32" s="16"/>
      <c r="BC32" s="16"/>
      <c r="BD32" s="16"/>
      <c r="BE32" s="16"/>
      <c r="BF32" s="16"/>
      <c r="BG32" s="16"/>
      <c r="BH32" s="16"/>
      <c r="BI32" s="16"/>
      <c r="BJ32" s="16"/>
      <c r="BK32" s="16"/>
      <c r="BL32" s="16"/>
      <c r="BM32" s="16"/>
      <c r="BN32" s="16"/>
      <c r="BO32" s="16"/>
      <c r="BP32" s="16"/>
      <c r="BQ32" s="16"/>
      <c r="BR32" s="16"/>
      <c r="BS32" s="16"/>
      <c r="BT32" s="16"/>
      <c r="BU32" s="16"/>
      <c r="BV32" s="16"/>
      <c r="BW32" s="16"/>
      <c r="BX32" s="16"/>
      <c r="BY32" s="16"/>
      <c r="BZ32" s="16"/>
      <c r="CA32" s="16"/>
      <c r="CB32" s="16"/>
      <c r="CC32" s="16"/>
      <c r="CD32" s="16"/>
      <c r="CE32" s="16"/>
      <c r="CF32" s="16"/>
      <c r="CG32" s="16"/>
      <c r="CH32" s="16"/>
      <c r="CI32" s="16"/>
      <c r="CJ32" s="16"/>
      <c r="CK32" s="16"/>
      <c r="CL32" s="16"/>
      <c r="CM32" s="16"/>
      <c r="CN32" s="16"/>
      <c r="CO32" s="16"/>
      <c r="CP32" s="16"/>
      <c r="CQ32" s="16"/>
      <c r="CR32" s="16"/>
      <c r="CS32" s="16"/>
      <c r="CT32" s="16"/>
      <c r="CU32" s="16"/>
      <c r="CV32" s="16"/>
      <c r="CW32" s="16"/>
      <c r="CX32" s="16"/>
      <c r="CY32" s="16"/>
      <c r="CZ32" s="16"/>
      <c r="DA32" s="16"/>
      <c r="DB32" s="16"/>
      <c r="DC32" s="16"/>
      <c r="DD32" s="16"/>
      <c r="DE32" s="16"/>
      <c r="DF32" s="16"/>
      <c r="DG32" s="16"/>
      <c r="DH32" s="16"/>
      <c r="DI32" s="16"/>
      <c r="DJ32" s="16"/>
      <c r="DK32" s="16"/>
      <c r="DL32" s="16"/>
      <c r="DM32" s="16"/>
      <c r="DN32" s="16"/>
      <c r="DO32" s="16"/>
      <c r="DP32" s="16"/>
      <c r="DQ32" s="16"/>
      <c r="DR32" s="16"/>
      <c r="DS32" s="16"/>
      <c r="DT32" s="16"/>
      <c r="DU32" s="16"/>
      <c r="DV32" s="16"/>
      <c r="DW32" s="16"/>
      <c r="DX32" s="16"/>
      <c r="DY32" s="16"/>
      <c r="DZ32" s="16"/>
      <c r="EA32" s="16"/>
      <c r="EB32" s="16"/>
      <c r="EC32" s="16"/>
      <c r="ED32" s="16"/>
      <c r="EE32" s="16"/>
      <c r="EF32" s="16"/>
      <c r="EG32" s="16"/>
      <c r="EH32" s="16"/>
      <c r="EI32" s="16"/>
      <c r="EJ32" s="16"/>
      <c r="EK32" s="16"/>
      <c r="EL32" s="16"/>
      <c r="EM32" s="16"/>
      <c r="EN32" s="16"/>
      <c r="EO32" s="16"/>
      <c r="EP32" s="16"/>
      <c r="EQ32" s="16"/>
      <c r="ER32" s="16"/>
      <c r="ES32" s="16"/>
      <c r="ET32" s="16"/>
      <c r="EU32" s="16"/>
      <c r="EV32" s="16"/>
      <c r="EW32" s="16"/>
      <c r="EX32" s="16"/>
      <c r="EY32" s="16"/>
      <c r="EZ32" s="16"/>
      <c r="FA32" s="16"/>
      <c r="FB32" s="16"/>
      <c r="FC32" s="16"/>
      <c r="FD32" s="16"/>
      <c r="FE32" s="16"/>
      <c r="FF32" s="16"/>
      <c r="FG32" s="16"/>
      <c r="FH32" s="16"/>
      <c r="FI32" s="16"/>
      <c r="FJ32" s="16"/>
      <c r="FK32" s="16"/>
      <c r="FL32" s="16"/>
      <c r="FM32" s="16"/>
      <c r="FN32" s="16"/>
      <c r="FO32" s="16"/>
      <c r="FP32" s="16"/>
      <c r="FQ32" s="16"/>
      <c r="FR32" s="16"/>
      <c r="FS32" s="16"/>
      <c r="FT32" s="16"/>
      <c r="FU32" s="16"/>
      <c r="FV32" s="16"/>
      <c r="FW32" s="16"/>
      <c r="FX32" s="16"/>
      <c r="FY32" s="16"/>
      <c r="FZ32" s="16"/>
      <c r="GA32" s="16"/>
      <c r="GB32" s="16"/>
      <c r="GC32" s="16"/>
      <c r="GD32" s="16"/>
      <c r="GE32" s="16"/>
      <c r="GF32" s="16"/>
      <c r="GG32" s="16"/>
      <c r="GH32" s="16"/>
      <c r="GI32" s="16"/>
      <c r="GJ32" s="16"/>
      <c r="GK32" s="16"/>
      <c r="GL32" s="16"/>
      <c r="GM32" s="16"/>
      <c r="GN32" s="16"/>
      <c r="GO32" s="16"/>
      <c r="GP32" s="16"/>
      <c r="GQ32" s="16"/>
      <c r="GR32" s="16"/>
      <c r="GS32" s="16"/>
      <c r="GT32" s="16"/>
      <c r="GU32" s="16"/>
      <c r="GV32" s="16"/>
      <c r="GW32" s="16"/>
      <c r="GX32" s="16"/>
      <c r="GY32" s="16"/>
      <c r="GZ32" s="16"/>
      <c r="HA32" s="16"/>
      <c r="HB32" s="16"/>
      <c r="HC32" s="16"/>
      <c r="HD32" s="16"/>
      <c r="HE32" s="16"/>
      <c r="HF32" s="16"/>
      <c r="HG32" s="16"/>
      <c r="HH32" s="16"/>
      <c r="HI32" s="16"/>
      <c r="HJ32" s="16"/>
      <c r="HK32" s="16"/>
      <c r="HL32" s="16"/>
      <c r="HM32" s="16"/>
      <c r="HN32" s="16"/>
      <c r="HO32" s="16"/>
      <c r="HP32" s="16"/>
      <c r="HQ32" s="16"/>
      <c r="HR32" s="16"/>
      <c r="HS32" s="16"/>
      <c r="HT32" s="16"/>
      <c r="HU32" s="16"/>
      <c r="HV32" s="16"/>
      <c r="HW32" s="16"/>
      <c r="HX32" s="16"/>
      <c r="HY32" s="16"/>
      <c r="HZ32" s="16"/>
      <c r="IA32" s="16"/>
      <c r="IB32" s="16"/>
      <c r="IC32" s="16"/>
      <c r="ID32" s="16"/>
      <c r="IE32" s="16"/>
      <c r="IF32" s="16"/>
      <c r="IG32" s="16"/>
      <c r="IH32" s="16"/>
      <c r="II32" s="16"/>
      <c r="IJ32" s="16"/>
      <c r="IK32" s="16"/>
      <c r="IL32" s="16"/>
      <c r="IM32" s="16"/>
      <c r="IN32" s="16"/>
      <c r="IO32" s="16"/>
      <c r="IP32" s="16"/>
      <c r="IQ32" s="16"/>
      <c r="IR32" s="16"/>
      <c r="IS32" s="16"/>
      <c r="IT32" s="16"/>
      <c r="IU32" s="16"/>
      <c r="IV32" s="16"/>
      <c r="IW32" s="16"/>
      <c r="IX32" s="16"/>
      <c r="IY32" s="16"/>
      <c r="IZ32" s="16"/>
      <c r="JA32" s="16"/>
      <c r="JB32" s="16"/>
      <c r="JC32" s="16"/>
      <c r="JD32" s="16"/>
    </row>
    <row r="33" spans="1:264" ht="70.5" hidden="1" customHeight="1" x14ac:dyDescent="0.3">
      <c r="A33" s="15" t="s">
        <v>25</v>
      </c>
      <c r="B33" s="15" t="s">
        <v>64</v>
      </c>
      <c r="C33" s="15" t="s">
        <v>86</v>
      </c>
      <c r="D33" s="15" t="s">
        <v>19</v>
      </c>
      <c r="E33" s="20" t="s">
        <v>19</v>
      </c>
      <c r="F33" s="20" t="s">
        <v>19</v>
      </c>
      <c r="G33" s="15" t="s">
        <v>109</v>
      </c>
      <c r="H33" s="15" t="s">
        <v>109</v>
      </c>
      <c r="I33" s="18" t="s">
        <v>109</v>
      </c>
      <c r="J33" s="18" t="s">
        <v>109</v>
      </c>
      <c r="K33" s="18" t="s">
        <v>109</v>
      </c>
      <c r="L33" s="18" t="s">
        <v>109</v>
      </c>
      <c r="M33" s="15" t="s">
        <v>2874</v>
      </c>
      <c r="N33" s="4" t="s">
        <v>1678</v>
      </c>
      <c r="O33" s="15"/>
      <c r="P33" s="4" t="s">
        <v>1679</v>
      </c>
      <c r="S33" s="15" t="e" cm="1">
        <f t="array" aca="1" ref="S33" ca="1">COMMONMARKETCOUNT(H33:AV33)</f>
        <v>#NAME?</v>
      </c>
      <c r="T33" s="6" t="e" cm="1">
        <f t="array" aca="1" ref="T33" ca="1">AUTOMATEDCOUNT(H33:AV33)</f>
        <v>#NAME?</v>
      </c>
      <c r="V33" s="15" t="s">
        <v>109</v>
      </c>
      <c r="W33" s="15" t="s">
        <v>109</v>
      </c>
      <c r="X33" s="20" t="s">
        <v>19</v>
      </c>
      <c r="Y33" s="20" t="s">
        <v>19</v>
      </c>
      <c r="Z33" s="20" t="s">
        <v>19</v>
      </c>
      <c r="AA33" s="18" t="s">
        <v>109</v>
      </c>
      <c r="AB33" s="18" t="s">
        <v>109</v>
      </c>
      <c r="AC33" s="18" t="s">
        <v>109</v>
      </c>
      <c r="AD33" s="18" t="s">
        <v>109</v>
      </c>
      <c r="AE33" s="18" t="s">
        <v>109</v>
      </c>
      <c r="AF33" s="18" t="s">
        <v>109</v>
      </c>
      <c r="AG33" s="18" t="s">
        <v>109</v>
      </c>
      <c r="AH33" s="18" t="s">
        <v>109</v>
      </c>
      <c r="AI33" s="18" t="s">
        <v>109</v>
      </c>
      <c r="AJ33" s="18" t="s">
        <v>109</v>
      </c>
      <c r="AK33" s="18" t="s">
        <v>109</v>
      </c>
      <c r="AL33" s="18" t="s">
        <v>109</v>
      </c>
      <c r="AM33" s="18" t="s">
        <v>109</v>
      </c>
      <c r="AN33" s="18" t="s">
        <v>109</v>
      </c>
      <c r="AO33" s="18" t="s">
        <v>109</v>
      </c>
      <c r="AP33" s="18" t="s">
        <v>109</v>
      </c>
      <c r="AQ33" s="18" t="s">
        <v>109</v>
      </c>
      <c r="AR33" s="18" t="s">
        <v>109</v>
      </c>
      <c r="AS33" s="18" t="s">
        <v>109</v>
      </c>
      <c r="AT33" s="18" t="s">
        <v>109</v>
      </c>
      <c r="AU33" s="18" t="s">
        <v>109</v>
      </c>
      <c r="AV33" s="36" t="s">
        <v>109</v>
      </c>
    </row>
    <row r="34" spans="1:264" s="5" customFormat="1" ht="81.75" hidden="1" customHeight="1" x14ac:dyDescent="0.3">
      <c r="A34" s="15" t="s">
        <v>25</v>
      </c>
      <c r="B34" s="15" t="s">
        <v>64</v>
      </c>
      <c r="C34" s="15" t="s">
        <v>87</v>
      </c>
      <c r="D34" s="15" t="s">
        <v>19</v>
      </c>
      <c r="E34" s="70" t="s">
        <v>19</v>
      </c>
      <c r="F34" s="70" t="s">
        <v>19</v>
      </c>
      <c r="G34" s="15" t="s">
        <v>109</v>
      </c>
      <c r="H34" s="15" t="s">
        <v>109</v>
      </c>
      <c r="I34" s="18" t="s">
        <v>109</v>
      </c>
      <c r="J34" s="18" t="s">
        <v>109</v>
      </c>
      <c r="K34" s="18" t="s">
        <v>109</v>
      </c>
      <c r="L34" s="18" t="s">
        <v>109</v>
      </c>
      <c r="M34" s="15" t="s">
        <v>2875</v>
      </c>
      <c r="N34" s="4" t="s">
        <v>1680</v>
      </c>
      <c r="O34" s="15"/>
      <c r="P34" s="4" t="s">
        <v>1681</v>
      </c>
      <c r="S34" s="15" t="e" cm="1">
        <f t="array" aca="1" ref="S34" ca="1">COMMONMARKETCOUNT(H34:AV34)</f>
        <v>#NAME?</v>
      </c>
      <c r="T34" s="6" t="e" cm="1">
        <f t="array" aca="1" ref="T34" ca="1">AUTOMATEDCOUNT(H34:AV34)</f>
        <v>#NAME?</v>
      </c>
      <c r="V34" s="15" t="s">
        <v>109</v>
      </c>
      <c r="W34" s="15" t="s">
        <v>109</v>
      </c>
      <c r="X34" s="70" t="s">
        <v>19</v>
      </c>
      <c r="Y34" s="70" t="s">
        <v>19</v>
      </c>
      <c r="Z34" s="70" t="s">
        <v>19</v>
      </c>
      <c r="AA34" s="18" t="s">
        <v>109</v>
      </c>
      <c r="AB34" s="18" t="s">
        <v>109</v>
      </c>
      <c r="AC34" s="18" t="s">
        <v>109</v>
      </c>
      <c r="AD34" s="18" t="s">
        <v>109</v>
      </c>
      <c r="AE34" s="18" t="s">
        <v>109</v>
      </c>
      <c r="AF34" s="18" t="s">
        <v>109</v>
      </c>
      <c r="AG34" s="18" t="s">
        <v>109</v>
      </c>
      <c r="AH34" s="18" t="s">
        <v>109</v>
      </c>
      <c r="AI34" s="18" t="s">
        <v>109</v>
      </c>
      <c r="AJ34" s="18" t="s">
        <v>109</v>
      </c>
      <c r="AK34" s="18" t="s">
        <v>109</v>
      </c>
      <c r="AL34" s="18" t="s">
        <v>109</v>
      </c>
      <c r="AM34" s="18" t="s">
        <v>109</v>
      </c>
      <c r="AN34" s="18" t="s">
        <v>109</v>
      </c>
      <c r="AO34" s="18" t="s">
        <v>109</v>
      </c>
      <c r="AP34" s="18" t="s">
        <v>109</v>
      </c>
      <c r="AQ34" s="18" t="s">
        <v>109</v>
      </c>
      <c r="AR34" s="18" t="s">
        <v>109</v>
      </c>
      <c r="AS34" s="18" t="s">
        <v>109</v>
      </c>
      <c r="AT34" s="18" t="s">
        <v>109</v>
      </c>
      <c r="AU34" s="18" t="s">
        <v>109</v>
      </c>
      <c r="AV34" s="36" t="s">
        <v>109</v>
      </c>
      <c r="AW34" s="16"/>
      <c r="AX34" s="16"/>
      <c r="AY34" s="16"/>
      <c r="AZ34" s="16"/>
      <c r="BA34" s="16"/>
      <c r="BB34" s="16"/>
      <c r="BC34" s="16"/>
      <c r="BD34" s="16"/>
      <c r="BE34" s="16"/>
      <c r="BF34" s="16"/>
      <c r="BG34" s="16"/>
      <c r="BH34" s="16"/>
      <c r="BI34" s="16"/>
      <c r="BJ34" s="16"/>
      <c r="BK34" s="16"/>
      <c r="BL34" s="16"/>
      <c r="BM34" s="16"/>
      <c r="BN34" s="16"/>
      <c r="BO34" s="16"/>
      <c r="BP34" s="16"/>
      <c r="BQ34" s="16"/>
      <c r="BR34" s="16"/>
      <c r="BS34" s="16"/>
      <c r="BT34" s="16"/>
      <c r="BU34" s="16"/>
      <c r="BV34" s="16"/>
      <c r="BW34" s="16"/>
      <c r="BX34" s="16"/>
      <c r="BY34" s="16"/>
      <c r="BZ34" s="16"/>
      <c r="CA34" s="16"/>
      <c r="CB34" s="16"/>
      <c r="CC34" s="16"/>
      <c r="CD34" s="16"/>
      <c r="CE34" s="16"/>
      <c r="CF34" s="16"/>
      <c r="CG34" s="16"/>
      <c r="CH34" s="16"/>
      <c r="CI34" s="16"/>
      <c r="CJ34" s="16"/>
      <c r="CK34" s="16"/>
      <c r="CL34" s="16"/>
      <c r="CM34" s="16"/>
      <c r="CN34" s="16"/>
      <c r="CO34" s="16"/>
      <c r="CP34" s="16"/>
      <c r="CQ34" s="16"/>
      <c r="CR34" s="16"/>
      <c r="CS34" s="16"/>
      <c r="CT34" s="16"/>
      <c r="CU34" s="16"/>
      <c r="CV34" s="16"/>
      <c r="CW34" s="16"/>
      <c r="CX34" s="16"/>
      <c r="CY34" s="16"/>
      <c r="CZ34" s="16"/>
      <c r="DA34" s="16"/>
      <c r="DB34" s="16"/>
      <c r="DC34" s="16"/>
      <c r="DD34" s="16"/>
      <c r="DE34" s="16"/>
      <c r="DF34" s="16"/>
      <c r="DG34" s="16"/>
      <c r="DH34" s="16"/>
      <c r="DI34" s="16"/>
      <c r="DJ34" s="16"/>
      <c r="DK34" s="16"/>
      <c r="DL34" s="16"/>
      <c r="DM34" s="16"/>
      <c r="DN34" s="16"/>
      <c r="DO34" s="16"/>
      <c r="DP34" s="16"/>
      <c r="DQ34" s="16"/>
      <c r="DR34" s="16"/>
      <c r="DS34" s="16"/>
      <c r="DT34" s="16"/>
      <c r="DU34" s="16"/>
      <c r="DV34" s="16"/>
      <c r="DW34" s="16"/>
      <c r="DX34" s="16"/>
      <c r="DY34" s="16"/>
      <c r="DZ34" s="16"/>
      <c r="EA34" s="16"/>
      <c r="EB34" s="16"/>
      <c r="EC34" s="16"/>
      <c r="ED34" s="16"/>
      <c r="EE34" s="16"/>
      <c r="EF34" s="16"/>
      <c r="EG34" s="16"/>
      <c r="EH34" s="16"/>
      <c r="EI34" s="16"/>
      <c r="EJ34" s="16"/>
      <c r="EK34" s="16"/>
      <c r="EL34" s="16"/>
      <c r="EM34" s="16"/>
      <c r="EN34" s="16"/>
      <c r="EO34" s="16"/>
      <c r="EP34" s="16"/>
      <c r="EQ34" s="16"/>
      <c r="ER34" s="16"/>
      <c r="ES34" s="16"/>
      <c r="ET34" s="16"/>
      <c r="EU34" s="16"/>
      <c r="EV34" s="16"/>
      <c r="EW34" s="16"/>
      <c r="EX34" s="16"/>
      <c r="EY34" s="16"/>
      <c r="EZ34" s="16"/>
      <c r="FA34" s="16"/>
      <c r="FB34" s="16"/>
      <c r="FC34" s="16"/>
      <c r="FD34" s="16"/>
      <c r="FE34" s="16"/>
      <c r="FF34" s="16"/>
      <c r="FG34" s="16"/>
      <c r="FH34" s="16"/>
      <c r="FI34" s="16"/>
      <c r="FJ34" s="16"/>
      <c r="FK34" s="16"/>
      <c r="FL34" s="16"/>
      <c r="FM34" s="16"/>
      <c r="FN34" s="16"/>
      <c r="FO34" s="16"/>
      <c r="FP34" s="16"/>
      <c r="FQ34" s="16"/>
      <c r="FR34" s="16"/>
      <c r="FS34" s="16"/>
      <c r="FT34" s="16"/>
      <c r="FU34" s="16"/>
      <c r="FV34" s="16"/>
      <c r="FW34" s="16"/>
      <c r="FX34" s="16"/>
      <c r="FY34" s="16"/>
      <c r="FZ34" s="16"/>
      <c r="GA34" s="16"/>
      <c r="GB34" s="16"/>
      <c r="GC34" s="16"/>
      <c r="GD34" s="16"/>
      <c r="GE34" s="16"/>
      <c r="GF34" s="16"/>
      <c r="GG34" s="16"/>
      <c r="GH34" s="16"/>
      <c r="GI34" s="16"/>
      <c r="GJ34" s="16"/>
      <c r="GK34" s="16"/>
      <c r="GL34" s="16"/>
      <c r="GM34" s="16"/>
      <c r="GN34" s="16"/>
      <c r="GO34" s="16"/>
      <c r="GP34" s="16"/>
      <c r="GQ34" s="16"/>
      <c r="GR34" s="16"/>
      <c r="GS34" s="16"/>
      <c r="GT34" s="16"/>
      <c r="GU34" s="16"/>
      <c r="GV34" s="16"/>
      <c r="GW34" s="16"/>
      <c r="GX34" s="16"/>
      <c r="GY34" s="16"/>
      <c r="GZ34" s="16"/>
      <c r="HA34" s="16"/>
      <c r="HB34" s="16"/>
      <c r="HC34" s="16"/>
      <c r="HD34" s="16"/>
      <c r="HE34" s="16"/>
      <c r="HF34" s="16"/>
      <c r="HG34" s="16"/>
      <c r="HH34" s="16"/>
      <c r="HI34" s="16"/>
      <c r="HJ34" s="16"/>
      <c r="HK34" s="16"/>
      <c r="HL34" s="16"/>
      <c r="HM34" s="16"/>
      <c r="HN34" s="16"/>
      <c r="HO34" s="16"/>
      <c r="HP34" s="16"/>
      <c r="HQ34" s="16"/>
      <c r="HR34" s="16"/>
      <c r="HS34" s="16"/>
      <c r="HT34" s="16"/>
      <c r="HU34" s="16"/>
      <c r="HV34" s="16"/>
      <c r="HW34" s="16"/>
      <c r="HX34" s="16"/>
      <c r="HY34" s="16"/>
      <c r="HZ34" s="16"/>
      <c r="IA34" s="16"/>
      <c r="IB34" s="16"/>
      <c r="IC34" s="16"/>
      <c r="ID34" s="16"/>
      <c r="IE34" s="16"/>
      <c r="IF34" s="16"/>
      <c r="IG34" s="16"/>
      <c r="IH34" s="16"/>
      <c r="II34" s="16"/>
      <c r="IJ34" s="16"/>
      <c r="IK34" s="16"/>
      <c r="IL34" s="16"/>
      <c r="IM34" s="16"/>
      <c r="IN34" s="16"/>
      <c r="IO34" s="16"/>
      <c r="IP34" s="16"/>
      <c r="IQ34" s="16"/>
      <c r="IR34" s="16"/>
      <c r="IS34" s="16"/>
      <c r="IT34" s="16"/>
      <c r="IU34" s="16"/>
      <c r="IV34" s="16"/>
      <c r="IW34" s="16"/>
      <c r="IX34" s="16"/>
      <c r="IY34" s="16"/>
      <c r="IZ34" s="16"/>
      <c r="JA34" s="16"/>
      <c r="JB34" s="16"/>
      <c r="JC34" s="16"/>
      <c r="JD34" s="16"/>
    </row>
    <row r="35" spans="1:264" s="5" customFormat="1" ht="70.5" hidden="1" customHeight="1" x14ac:dyDescent="0.3">
      <c r="A35" s="15" t="s">
        <v>25</v>
      </c>
      <c r="B35" s="15" t="s">
        <v>64</v>
      </c>
      <c r="C35" s="15" t="s">
        <v>88</v>
      </c>
      <c r="D35" s="15" t="s">
        <v>19</v>
      </c>
      <c r="E35" s="70" t="s">
        <v>19</v>
      </c>
      <c r="F35" s="70" t="s">
        <v>19</v>
      </c>
      <c r="G35" s="15" t="s">
        <v>109</v>
      </c>
      <c r="H35" s="15" t="s">
        <v>109</v>
      </c>
      <c r="I35" s="18" t="s">
        <v>109</v>
      </c>
      <c r="J35" s="18" t="s">
        <v>109</v>
      </c>
      <c r="K35" s="18" t="s">
        <v>109</v>
      </c>
      <c r="L35" s="18" t="s">
        <v>109</v>
      </c>
      <c r="M35" s="15" t="s">
        <v>2876</v>
      </c>
      <c r="N35" s="4" t="s">
        <v>1682</v>
      </c>
      <c r="O35" s="15"/>
      <c r="P35" s="4" t="s">
        <v>1005</v>
      </c>
      <c r="S35" s="15" t="e" cm="1">
        <f t="array" aca="1" ref="S35" ca="1">COMMONMARKETCOUNT(H35:AV35)</f>
        <v>#NAME?</v>
      </c>
      <c r="T35" s="6" t="e" cm="1">
        <f t="array" aca="1" ref="T35" ca="1">AUTOMATEDCOUNT(H35:AV35)</f>
        <v>#NAME?</v>
      </c>
      <c r="V35" s="15" t="s">
        <v>109</v>
      </c>
      <c r="W35" s="15" t="s">
        <v>109</v>
      </c>
      <c r="X35" s="70" t="s">
        <v>19</v>
      </c>
      <c r="Y35" s="70" t="s">
        <v>19</v>
      </c>
      <c r="Z35" s="70" t="s">
        <v>19</v>
      </c>
      <c r="AA35" s="18" t="s">
        <v>109</v>
      </c>
      <c r="AB35" s="18" t="s">
        <v>109</v>
      </c>
      <c r="AC35" s="18" t="s">
        <v>109</v>
      </c>
      <c r="AD35" s="18" t="s">
        <v>109</v>
      </c>
      <c r="AE35" s="18" t="s">
        <v>109</v>
      </c>
      <c r="AF35" s="18" t="s">
        <v>109</v>
      </c>
      <c r="AG35" s="18" t="s">
        <v>109</v>
      </c>
      <c r="AH35" s="18" t="s">
        <v>109</v>
      </c>
      <c r="AI35" s="18" t="s">
        <v>109</v>
      </c>
      <c r="AJ35" s="18" t="s">
        <v>109</v>
      </c>
      <c r="AK35" s="18" t="s">
        <v>109</v>
      </c>
      <c r="AL35" s="18" t="s">
        <v>109</v>
      </c>
      <c r="AM35" s="18" t="s">
        <v>109</v>
      </c>
      <c r="AN35" s="18" t="s">
        <v>109</v>
      </c>
      <c r="AO35" s="18" t="s">
        <v>109</v>
      </c>
      <c r="AP35" s="18" t="s">
        <v>109</v>
      </c>
      <c r="AQ35" s="18" t="s">
        <v>109</v>
      </c>
      <c r="AR35" s="18" t="s">
        <v>109</v>
      </c>
      <c r="AS35" s="18" t="s">
        <v>109</v>
      </c>
      <c r="AT35" s="18" t="s">
        <v>109</v>
      </c>
      <c r="AU35" s="18" t="s">
        <v>109</v>
      </c>
      <c r="AV35" s="36" t="s">
        <v>109</v>
      </c>
      <c r="AW35" s="16"/>
      <c r="AX35" s="16"/>
      <c r="AY35" s="16"/>
      <c r="AZ35" s="16"/>
      <c r="BA35" s="16"/>
      <c r="BB35" s="16"/>
      <c r="BC35" s="16"/>
      <c r="BD35" s="16"/>
      <c r="BE35" s="16"/>
      <c r="BF35" s="16"/>
      <c r="BG35" s="16"/>
      <c r="BH35" s="16"/>
      <c r="BI35" s="16"/>
      <c r="BJ35" s="16"/>
      <c r="BK35" s="16"/>
      <c r="BL35" s="16"/>
      <c r="BM35" s="16"/>
      <c r="BN35" s="16"/>
      <c r="BO35" s="16"/>
      <c r="BP35" s="16"/>
      <c r="BQ35" s="16"/>
      <c r="BR35" s="16"/>
      <c r="BS35" s="16"/>
      <c r="BT35" s="16"/>
      <c r="BU35" s="16"/>
      <c r="BV35" s="16"/>
      <c r="BW35" s="16"/>
      <c r="BX35" s="16"/>
      <c r="BY35" s="16"/>
      <c r="BZ35" s="16"/>
      <c r="CA35" s="16"/>
      <c r="CB35" s="16"/>
      <c r="CC35" s="16"/>
      <c r="CD35" s="16"/>
      <c r="CE35" s="16"/>
      <c r="CF35" s="16"/>
      <c r="CG35" s="16"/>
      <c r="CH35" s="16"/>
      <c r="CI35" s="16"/>
      <c r="CJ35" s="16"/>
      <c r="CK35" s="16"/>
      <c r="CL35" s="16"/>
      <c r="CM35" s="16"/>
      <c r="CN35" s="16"/>
      <c r="CO35" s="16"/>
      <c r="CP35" s="16"/>
      <c r="CQ35" s="16"/>
      <c r="CR35" s="16"/>
      <c r="CS35" s="16"/>
      <c r="CT35" s="16"/>
      <c r="CU35" s="16"/>
      <c r="CV35" s="16"/>
      <c r="CW35" s="16"/>
      <c r="CX35" s="16"/>
      <c r="CY35" s="16"/>
      <c r="CZ35" s="16"/>
      <c r="DA35" s="16"/>
      <c r="DB35" s="16"/>
      <c r="DC35" s="16"/>
      <c r="DD35" s="16"/>
      <c r="DE35" s="16"/>
      <c r="DF35" s="16"/>
      <c r="DG35" s="16"/>
      <c r="DH35" s="16"/>
      <c r="DI35" s="16"/>
      <c r="DJ35" s="16"/>
      <c r="DK35" s="16"/>
      <c r="DL35" s="16"/>
      <c r="DM35" s="16"/>
      <c r="DN35" s="16"/>
      <c r="DO35" s="16"/>
      <c r="DP35" s="16"/>
      <c r="DQ35" s="16"/>
      <c r="DR35" s="16"/>
      <c r="DS35" s="16"/>
      <c r="DT35" s="16"/>
      <c r="DU35" s="16"/>
      <c r="DV35" s="16"/>
      <c r="DW35" s="16"/>
      <c r="DX35" s="16"/>
      <c r="DY35" s="16"/>
      <c r="DZ35" s="16"/>
      <c r="EA35" s="16"/>
      <c r="EB35" s="16"/>
      <c r="EC35" s="16"/>
      <c r="ED35" s="16"/>
      <c r="EE35" s="16"/>
      <c r="EF35" s="16"/>
      <c r="EG35" s="16"/>
      <c r="EH35" s="16"/>
      <c r="EI35" s="16"/>
      <c r="EJ35" s="16"/>
      <c r="EK35" s="16"/>
      <c r="EL35" s="16"/>
      <c r="EM35" s="16"/>
      <c r="EN35" s="16"/>
      <c r="EO35" s="16"/>
      <c r="EP35" s="16"/>
      <c r="EQ35" s="16"/>
      <c r="ER35" s="16"/>
      <c r="ES35" s="16"/>
      <c r="ET35" s="16"/>
      <c r="EU35" s="16"/>
      <c r="EV35" s="16"/>
      <c r="EW35" s="16"/>
      <c r="EX35" s="16"/>
      <c r="EY35" s="16"/>
      <c r="EZ35" s="16"/>
      <c r="FA35" s="16"/>
      <c r="FB35" s="16"/>
      <c r="FC35" s="16"/>
      <c r="FD35" s="16"/>
      <c r="FE35" s="16"/>
      <c r="FF35" s="16"/>
      <c r="FG35" s="16"/>
      <c r="FH35" s="16"/>
      <c r="FI35" s="16"/>
      <c r="FJ35" s="16"/>
      <c r="FK35" s="16"/>
      <c r="FL35" s="16"/>
      <c r="FM35" s="16"/>
      <c r="FN35" s="16"/>
      <c r="FO35" s="16"/>
      <c r="FP35" s="16"/>
      <c r="FQ35" s="16"/>
      <c r="FR35" s="16"/>
      <c r="FS35" s="16"/>
      <c r="FT35" s="16"/>
      <c r="FU35" s="16"/>
      <c r="FV35" s="16"/>
      <c r="FW35" s="16"/>
      <c r="FX35" s="16"/>
      <c r="FY35" s="16"/>
      <c r="FZ35" s="16"/>
      <c r="GA35" s="16"/>
      <c r="GB35" s="16"/>
      <c r="GC35" s="16"/>
      <c r="GD35" s="16"/>
      <c r="GE35" s="16"/>
      <c r="GF35" s="16"/>
      <c r="GG35" s="16"/>
      <c r="GH35" s="16"/>
      <c r="GI35" s="16"/>
      <c r="GJ35" s="16"/>
      <c r="GK35" s="16"/>
      <c r="GL35" s="16"/>
      <c r="GM35" s="16"/>
      <c r="GN35" s="16"/>
      <c r="GO35" s="16"/>
      <c r="GP35" s="16"/>
      <c r="GQ35" s="16"/>
      <c r="GR35" s="16"/>
      <c r="GS35" s="16"/>
      <c r="GT35" s="16"/>
      <c r="GU35" s="16"/>
      <c r="GV35" s="16"/>
      <c r="GW35" s="16"/>
      <c r="GX35" s="16"/>
      <c r="GY35" s="16"/>
      <c r="GZ35" s="16"/>
      <c r="HA35" s="16"/>
      <c r="HB35" s="16"/>
      <c r="HC35" s="16"/>
      <c r="HD35" s="16"/>
      <c r="HE35" s="16"/>
      <c r="HF35" s="16"/>
      <c r="HG35" s="16"/>
      <c r="HH35" s="16"/>
      <c r="HI35" s="16"/>
      <c r="HJ35" s="16"/>
      <c r="HK35" s="16"/>
      <c r="HL35" s="16"/>
      <c r="HM35" s="16"/>
      <c r="HN35" s="16"/>
      <c r="HO35" s="16"/>
      <c r="HP35" s="16"/>
      <c r="HQ35" s="16"/>
      <c r="HR35" s="16"/>
      <c r="HS35" s="16"/>
      <c r="HT35" s="16"/>
      <c r="HU35" s="16"/>
      <c r="HV35" s="16"/>
      <c r="HW35" s="16"/>
      <c r="HX35" s="16"/>
      <c r="HY35" s="16"/>
      <c r="HZ35" s="16"/>
      <c r="IA35" s="16"/>
      <c r="IB35" s="16"/>
      <c r="IC35" s="16"/>
      <c r="ID35" s="16"/>
      <c r="IE35" s="16"/>
      <c r="IF35" s="16"/>
      <c r="IG35" s="16"/>
      <c r="IH35" s="16"/>
      <c r="II35" s="16"/>
      <c r="IJ35" s="16"/>
      <c r="IK35" s="16"/>
      <c r="IL35" s="16"/>
      <c r="IM35" s="16"/>
      <c r="IN35" s="16"/>
      <c r="IO35" s="16"/>
      <c r="IP35" s="16"/>
      <c r="IQ35" s="16"/>
      <c r="IR35" s="16"/>
      <c r="IS35" s="16"/>
      <c r="IT35" s="16"/>
      <c r="IU35" s="16"/>
      <c r="IV35" s="16"/>
      <c r="IW35" s="16"/>
      <c r="IX35" s="16"/>
      <c r="IY35" s="16"/>
      <c r="IZ35" s="16"/>
      <c r="JA35" s="16"/>
      <c r="JB35" s="16"/>
      <c r="JC35" s="16"/>
      <c r="JD35" s="16"/>
    </row>
    <row r="36" spans="1:264" ht="70.5" hidden="1" customHeight="1" x14ac:dyDescent="0.3">
      <c r="A36" s="15" t="s">
        <v>25</v>
      </c>
      <c r="B36" s="15" t="s">
        <v>64</v>
      </c>
      <c r="C36" s="15" t="s">
        <v>89</v>
      </c>
      <c r="D36" s="15" t="s">
        <v>19</v>
      </c>
      <c r="E36" s="70" t="s">
        <v>19</v>
      </c>
      <c r="F36" s="70" t="s">
        <v>19</v>
      </c>
      <c r="G36" s="15" t="s">
        <v>109</v>
      </c>
      <c r="H36" s="15" t="s">
        <v>109</v>
      </c>
      <c r="I36" s="18" t="s">
        <v>109</v>
      </c>
      <c r="J36" s="18" t="s">
        <v>109</v>
      </c>
      <c r="K36" s="18" t="s">
        <v>109</v>
      </c>
      <c r="L36" s="18" t="s">
        <v>109</v>
      </c>
      <c r="M36" s="15" t="s">
        <v>2877</v>
      </c>
      <c r="N36" s="4" t="s">
        <v>1683</v>
      </c>
      <c r="O36" s="15"/>
      <c r="P36" s="4" t="s">
        <v>1684</v>
      </c>
      <c r="S36" s="15" t="e" cm="1">
        <f t="array" aca="1" ref="S36" ca="1">COMMONMARKETCOUNT(H36:AV36)</f>
        <v>#NAME?</v>
      </c>
      <c r="T36" s="6" t="e" cm="1">
        <f t="array" aca="1" ref="T36" ca="1">AUTOMATEDCOUNT(H36:AV36)</f>
        <v>#NAME?</v>
      </c>
      <c r="V36" s="15" t="s">
        <v>109</v>
      </c>
      <c r="W36" s="15" t="s">
        <v>109</v>
      </c>
      <c r="X36" s="70" t="s">
        <v>19</v>
      </c>
      <c r="Y36" s="70" t="s">
        <v>19</v>
      </c>
      <c r="Z36" s="70" t="s">
        <v>19</v>
      </c>
      <c r="AA36" s="18" t="s">
        <v>109</v>
      </c>
      <c r="AB36" s="18" t="s">
        <v>109</v>
      </c>
      <c r="AC36" s="18" t="s">
        <v>109</v>
      </c>
      <c r="AD36" s="18" t="s">
        <v>109</v>
      </c>
      <c r="AE36" s="18" t="s">
        <v>109</v>
      </c>
      <c r="AF36" s="18" t="s">
        <v>109</v>
      </c>
      <c r="AG36" s="18" t="s">
        <v>109</v>
      </c>
      <c r="AH36" s="18" t="s">
        <v>109</v>
      </c>
      <c r="AI36" s="18" t="s">
        <v>109</v>
      </c>
      <c r="AJ36" s="18" t="s">
        <v>109</v>
      </c>
      <c r="AK36" s="18" t="s">
        <v>109</v>
      </c>
      <c r="AL36" s="18" t="s">
        <v>109</v>
      </c>
      <c r="AM36" s="18" t="s">
        <v>109</v>
      </c>
      <c r="AN36" s="18" t="s">
        <v>109</v>
      </c>
      <c r="AO36" s="18" t="s">
        <v>109</v>
      </c>
      <c r="AP36" s="18" t="s">
        <v>109</v>
      </c>
      <c r="AQ36" s="18" t="s">
        <v>109</v>
      </c>
      <c r="AR36" s="18" t="s">
        <v>109</v>
      </c>
      <c r="AS36" s="18" t="s">
        <v>109</v>
      </c>
      <c r="AT36" s="18" t="s">
        <v>109</v>
      </c>
      <c r="AU36" s="18" t="s">
        <v>109</v>
      </c>
      <c r="AV36" s="36" t="s">
        <v>109</v>
      </c>
    </row>
    <row r="37" spans="1:264" ht="70.5" hidden="1" customHeight="1" x14ac:dyDescent="0.3">
      <c r="A37" s="15" t="s">
        <v>25</v>
      </c>
      <c r="B37" s="15" t="s">
        <v>64</v>
      </c>
      <c r="C37" s="15" t="s">
        <v>90</v>
      </c>
      <c r="D37" s="15" t="s">
        <v>19</v>
      </c>
      <c r="E37" s="70" t="s">
        <v>19</v>
      </c>
      <c r="F37" s="70" t="s">
        <v>19</v>
      </c>
      <c r="G37" s="15" t="s">
        <v>109</v>
      </c>
      <c r="H37" s="15" t="s">
        <v>109</v>
      </c>
      <c r="I37" s="18" t="s">
        <v>109</v>
      </c>
      <c r="J37" s="18" t="s">
        <v>109</v>
      </c>
      <c r="K37" s="18" t="s">
        <v>109</v>
      </c>
      <c r="L37" s="18" t="s">
        <v>109</v>
      </c>
      <c r="M37" s="15" t="s">
        <v>2878</v>
      </c>
      <c r="N37" s="4" t="s">
        <v>91</v>
      </c>
      <c r="O37" s="15"/>
      <c r="P37" s="4" t="s">
        <v>975</v>
      </c>
      <c r="S37" s="15" t="e" cm="1">
        <f t="array" aca="1" ref="S37" ca="1">COMMONMARKETCOUNT(H37:AV37)</f>
        <v>#NAME?</v>
      </c>
      <c r="T37" s="6" t="e" cm="1">
        <f t="array" aca="1" ref="T37" ca="1">AUTOMATEDCOUNT(H37:AV37)</f>
        <v>#NAME?</v>
      </c>
      <c r="V37" s="15" t="s">
        <v>109</v>
      </c>
      <c r="W37" s="15" t="s">
        <v>109</v>
      </c>
      <c r="X37" s="70" t="s">
        <v>19</v>
      </c>
      <c r="Y37" s="70" t="s">
        <v>19</v>
      </c>
      <c r="Z37" s="70" t="s">
        <v>19</v>
      </c>
      <c r="AA37" s="18" t="s">
        <v>109</v>
      </c>
      <c r="AB37" s="18" t="s">
        <v>109</v>
      </c>
      <c r="AC37" s="18" t="s">
        <v>109</v>
      </c>
      <c r="AD37" s="18" t="s">
        <v>109</v>
      </c>
      <c r="AE37" s="18" t="s">
        <v>109</v>
      </c>
      <c r="AF37" s="18" t="s">
        <v>109</v>
      </c>
      <c r="AG37" s="18" t="s">
        <v>109</v>
      </c>
      <c r="AH37" s="18" t="s">
        <v>109</v>
      </c>
      <c r="AI37" s="18" t="s">
        <v>109</v>
      </c>
      <c r="AJ37" s="18" t="s">
        <v>109</v>
      </c>
      <c r="AK37" s="18" t="s">
        <v>109</v>
      </c>
      <c r="AL37" s="18" t="s">
        <v>109</v>
      </c>
      <c r="AM37" s="18" t="s">
        <v>109</v>
      </c>
      <c r="AN37" s="18" t="s">
        <v>109</v>
      </c>
      <c r="AO37" s="18" t="s">
        <v>109</v>
      </c>
      <c r="AP37" s="18" t="s">
        <v>109</v>
      </c>
      <c r="AQ37" s="18" t="s">
        <v>109</v>
      </c>
      <c r="AR37" s="18" t="s">
        <v>109</v>
      </c>
      <c r="AS37" s="18" t="s">
        <v>109</v>
      </c>
      <c r="AT37" s="18" t="s">
        <v>109</v>
      </c>
      <c r="AU37" s="18" t="s">
        <v>109</v>
      </c>
      <c r="AV37" s="36" t="s">
        <v>109</v>
      </c>
    </row>
    <row r="38" spans="1:264" ht="70.5" hidden="1" customHeight="1" x14ac:dyDescent="0.3">
      <c r="A38" s="15" t="s">
        <v>25</v>
      </c>
      <c r="B38" s="15" t="s">
        <v>64</v>
      </c>
      <c r="C38" s="15" t="s">
        <v>92</v>
      </c>
      <c r="D38" s="15" t="s">
        <v>19</v>
      </c>
      <c r="E38" s="20" t="s">
        <v>19</v>
      </c>
      <c r="F38" s="20" t="s">
        <v>19</v>
      </c>
      <c r="G38" s="15" t="s">
        <v>109</v>
      </c>
      <c r="H38" s="15" t="s">
        <v>109</v>
      </c>
      <c r="I38" s="18" t="s">
        <v>109</v>
      </c>
      <c r="J38" s="18" t="s">
        <v>109</v>
      </c>
      <c r="K38" s="18" t="s">
        <v>109</v>
      </c>
      <c r="L38" s="18" t="s">
        <v>109</v>
      </c>
      <c r="M38" s="15" t="s">
        <v>2879</v>
      </c>
      <c r="N38" s="4" t="s">
        <v>93</v>
      </c>
      <c r="O38" s="15"/>
      <c r="P38" s="4" t="s">
        <v>1475</v>
      </c>
      <c r="S38" s="15" t="e" cm="1">
        <f t="array" aca="1" ref="S38" ca="1">COMMONMARKETCOUNT(H38:AV38)</f>
        <v>#NAME?</v>
      </c>
      <c r="T38" s="6" t="e" cm="1">
        <f t="array" aca="1" ref="T38" ca="1">AUTOMATEDCOUNT(H38:AV38)</f>
        <v>#NAME?</v>
      </c>
      <c r="V38" s="15" t="s">
        <v>109</v>
      </c>
      <c r="W38" s="15" t="s">
        <v>109</v>
      </c>
      <c r="X38" s="20" t="s">
        <v>19</v>
      </c>
      <c r="Y38" s="20" t="s">
        <v>19</v>
      </c>
      <c r="Z38" s="20" t="s">
        <v>19</v>
      </c>
      <c r="AA38" s="18" t="s">
        <v>109</v>
      </c>
      <c r="AB38" s="18" t="s">
        <v>109</v>
      </c>
      <c r="AC38" s="18" t="s">
        <v>109</v>
      </c>
      <c r="AD38" s="18" t="s">
        <v>109</v>
      </c>
      <c r="AE38" s="18" t="s">
        <v>109</v>
      </c>
      <c r="AF38" s="18" t="s">
        <v>109</v>
      </c>
      <c r="AG38" s="18" t="s">
        <v>109</v>
      </c>
      <c r="AH38" s="18" t="s">
        <v>109</v>
      </c>
      <c r="AI38" s="18" t="s">
        <v>109</v>
      </c>
      <c r="AJ38" s="18" t="s">
        <v>109</v>
      </c>
      <c r="AK38" s="18" t="s">
        <v>109</v>
      </c>
      <c r="AL38" s="18" t="s">
        <v>109</v>
      </c>
      <c r="AM38" s="18" t="s">
        <v>109</v>
      </c>
      <c r="AN38" s="18" t="s">
        <v>109</v>
      </c>
      <c r="AO38" s="18" t="s">
        <v>109</v>
      </c>
      <c r="AP38" s="18" t="s">
        <v>109</v>
      </c>
      <c r="AQ38" s="18" t="s">
        <v>109</v>
      </c>
      <c r="AR38" s="18" t="s">
        <v>109</v>
      </c>
      <c r="AS38" s="18" t="s">
        <v>109</v>
      </c>
      <c r="AT38" s="18" t="s">
        <v>109</v>
      </c>
      <c r="AU38" s="18" t="s">
        <v>109</v>
      </c>
      <c r="AV38" s="36" t="s">
        <v>109</v>
      </c>
    </row>
    <row r="39" spans="1:264" ht="70.5" hidden="1" customHeight="1" x14ac:dyDescent="0.3">
      <c r="A39" s="15" t="s">
        <v>25</v>
      </c>
      <c r="B39" s="15" t="s">
        <v>64</v>
      </c>
      <c r="C39" s="15" t="s">
        <v>94</v>
      </c>
      <c r="D39" s="15" t="s">
        <v>19</v>
      </c>
      <c r="E39" s="70" t="s">
        <v>19</v>
      </c>
      <c r="F39" s="70" t="s">
        <v>19</v>
      </c>
      <c r="G39" s="15" t="s">
        <v>109</v>
      </c>
      <c r="H39" s="15" t="s">
        <v>109</v>
      </c>
      <c r="I39" s="18" t="s">
        <v>109</v>
      </c>
      <c r="J39" s="18" t="s">
        <v>109</v>
      </c>
      <c r="K39" s="18" t="s">
        <v>109</v>
      </c>
      <c r="L39" s="18" t="s">
        <v>109</v>
      </c>
      <c r="M39" s="15" t="s">
        <v>2880</v>
      </c>
      <c r="N39" s="4" t="s">
        <v>95</v>
      </c>
      <c r="O39" s="15"/>
      <c r="P39" s="4" t="s">
        <v>1476</v>
      </c>
      <c r="S39" s="15" t="e" cm="1">
        <f t="array" aca="1" ref="S39" ca="1">COMMONMARKETCOUNT(H39:AV39)</f>
        <v>#NAME?</v>
      </c>
      <c r="T39" s="6" t="e" cm="1">
        <f t="array" aca="1" ref="T39" ca="1">AUTOMATEDCOUNT(H39:AV39)</f>
        <v>#NAME?</v>
      </c>
      <c r="V39" s="15" t="s">
        <v>109</v>
      </c>
      <c r="W39" s="15" t="s">
        <v>109</v>
      </c>
      <c r="X39" s="70" t="s">
        <v>19</v>
      </c>
      <c r="Y39" s="70" t="s">
        <v>19</v>
      </c>
      <c r="Z39" s="70" t="s">
        <v>19</v>
      </c>
      <c r="AA39" s="18" t="s">
        <v>109</v>
      </c>
      <c r="AB39" s="18" t="s">
        <v>109</v>
      </c>
      <c r="AC39" s="18" t="s">
        <v>109</v>
      </c>
      <c r="AD39" s="18" t="s">
        <v>109</v>
      </c>
      <c r="AE39" s="18" t="s">
        <v>109</v>
      </c>
      <c r="AF39" s="18" t="s">
        <v>109</v>
      </c>
      <c r="AG39" s="18" t="s">
        <v>109</v>
      </c>
      <c r="AH39" s="18" t="s">
        <v>109</v>
      </c>
      <c r="AI39" s="18" t="s">
        <v>109</v>
      </c>
      <c r="AJ39" s="18" t="s">
        <v>109</v>
      </c>
      <c r="AK39" s="18" t="s">
        <v>109</v>
      </c>
      <c r="AL39" s="18" t="s">
        <v>109</v>
      </c>
      <c r="AM39" s="18" t="s">
        <v>109</v>
      </c>
      <c r="AN39" s="18" t="s">
        <v>109</v>
      </c>
      <c r="AO39" s="18" t="s">
        <v>109</v>
      </c>
      <c r="AP39" s="18" t="s">
        <v>109</v>
      </c>
      <c r="AQ39" s="18" t="s">
        <v>109</v>
      </c>
      <c r="AR39" s="18" t="s">
        <v>109</v>
      </c>
      <c r="AS39" s="18" t="s">
        <v>109</v>
      </c>
      <c r="AT39" s="18" t="s">
        <v>109</v>
      </c>
      <c r="AU39" s="18" t="s">
        <v>109</v>
      </c>
      <c r="AV39" s="36" t="s">
        <v>109</v>
      </c>
    </row>
    <row r="40" spans="1:264" ht="70.5" hidden="1" customHeight="1" x14ac:dyDescent="0.3">
      <c r="A40" s="15" t="s">
        <v>25</v>
      </c>
      <c r="B40" s="15" t="s">
        <v>64</v>
      </c>
      <c r="C40" s="15" t="s">
        <v>96</v>
      </c>
      <c r="D40" s="15" t="s">
        <v>19</v>
      </c>
      <c r="E40" s="70" t="s">
        <v>19</v>
      </c>
      <c r="F40" s="70" t="s">
        <v>19</v>
      </c>
      <c r="G40" s="15" t="s">
        <v>109</v>
      </c>
      <c r="H40" s="15" t="s">
        <v>109</v>
      </c>
      <c r="I40" s="18" t="s">
        <v>109</v>
      </c>
      <c r="J40" s="18" t="s">
        <v>109</v>
      </c>
      <c r="K40" s="18" t="s">
        <v>109</v>
      </c>
      <c r="L40" s="18" t="s">
        <v>109</v>
      </c>
      <c r="M40" s="15" t="s">
        <v>2881</v>
      </c>
      <c r="N40" s="4" t="s">
        <v>97</v>
      </c>
      <c r="O40" s="15"/>
      <c r="P40" s="4" t="s">
        <v>1685</v>
      </c>
      <c r="S40" s="15" t="e" cm="1">
        <f t="array" aca="1" ref="S40" ca="1">COMMONMARKETCOUNT(H40:AV40)</f>
        <v>#NAME?</v>
      </c>
      <c r="T40" s="6" t="e" cm="1">
        <f t="array" aca="1" ref="T40" ca="1">AUTOMATEDCOUNT(H40:AV40)</f>
        <v>#NAME?</v>
      </c>
      <c r="V40" s="15" t="s">
        <v>109</v>
      </c>
      <c r="W40" s="15" t="s">
        <v>109</v>
      </c>
      <c r="X40" s="70" t="s">
        <v>19</v>
      </c>
      <c r="Y40" s="70" t="s">
        <v>19</v>
      </c>
      <c r="Z40" s="70" t="s">
        <v>19</v>
      </c>
      <c r="AA40" s="18" t="s">
        <v>109</v>
      </c>
      <c r="AB40" s="18" t="s">
        <v>109</v>
      </c>
      <c r="AC40" s="18" t="s">
        <v>109</v>
      </c>
      <c r="AD40" s="18" t="s">
        <v>109</v>
      </c>
      <c r="AE40" s="18" t="s">
        <v>109</v>
      </c>
      <c r="AF40" s="18" t="s">
        <v>109</v>
      </c>
      <c r="AG40" s="18" t="s">
        <v>109</v>
      </c>
      <c r="AH40" s="18" t="s">
        <v>109</v>
      </c>
      <c r="AI40" s="18" t="s">
        <v>109</v>
      </c>
      <c r="AJ40" s="18" t="s">
        <v>109</v>
      </c>
      <c r="AK40" s="18" t="s">
        <v>109</v>
      </c>
      <c r="AL40" s="18" t="s">
        <v>109</v>
      </c>
      <c r="AM40" s="18" t="s">
        <v>109</v>
      </c>
      <c r="AN40" s="18" t="s">
        <v>109</v>
      </c>
      <c r="AO40" s="18" t="s">
        <v>109</v>
      </c>
      <c r="AP40" s="18" t="s">
        <v>109</v>
      </c>
      <c r="AQ40" s="18" t="s">
        <v>109</v>
      </c>
      <c r="AR40" s="18" t="s">
        <v>109</v>
      </c>
      <c r="AS40" s="18" t="s">
        <v>109</v>
      </c>
      <c r="AT40" s="18" t="s">
        <v>109</v>
      </c>
      <c r="AU40" s="18" t="s">
        <v>109</v>
      </c>
      <c r="AV40" s="36" t="s">
        <v>109</v>
      </c>
    </row>
    <row r="41" spans="1:264" s="5" customFormat="1" ht="70.5" hidden="1" customHeight="1" x14ac:dyDescent="0.3">
      <c r="A41" s="15" t="s">
        <v>18</v>
      </c>
      <c r="B41" s="15" t="s">
        <v>17</v>
      </c>
      <c r="C41" s="15" t="s">
        <v>98</v>
      </c>
      <c r="D41" s="15" t="s">
        <v>19</v>
      </c>
      <c r="E41" s="70" t="s">
        <v>19</v>
      </c>
      <c r="F41" s="70" t="s">
        <v>3178</v>
      </c>
      <c r="G41" s="70" t="s">
        <v>19</v>
      </c>
      <c r="H41" s="70" t="s">
        <v>3178</v>
      </c>
      <c r="I41" s="72" t="s">
        <v>19</v>
      </c>
      <c r="J41" s="72" t="s">
        <v>19</v>
      </c>
      <c r="K41" s="72" t="s">
        <v>19</v>
      </c>
      <c r="L41" s="72" t="s">
        <v>19</v>
      </c>
      <c r="M41" s="15" t="s">
        <v>2882</v>
      </c>
      <c r="N41" s="4" t="s">
        <v>99</v>
      </c>
      <c r="O41" s="15"/>
      <c r="P41" s="4" t="s">
        <v>1880</v>
      </c>
      <c r="S41" s="15" t="e" cm="1">
        <f t="array" aca="1" ref="S41" ca="1">COMMONMARKETCOUNT(H41:AV41)</f>
        <v>#NAME?</v>
      </c>
      <c r="T41" s="6" t="e" cm="1">
        <f t="array" aca="1" ref="T41" ca="1">AUTOMATEDCOUNT(H41:AV41)</f>
        <v>#NAME?</v>
      </c>
      <c r="V41" s="70" t="s">
        <v>19</v>
      </c>
      <c r="W41" s="70" t="s">
        <v>19</v>
      </c>
      <c r="X41" s="70" t="s">
        <v>19</v>
      </c>
      <c r="Y41" s="70" t="s">
        <v>19</v>
      </c>
      <c r="Z41" s="70" t="s">
        <v>19</v>
      </c>
      <c r="AA41" s="72" t="s">
        <v>19</v>
      </c>
      <c r="AB41" s="72" t="s">
        <v>19</v>
      </c>
      <c r="AC41" s="72" t="s">
        <v>19</v>
      </c>
      <c r="AD41" s="18" t="s">
        <v>109</v>
      </c>
      <c r="AE41" s="18" t="s">
        <v>109</v>
      </c>
      <c r="AF41" s="18" t="s">
        <v>19</v>
      </c>
      <c r="AG41" s="29" t="s">
        <v>19</v>
      </c>
      <c r="AH41" s="18" t="s">
        <v>19</v>
      </c>
      <c r="AI41" s="18" t="s">
        <v>19</v>
      </c>
      <c r="AJ41" s="18" t="s">
        <v>19</v>
      </c>
      <c r="AK41" s="18" t="s">
        <v>19</v>
      </c>
      <c r="AL41" s="18" t="s">
        <v>19</v>
      </c>
      <c r="AM41" s="18" t="s">
        <v>19</v>
      </c>
      <c r="AN41" s="18" t="s">
        <v>19</v>
      </c>
      <c r="AO41" s="18" t="s">
        <v>19</v>
      </c>
      <c r="AP41" s="18" t="s">
        <v>19</v>
      </c>
      <c r="AQ41" s="18" t="s">
        <v>19</v>
      </c>
      <c r="AR41" s="18" t="s">
        <v>19</v>
      </c>
      <c r="AS41" s="70" t="s">
        <v>19</v>
      </c>
      <c r="AT41" s="72" t="s">
        <v>19</v>
      </c>
      <c r="AU41" s="18" t="s">
        <v>3153</v>
      </c>
      <c r="AV41" s="36" t="s">
        <v>19</v>
      </c>
      <c r="AW41" s="16"/>
      <c r="AX41" s="16"/>
      <c r="AY41" s="16"/>
      <c r="AZ41" s="16"/>
      <c r="BA41" s="16"/>
      <c r="BB41" s="16"/>
      <c r="BC41" s="16"/>
      <c r="BD41" s="16"/>
      <c r="BE41" s="16"/>
      <c r="BF41" s="16"/>
      <c r="BG41" s="16"/>
      <c r="BH41" s="16"/>
      <c r="BI41" s="16"/>
      <c r="BJ41" s="16"/>
      <c r="BK41" s="16"/>
      <c r="BL41" s="16"/>
      <c r="BM41" s="16"/>
      <c r="BN41" s="16"/>
      <c r="BO41" s="16"/>
      <c r="BP41" s="16"/>
      <c r="BQ41" s="16"/>
      <c r="BR41" s="16"/>
      <c r="BS41" s="16"/>
      <c r="BT41" s="16"/>
      <c r="BU41" s="16"/>
      <c r="BV41" s="16"/>
      <c r="BW41" s="16"/>
      <c r="BX41" s="16"/>
      <c r="BY41" s="16"/>
      <c r="BZ41" s="16"/>
      <c r="CA41" s="16"/>
      <c r="CB41" s="16"/>
      <c r="CC41" s="16"/>
      <c r="CD41" s="16"/>
      <c r="CE41" s="16"/>
      <c r="CF41" s="16"/>
      <c r="CG41" s="16"/>
      <c r="CH41" s="16"/>
      <c r="CI41" s="16"/>
      <c r="CJ41" s="16"/>
      <c r="CK41" s="16"/>
      <c r="CL41" s="16"/>
      <c r="CM41" s="16"/>
      <c r="CN41" s="16"/>
      <c r="CO41" s="16"/>
      <c r="CP41" s="16"/>
      <c r="CQ41" s="16"/>
      <c r="CR41" s="16"/>
      <c r="CS41" s="16"/>
      <c r="CT41" s="16"/>
      <c r="CU41" s="16"/>
      <c r="CV41" s="16"/>
      <c r="CW41" s="16"/>
      <c r="CX41" s="16"/>
      <c r="CY41" s="16"/>
      <c r="CZ41" s="16"/>
      <c r="DA41" s="16"/>
      <c r="DB41" s="16"/>
      <c r="DC41" s="16"/>
      <c r="DD41" s="16"/>
      <c r="DE41" s="16"/>
      <c r="DF41" s="16"/>
      <c r="DG41" s="16"/>
      <c r="DH41" s="16"/>
      <c r="DI41" s="16"/>
      <c r="DJ41" s="16"/>
      <c r="DK41" s="16"/>
      <c r="DL41" s="16"/>
      <c r="DM41" s="16"/>
      <c r="DN41" s="16"/>
      <c r="DO41" s="16"/>
      <c r="DP41" s="16"/>
      <c r="DQ41" s="16"/>
      <c r="DR41" s="16"/>
      <c r="DS41" s="16"/>
      <c r="DT41" s="16"/>
      <c r="DU41" s="16"/>
      <c r="DV41" s="16"/>
      <c r="DW41" s="16"/>
      <c r="DX41" s="16"/>
      <c r="DY41" s="16"/>
      <c r="DZ41" s="16"/>
      <c r="EA41" s="16"/>
      <c r="EB41" s="16"/>
      <c r="EC41" s="16"/>
      <c r="ED41" s="16"/>
      <c r="EE41" s="16"/>
      <c r="EF41" s="16"/>
      <c r="EG41" s="16"/>
      <c r="EH41" s="16"/>
      <c r="EI41" s="16"/>
      <c r="EJ41" s="16"/>
      <c r="EK41" s="16"/>
      <c r="EL41" s="16"/>
      <c r="EM41" s="16"/>
      <c r="EN41" s="16"/>
      <c r="EO41" s="16"/>
      <c r="EP41" s="16"/>
      <c r="EQ41" s="16"/>
      <c r="ER41" s="16"/>
      <c r="ES41" s="16"/>
      <c r="ET41" s="16"/>
      <c r="EU41" s="16"/>
      <c r="EV41" s="16"/>
      <c r="EW41" s="16"/>
      <c r="EX41" s="16"/>
      <c r="EY41" s="16"/>
      <c r="EZ41" s="16"/>
      <c r="FA41" s="16"/>
      <c r="FB41" s="16"/>
      <c r="FC41" s="16"/>
      <c r="FD41" s="16"/>
      <c r="FE41" s="16"/>
      <c r="FF41" s="16"/>
      <c r="FG41" s="16"/>
      <c r="FH41" s="16"/>
      <c r="FI41" s="16"/>
      <c r="FJ41" s="16"/>
      <c r="FK41" s="16"/>
      <c r="FL41" s="16"/>
      <c r="FM41" s="16"/>
      <c r="FN41" s="16"/>
      <c r="FO41" s="16"/>
      <c r="FP41" s="16"/>
      <c r="FQ41" s="16"/>
      <c r="FR41" s="16"/>
      <c r="FS41" s="16"/>
      <c r="FT41" s="16"/>
      <c r="FU41" s="16"/>
      <c r="FV41" s="16"/>
      <c r="FW41" s="16"/>
      <c r="FX41" s="16"/>
      <c r="FY41" s="16"/>
      <c r="FZ41" s="16"/>
      <c r="GA41" s="16"/>
      <c r="GB41" s="16"/>
      <c r="GC41" s="16"/>
      <c r="GD41" s="16"/>
      <c r="GE41" s="16"/>
      <c r="GF41" s="16"/>
      <c r="GG41" s="16"/>
      <c r="GH41" s="16"/>
      <c r="GI41" s="16"/>
      <c r="GJ41" s="16"/>
      <c r="GK41" s="16"/>
      <c r="GL41" s="16"/>
      <c r="GM41" s="16"/>
      <c r="GN41" s="16"/>
      <c r="GO41" s="16"/>
      <c r="GP41" s="16"/>
      <c r="GQ41" s="16"/>
      <c r="GR41" s="16"/>
      <c r="GS41" s="16"/>
      <c r="GT41" s="16"/>
      <c r="GU41" s="16"/>
      <c r="GV41" s="16"/>
      <c r="GW41" s="16"/>
      <c r="GX41" s="16"/>
      <c r="GY41" s="16"/>
      <c r="GZ41" s="16"/>
      <c r="HA41" s="16"/>
      <c r="HB41" s="16"/>
      <c r="HC41" s="16"/>
      <c r="HD41" s="16"/>
      <c r="HE41" s="16"/>
      <c r="HF41" s="16"/>
      <c r="HG41" s="16"/>
      <c r="HH41" s="16"/>
      <c r="HI41" s="16"/>
      <c r="HJ41" s="16"/>
      <c r="HK41" s="16"/>
      <c r="HL41" s="16"/>
      <c r="HM41" s="16"/>
      <c r="HN41" s="16"/>
      <c r="HO41" s="16"/>
      <c r="HP41" s="16"/>
      <c r="HQ41" s="16"/>
      <c r="HR41" s="16"/>
      <c r="HS41" s="16"/>
      <c r="HT41" s="16"/>
      <c r="HU41" s="16"/>
      <c r="HV41" s="16"/>
      <c r="HW41" s="16"/>
      <c r="HX41" s="16"/>
      <c r="HY41" s="16"/>
      <c r="HZ41" s="16"/>
      <c r="IA41" s="16"/>
      <c r="IB41" s="16"/>
      <c r="IC41" s="16"/>
      <c r="ID41" s="16"/>
      <c r="IE41" s="16"/>
      <c r="IF41" s="16"/>
      <c r="IG41" s="16"/>
      <c r="IH41" s="16"/>
      <c r="II41" s="16"/>
      <c r="IJ41" s="16"/>
      <c r="IK41" s="16"/>
      <c r="IL41" s="16"/>
      <c r="IM41" s="16"/>
      <c r="IN41" s="16"/>
      <c r="IO41" s="16"/>
      <c r="IP41" s="16"/>
      <c r="IQ41" s="16"/>
      <c r="IR41" s="16"/>
      <c r="IS41" s="16"/>
      <c r="IT41" s="16"/>
      <c r="IU41" s="16"/>
      <c r="IV41" s="16"/>
      <c r="IW41" s="16"/>
      <c r="IX41" s="16"/>
      <c r="IY41" s="16"/>
      <c r="IZ41" s="16"/>
      <c r="JA41" s="16"/>
      <c r="JB41" s="16"/>
      <c r="JC41" s="16"/>
      <c r="JD41" s="16"/>
    </row>
    <row r="42" spans="1:264" ht="70.5" hidden="1" customHeight="1" x14ac:dyDescent="0.3">
      <c r="A42" s="15" t="s">
        <v>25</v>
      </c>
      <c r="B42" s="15" t="s">
        <v>64</v>
      </c>
      <c r="C42" s="15" t="s">
        <v>100</v>
      </c>
      <c r="D42" s="15" t="s">
        <v>19</v>
      </c>
      <c r="E42" s="70" t="s">
        <v>19</v>
      </c>
      <c r="F42" s="70" t="s">
        <v>19</v>
      </c>
      <c r="G42" s="15" t="s">
        <v>109</v>
      </c>
      <c r="H42" s="15" t="s">
        <v>109</v>
      </c>
      <c r="I42" s="18" t="s">
        <v>109</v>
      </c>
      <c r="J42" s="18" t="s">
        <v>109</v>
      </c>
      <c r="K42" s="18" t="s">
        <v>109</v>
      </c>
      <c r="L42" s="18" t="s">
        <v>109</v>
      </c>
      <c r="M42" s="15" t="s">
        <v>2883</v>
      </c>
      <c r="N42" s="4" t="s">
        <v>101</v>
      </c>
      <c r="O42" s="15"/>
      <c r="P42" s="4" t="s">
        <v>1477</v>
      </c>
      <c r="S42" s="15" t="e" cm="1">
        <f t="array" aca="1" ref="S42" ca="1">COMMONMARKETCOUNT(H42:AV42)</f>
        <v>#NAME?</v>
      </c>
      <c r="T42" s="6" t="e" cm="1">
        <f t="array" aca="1" ref="T42" ca="1">AUTOMATEDCOUNT(H42:AV42)</f>
        <v>#NAME?</v>
      </c>
      <c r="V42" s="15" t="s">
        <v>109</v>
      </c>
      <c r="W42" s="15" t="s">
        <v>109</v>
      </c>
      <c r="X42" s="70" t="s">
        <v>19</v>
      </c>
      <c r="Y42" s="70" t="s">
        <v>19</v>
      </c>
      <c r="Z42" s="70" t="s">
        <v>19</v>
      </c>
      <c r="AA42" s="18" t="s">
        <v>109</v>
      </c>
      <c r="AB42" s="18" t="s">
        <v>109</v>
      </c>
      <c r="AC42" s="18" t="s">
        <v>109</v>
      </c>
      <c r="AD42" s="18" t="s">
        <v>19</v>
      </c>
      <c r="AE42" s="18" t="s">
        <v>19</v>
      </c>
      <c r="AF42" s="18" t="s">
        <v>109</v>
      </c>
      <c r="AG42" s="18" t="s">
        <v>109</v>
      </c>
      <c r="AH42" s="18" t="s">
        <v>109</v>
      </c>
      <c r="AI42" s="18" t="s">
        <v>109</v>
      </c>
      <c r="AJ42" s="18" t="s">
        <v>109</v>
      </c>
      <c r="AK42" s="18" t="s">
        <v>109</v>
      </c>
      <c r="AL42" s="18" t="s">
        <v>109</v>
      </c>
      <c r="AM42" s="18" t="s">
        <v>109</v>
      </c>
      <c r="AN42" s="18" t="s">
        <v>109</v>
      </c>
      <c r="AO42" s="18" t="s">
        <v>109</v>
      </c>
      <c r="AP42" s="18" t="s">
        <v>109</v>
      </c>
      <c r="AQ42" s="18" t="s">
        <v>109</v>
      </c>
      <c r="AR42" s="18" t="s">
        <v>109</v>
      </c>
      <c r="AS42" s="18" t="s">
        <v>109</v>
      </c>
      <c r="AT42" s="18" t="s">
        <v>109</v>
      </c>
      <c r="AU42" s="18" t="s">
        <v>109</v>
      </c>
      <c r="AV42" s="36" t="s">
        <v>109</v>
      </c>
    </row>
    <row r="43" spans="1:264" ht="87.75" hidden="1" customHeight="1" x14ac:dyDescent="0.3">
      <c r="A43" s="15" t="s">
        <v>25</v>
      </c>
      <c r="B43" s="15" t="s">
        <v>64</v>
      </c>
      <c r="C43" s="15" t="s">
        <v>102</v>
      </c>
      <c r="D43" s="15" t="s">
        <v>19</v>
      </c>
      <c r="E43" s="70" t="s">
        <v>19</v>
      </c>
      <c r="F43" s="70" t="s">
        <v>19</v>
      </c>
      <c r="G43" s="15" t="s">
        <v>109</v>
      </c>
      <c r="H43" s="15" t="s">
        <v>109</v>
      </c>
      <c r="I43" s="18" t="s">
        <v>109</v>
      </c>
      <c r="J43" s="18" t="s">
        <v>109</v>
      </c>
      <c r="K43" s="18" t="s">
        <v>109</v>
      </c>
      <c r="L43" s="18" t="s">
        <v>109</v>
      </c>
      <c r="M43" s="15" t="s">
        <v>2884</v>
      </c>
      <c r="N43" s="4" t="s">
        <v>103</v>
      </c>
      <c r="O43" s="15"/>
      <c r="P43" s="4" t="s">
        <v>104</v>
      </c>
      <c r="S43" s="15" t="e" cm="1">
        <f t="array" aca="1" ref="S43" ca="1">COMMONMARKETCOUNT(H43:AV43)</f>
        <v>#NAME?</v>
      </c>
      <c r="T43" s="6" t="e" cm="1">
        <f t="array" aca="1" ref="T43" ca="1">AUTOMATEDCOUNT(H43:AV43)</f>
        <v>#NAME?</v>
      </c>
      <c r="V43" s="15" t="s">
        <v>109</v>
      </c>
      <c r="W43" s="15" t="s">
        <v>109</v>
      </c>
      <c r="X43" s="70" t="s">
        <v>19</v>
      </c>
      <c r="Y43" s="70" t="s">
        <v>19</v>
      </c>
      <c r="Z43" s="70" t="s">
        <v>19</v>
      </c>
      <c r="AA43" s="18" t="s">
        <v>109</v>
      </c>
      <c r="AB43" s="18" t="s">
        <v>109</v>
      </c>
      <c r="AC43" s="18" t="s">
        <v>109</v>
      </c>
      <c r="AD43" s="18" t="s">
        <v>109</v>
      </c>
      <c r="AE43" s="18" t="s">
        <v>109</v>
      </c>
      <c r="AF43" s="18" t="s">
        <v>109</v>
      </c>
      <c r="AG43" s="18" t="s">
        <v>109</v>
      </c>
      <c r="AH43" s="18" t="s">
        <v>109</v>
      </c>
      <c r="AI43" s="18" t="s">
        <v>109</v>
      </c>
      <c r="AJ43" s="18" t="s">
        <v>109</v>
      </c>
      <c r="AK43" s="18" t="s">
        <v>109</v>
      </c>
      <c r="AL43" s="18" t="s">
        <v>109</v>
      </c>
      <c r="AM43" s="18" t="s">
        <v>109</v>
      </c>
      <c r="AN43" s="18" t="s">
        <v>109</v>
      </c>
      <c r="AO43" s="18" t="s">
        <v>109</v>
      </c>
      <c r="AP43" s="18" t="s">
        <v>109</v>
      </c>
      <c r="AQ43" s="18" t="s">
        <v>109</v>
      </c>
      <c r="AR43" s="18" t="s">
        <v>109</v>
      </c>
      <c r="AS43" s="18" t="s">
        <v>109</v>
      </c>
      <c r="AT43" s="18" t="s">
        <v>109</v>
      </c>
      <c r="AU43" s="18" t="s">
        <v>109</v>
      </c>
      <c r="AV43" s="36" t="s">
        <v>109</v>
      </c>
    </row>
    <row r="44" spans="1:264" s="5" customFormat="1" ht="99.75" hidden="1" customHeight="1" x14ac:dyDescent="0.3">
      <c r="A44" s="15" t="s">
        <v>25</v>
      </c>
      <c r="B44" s="15" t="s">
        <v>64</v>
      </c>
      <c r="C44" s="15" t="s">
        <v>105</v>
      </c>
      <c r="D44" s="15" t="s">
        <v>19</v>
      </c>
      <c r="E44" s="70" t="s">
        <v>19</v>
      </c>
      <c r="F44" s="70" t="s">
        <v>19</v>
      </c>
      <c r="G44" s="15" t="s">
        <v>109</v>
      </c>
      <c r="H44" s="15" t="s">
        <v>109</v>
      </c>
      <c r="I44" s="18" t="s">
        <v>109</v>
      </c>
      <c r="J44" s="18" t="s">
        <v>109</v>
      </c>
      <c r="K44" s="18" t="s">
        <v>109</v>
      </c>
      <c r="L44" s="18" t="s">
        <v>109</v>
      </c>
      <c r="M44" s="15" t="s">
        <v>2378</v>
      </c>
      <c r="N44" s="4" t="s">
        <v>106</v>
      </c>
      <c r="O44" s="15"/>
      <c r="P44" s="4" t="s">
        <v>1686</v>
      </c>
      <c r="S44" s="15" t="e" cm="1">
        <f t="array" aca="1" ref="S44" ca="1">COMMONMARKETCOUNT(H44:AV44)</f>
        <v>#NAME?</v>
      </c>
      <c r="T44" s="6" t="e" cm="1">
        <f t="array" aca="1" ref="T44" ca="1">AUTOMATEDCOUNT(H44:AV44)</f>
        <v>#NAME?</v>
      </c>
      <c r="V44" s="15" t="s">
        <v>109</v>
      </c>
      <c r="W44" s="15" t="s">
        <v>109</v>
      </c>
      <c r="X44" s="70" t="s">
        <v>19</v>
      </c>
      <c r="Y44" s="70" t="s">
        <v>19</v>
      </c>
      <c r="Z44" s="70" t="s">
        <v>19</v>
      </c>
      <c r="AA44" s="18" t="s">
        <v>109</v>
      </c>
      <c r="AB44" s="18" t="s">
        <v>109</v>
      </c>
      <c r="AC44" s="18" t="s">
        <v>109</v>
      </c>
      <c r="AD44" s="18" t="s">
        <v>109</v>
      </c>
      <c r="AE44" s="18" t="s">
        <v>109</v>
      </c>
      <c r="AF44" s="18" t="s">
        <v>109</v>
      </c>
      <c r="AG44" s="18" t="s">
        <v>109</v>
      </c>
      <c r="AH44" s="18" t="s">
        <v>109</v>
      </c>
      <c r="AI44" s="18" t="s">
        <v>109</v>
      </c>
      <c r="AJ44" s="18" t="s">
        <v>109</v>
      </c>
      <c r="AK44" s="18" t="s">
        <v>109</v>
      </c>
      <c r="AL44" s="18" t="s">
        <v>109</v>
      </c>
      <c r="AM44" s="18" t="s">
        <v>109</v>
      </c>
      <c r="AN44" s="18" t="s">
        <v>109</v>
      </c>
      <c r="AO44" s="18" t="s">
        <v>109</v>
      </c>
      <c r="AP44" s="18" t="s">
        <v>109</v>
      </c>
      <c r="AQ44" s="18" t="s">
        <v>109</v>
      </c>
      <c r="AR44" s="18" t="s">
        <v>109</v>
      </c>
      <c r="AS44" s="18" t="s">
        <v>109</v>
      </c>
      <c r="AT44" s="18" t="s">
        <v>109</v>
      </c>
      <c r="AU44" s="18" t="s">
        <v>109</v>
      </c>
      <c r="AV44" s="36" t="s">
        <v>109</v>
      </c>
    </row>
    <row r="45" spans="1:264" ht="70.5" hidden="1" customHeight="1" x14ac:dyDescent="0.3">
      <c r="A45" s="15" t="s">
        <v>25</v>
      </c>
      <c r="B45" s="15" t="s">
        <v>64</v>
      </c>
      <c r="C45" s="15" t="s">
        <v>107</v>
      </c>
      <c r="D45" s="15" t="s">
        <v>19</v>
      </c>
      <c r="E45" s="70" t="s">
        <v>19</v>
      </c>
      <c r="F45" s="70" t="s">
        <v>19</v>
      </c>
      <c r="G45" s="15" t="s">
        <v>109</v>
      </c>
      <c r="H45" s="15" t="s">
        <v>109</v>
      </c>
      <c r="I45" s="18" t="s">
        <v>109</v>
      </c>
      <c r="J45" s="18" t="s">
        <v>109</v>
      </c>
      <c r="K45" s="18" t="s">
        <v>109</v>
      </c>
      <c r="L45" s="18" t="s">
        <v>109</v>
      </c>
      <c r="M45" s="15" t="s">
        <v>2375</v>
      </c>
      <c r="N45" s="4" t="s">
        <v>108</v>
      </c>
      <c r="O45" s="15"/>
      <c r="P45" s="4" t="s">
        <v>1006</v>
      </c>
      <c r="S45" s="15" t="e" cm="1">
        <f t="array" aca="1" ref="S45" ca="1">COMMONMARKETCOUNT(H45:AV45)</f>
        <v>#NAME?</v>
      </c>
      <c r="T45" s="6" t="e" cm="1">
        <f t="array" aca="1" ref="T45" ca="1">AUTOMATEDCOUNT(H45:AV45)</f>
        <v>#NAME?</v>
      </c>
      <c r="V45" s="15" t="s">
        <v>109</v>
      </c>
      <c r="W45" s="15" t="s">
        <v>109</v>
      </c>
      <c r="X45" s="15" t="s">
        <v>109</v>
      </c>
      <c r="Y45" s="15" t="s">
        <v>109</v>
      </c>
      <c r="Z45" s="70" t="s">
        <v>19</v>
      </c>
      <c r="AA45" s="18" t="s">
        <v>109</v>
      </c>
      <c r="AB45" s="18" t="s">
        <v>109</v>
      </c>
      <c r="AC45" s="18" t="s">
        <v>109</v>
      </c>
      <c r="AD45" s="18" t="s">
        <v>109</v>
      </c>
      <c r="AE45" s="18" t="s">
        <v>109</v>
      </c>
      <c r="AF45" s="18" t="s">
        <v>109</v>
      </c>
      <c r="AG45" s="18" t="s">
        <v>109</v>
      </c>
      <c r="AH45" s="18" t="s">
        <v>109</v>
      </c>
      <c r="AI45" s="18" t="s">
        <v>109</v>
      </c>
      <c r="AJ45" s="18" t="s">
        <v>109</v>
      </c>
      <c r="AK45" s="18" t="s">
        <v>109</v>
      </c>
      <c r="AL45" s="18" t="s">
        <v>109</v>
      </c>
      <c r="AM45" s="18" t="s">
        <v>109</v>
      </c>
      <c r="AN45" s="18" t="s">
        <v>109</v>
      </c>
      <c r="AO45" s="18" t="s">
        <v>109</v>
      </c>
      <c r="AP45" s="18" t="s">
        <v>109</v>
      </c>
      <c r="AQ45" s="18" t="s">
        <v>109</v>
      </c>
      <c r="AR45" s="18" t="s">
        <v>109</v>
      </c>
      <c r="AS45" s="18" t="s">
        <v>109</v>
      </c>
      <c r="AT45" s="18" t="s">
        <v>109</v>
      </c>
      <c r="AU45" s="18" t="s">
        <v>109</v>
      </c>
      <c r="AV45" s="36" t="s">
        <v>109</v>
      </c>
    </row>
    <row r="46" spans="1:264" s="5" customFormat="1" ht="70.5" hidden="1" customHeight="1" x14ac:dyDescent="0.3">
      <c r="A46" s="15" t="s">
        <v>25</v>
      </c>
      <c r="B46" s="15" t="s">
        <v>64</v>
      </c>
      <c r="C46" s="15" t="s">
        <v>110</v>
      </c>
      <c r="D46" s="15" t="s">
        <v>19</v>
      </c>
      <c r="E46" s="20" t="s">
        <v>19</v>
      </c>
      <c r="F46" s="20" t="s">
        <v>19</v>
      </c>
      <c r="G46" s="15" t="s">
        <v>109</v>
      </c>
      <c r="H46" s="15" t="s">
        <v>109</v>
      </c>
      <c r="I46" s="18" t="s">
        <v>109</v>
      </c>
      <c r="J46" s="18" t="s">
        <v>109</v>
      </c>
      <c r="K46" s="18" t="s">
        <v>109</v>
      </c>
      <c r="L46" s="18" t="s">
        <v>109</v>
      </c>
      <c r="M46" s="15" t="s">
        <v>2375</v>
      </c>
      <c r="N46" s="4" t="s">
        <v>111</v>
      </c>
      <c r="O46" s="15"/>
      <c r="P46" s="4" t="s">
        <v>1478</v>
      </c>
      <c r="S46" s="15" t="e" cm="1">
        <f t="array" aca="1" ref="S46" ca="1">COMMONMARKETCOUNT(H46:AV46)</f>
        <v>#NAME?</v>
      </c>
      <c r="T46" s="6" t="e" cm="1">
        <f t="array" aca="1" ref="T46" ca="1">AUTOMATEDCOUNT(H46:AV46)</f>
        <v>#NAME?</v>
      </c>
      <c r="V46" s="15" t="s">
        <v>109</v>
      </c>
      <c r="W46" s="15" t="s">
        <v>109</v>
      </c>
      <c r="X46" s="20" t="s">
        <v>19</v>
      </c>
      <c r="Y46" s="20" t="s">
        <v>19</v>
      </c>
      <c r="Z46" s="20" t="s">
        <v>19</v>
      </c>
      <c r="AA46" s="18" t="s">
        <v>109</v>
      </c>
      <c r="AB46" s="18" t="s">
        <v>109</v>
      </c>
      <c r="AC46" s="18" t="s">
        <v>109</v>
      </c>
      <c r="AD46" s="18" t="s">
        <v>109</v>
      </c>
      <c r="AE46" s="18" t="s">
        <v>109</v>
      </c>
      <c r="AF46" s="18" t="s">
        <v>109</v>
      </c>
      <c r="AG46" s="18" t="s">
        <v>109</v>
      </c>
      <c r="AH46" s="18" t="s">
        <v>109</v>
      </c>
      <c r="AI46" s="18" t="s">
        <v>109</v>
      </c>
      <c r="AJ46" s="18" t="s">
        <v>109</v>
      </c>
      <c r="AK46" s="18" t="s">
        <v>109</v>
      </c>
      <c r="AL46" s="18" t="s">
        <v>109</v>
      </c>
      <c r="AM46" s="18" t="s">
        <v>109</v>
      </c>
      <c r="AN46" s="18" t="s">
        <v>109</v>
      </c>
      <c r="AO46" s="18" t="s">
        <v>109</v>
      </c>
      <c r="AP46" s="18" t="s">
        <v>109</v>
      </c>
      <c r="AQ46" s="18" t="s">
        <v>109</v>
      </c>
      <c r="AR46" s="18" t="s">
        <v>109</v>
      </c>
      <c r="AS46" s="18" t="s">
        <v>109</v>
      </c>
      <c r="AT46" s="18" t="s">
        <v>109</v>
      </c>
      <c r="AU46" s="18" t="s">
        <v>109</v>
      </c>
      <c r="AV46" s="36" t="s">
        <v>109</v>
      </c>
      <c r="AW46" s="16"/>
      <c r="AX46" s="16"/>
      <c r="AY46" s="16"/>
      <c r="AZ46" s="16"/>
      <c r="BA46" s="16"/>
      <c r="BB46" s="16"/>
      <c r="BC46" s="16"/>
      <c r="BD46" s="16"/>
      <c r="BE46" s="16"/>
      <c r="BF46" s="16"/>
      <c r="BG46" s="16"/>
      <c r="BH46" s="16"/>
      <c r="BI46" s="16"/>
      <c r="BJ46" s="16"/>
      <c r="BK46" s="16"/>
      <c r="BL46" s="16"/>
      <c r="BM46" s="16"/>
      <c r="BN46" s="16"/>
      <c r="BO46" s="16"/>
      <c r="BP46" s="16"/>
      <c r="BQ46" s="16"/>
      <c r="BR46" s="16"/>
      <c r="BS46" s="16"/>
      <c r="BT46" s="16"/>
      <c r="BU46" s="16"/>
      <c r="BV46" s="16"/>
      <c r="BW46" s="16"/>
      <c r="BX46" s="16"/>
      <c r="BY46" s="16"/>
      <c r="BZ46" s="16"/>
      <c r="CA46" s="16"/>
      <c r="CB46" s="16"/>
      <c r="CC46" s="16"/>
      <c r="CD46" s="16"/>
      <c r="CE46" s="16"/>
      <c r="CF46" s="16"/>
      <c r="CG46" s="16"/>
      <c r="CH46" s="16"/>
      <c r="CI46" s="16"/>
      <c r="CJ46" s="16"/>
      <c r="CK46" s="16"/>
      <c r="CL46" s="16"/>
      <c r="CM46" s="16"/>
      <c r="CN46" s="16"/>
      <c r="CO46" s="16"/>
      <c r="CP46" s="16"/>
      <c r="CQ46" s="16"/>
      <c r="CR46" s="16"/>
      <c r="CS46" s="16"/>
      <c r="CT46" s="16"/>
      <c r="CU46" s="16"/>
      <c r="CV46" s="16"/>
      <c r="CW46" s="16"/>
      <c r="CX46" s="16"/>
      <c r="CY46" s="16"/>
      <c r="CZ46" s="16"/>
      <c r="DA46" s="16"/>
      <c r="DB46" s="16"/>
      <c r="DC46" s="16"/>
      <c r="DD46" s="16"/>
      <c r="DE46" s="16"/>
      <c r="DF46" s="16"/>
      <c r="DG46" s="16"/>
      <c r="DH46" s="16"/>
      <c r="DI46" s="16"/>
      <c r="DJ46" s="16"/>
      <c r="DK46" s="16"/>
      <c r="DL46" s="16"/>
      <c r="DM46" s="16"/>
      <c r="DN46" s="16"/>
      <c r="DO46" s="16"/>
      <c r="DP46" s="16"/>
      <c r="DQ46" s="16"/>
      <c r="DR46" s="16"/>
      <c r="DS46" s="16"/>
      <c r="DT46" s="16"/>
      <c r="DU46" s="16"/>
      <c r="DV46" s="16"/>
      <c r="DW46" s="16"/>
      <c r="DX46" s="16"/>
      <c r="DY46" s="16"/>
      <c r="DZ46" s="16"/>
      <c r="EA46" s="16"/>
      <c r="EB46" s="16"/>
      <c r="EC46" s="16"/>
      <c r="ED46" s="16"/>
      <c r="EE46" s="16"/>
      <c r="EF46" s="16"/>
      <c r="EG46" s="16"/>
      <c r="EH46" s="16"/>
      <c r="EI46" s="16"/>
      <c r="EJ46" s="16"/>
      <c r="EK46" s="16"/>
      <c r="EL46" s="16"/>
      <c r="EM46" s="16"/>
      <c r="EN46" s="16"/>
      <c r="EO46" s="16"/>
      <c r="EP46" s="16"/>
      <c r="EQ46" s="16"/>
      <c r="ER46" s="16"/>
      <c r="ES46" s="16"/>
      <c r="ET46" s="16"/>
      <c r="EU46" s="16"/>
      <c r="EV46" s="16"/>
      <c r="EW46" s="16"/>
      <c r="EX46" s="16"/>
      <c r="EY46" s="16"/>
      <c r="EZ46" s="16"/>
      <c r="FA46" s="16"/>
      <c r="FB46" s="16"/>
      <c r="FC46" s="16"/>
      <c r="FD46" s="16"/>
      <c r="FE46" s="16"/>
      <c r="FF46" s="16"/>
      <c r="FG46" s="16"/>
      <c r="FH46" s="16"/>
      <c r="FI46" s="16"/>
      <c r="FJ46" s="16"/>
      <c r="FK46" s="16"/>
      <c r="FL46" s="16"/>
      <c r="FM46" s="16"/>
      <c r="FN46" s="16"/>
      <c r="FO46" s="16"/>
      <c r="FP46" s="16"/>
      <c r="FQ46" s="16"/>
      <c r="FR46" s="16"/>
      <c r="FS46" s="16"/>
      <c r="FT46" s="16"/>
      <c r="FU46" s="16"/>
      <c r="FV46" s="16"/>
      <c r="FW46" s="16"/>
      <c r="FX46" s="16"/>
      <c r="FY46" s="16"/>
      <c r="FZ46" s="16"/>
      <c r="GA46" s="16"/>
      <c r="GB46" s="16"/>
      <c r="GC46" s="16"/>
      <c r="GD46" s="16"/>
      <c r="GE46" s="16"/>
      <c r="GF46" s="16"/>
      <c r="GG46" s="16"/>
      <c r="GH46" s="16"/>
      <c r="GI46" s="16"/>
      <c r="GJ46" s="16"/>
      <c r="GK46" s="16"/>
      <c r="GL46" s="16"/>
      <c r="GM46" s="16"/>
      <c r="GN46" s="16"/>
      <c r="GO46" s="16"/>
      <c r="GP46" s="16"/>
      <c r="GQ46" s="16"/>
      <c r="GR46" s="16"/>
      <c r="GS46" s="16"/>
      <c r="GT46" s="16"/>
      <c r="GU46" s="16"/>
      <c r="GV46" s="16"/>
      <c r="GW46" s="16"/>
      <c r="GX46" s="16"/>
      <c r="GY46" s="16"/>
      <c r="GZ46" s="16"/>
      <c r="HA46" s="16"/>
      <c r="HB46" s="16"/>
      <c r="HC46" s="16"/>
      <c r="HD46" s="16"/>
      <c r="HE46" s="16"/>
      <c r="HF46" s="16"/>
      <c r="HG46" s="16"/>
      <c r="HH46" s="16"/>
      <c r="HI46" s="16"/>
      <c r="HJ46" s="16"/>
      <c r="HK46" s="16"/>
      <c r="HL46" s="16"/>
      <c r="HM46" s="16"/>
      <c r="HN46" s="16"/>
      <c r="HO46" s="16"/>
      <c r="HP46" s="16"/>
      <c r="HQ46" s="16"/>
      <c r="HR46" s="16"/>
      <c r="HS46" s="16"/>
      <c r="HT46" s="16"/>
      <c r="HU46" s="16"/>
      <c r="HV46" s="16"/>
      <c r="HW46" s="16"/>
      <c r="HX46" s="16"/>
      <c r="HY46" s="16"/>
      <c r="HZ46" s="16"/>
      <c r="IA46" s="16"/>
      <c r="IB46" s="16"/>
      <c r="IC46" s="16"/>
      <c r="ID46" s="16"/>
      <c r="IE46" s="16"/>
      <c r="IF46" s="16"/>
      <c r="IG46" s="16"/>
      <c r="IH46" s="16"/>
      <c r="II46" s="16"/>
      <c r="IJ46" s="16"/>
      <c r="IK46" s="16"/>
      <c r="IL46" s="16"/>
      <c r="IM46" s="16"/>
      <c r="IN46" s="16"/>
      <c r="IO46" s="16"/>
      <c r="IP46" s="16"/>
      <c r="IQ46" s="16"/>
      <c r="IR46" s="16"/>
      <c r="IS46" s="16"/>
      <c r="IT46" s="16"/>
      <c r="IU46" s="16"/>
      <c r="IV46" s="16"/>
      <c r="IW46" s="16"/>
      <c r="IX46" s="16"/>
      <c r="IY46" s="16"/>
      <c r="IZ46" s="16"/>
      <c r="JA46" s="16"/>
      <c r="JB46" s="16"/>
      <c r="JC46" s="16"/>
      <c r="JD46" s="16"/>
    </row>
    <row r="47" spans="1:264" ht="70.5" hidden="1" customHeight="1" x14ac:dyDescent="0.3">
      <c r="A47" s="15" t="s">
        <v>25</v>
      </c>
      <c r="B47" s="15" t="s">
        <v>64</v>
      </c>
      <c r="C47" s="15" t="s">
        <v>112</v>
      </c>
      <c r="D47" s="15" t="s">
        <v>19</v>
      </c>
      <c r="E47" s="20" t="s">
        <v>19</v>
      </c>
      <c r="F47" s="20" t="s">
        <v>19</v>
      </c>
      <c r="G47" s="15" t="s">
        <v>109</v>
      </c>
      <c r="H47" s="15" t="s">
        <v>109</v>
      </c>
      <c r="I47" s="18" t="s">
        <v>109</v>
      </c>
      <c r="J47" s="18" t="s">
        <v>109</v>
      </c>
      <c r="K47" s="18" t="s">
        <v>109</v>
      </c>
      <c r="L47" s="18" t="s">
        <v>109</v>
      </c>
      <c r="M47" s="15" t="s">
        <v>2376</v>
      </c>
      <c r="N47" s="4" t="s">
        <v>113</v>
      </c>
      <c r="O47" s="15"/>
      <c r="P47" s="4" t="s">
        <v>1479</v>
      </c>
      <c r="S47" s="15" t="e" cm="1">
        <f t="array" aca="1" ref="S47" ca="1">COMMONMARKETCOUNT(H47:AV47)</f>
        <v>#NAME?</v>
      </c>
      <c r="T47" s="6" t="e" cm="1">
        <f t="array" aca="1" ref="T47" ca="1">AUTOMATEDCOUNT(H47:AV47)</f>
        <v>#NAME?</v>
      </c>
      <c r="V47" s="15" t="s">
        <v>109</v>
      </c>
      <c r="W47" s="15" t="s">
        <v>109</v>
      </c>
      <c r="X47" s="20" t="s">
        <v>19</v>
      </c>
      <c r="Y47" s="20" t="s">
        <v>19</v>
      </c>
      <c r="Z47" s="20" t="s">
        <v>19</v>
      </c>
      <c r="AA47" s="18" t="s">
        <v>109</v>
      </c>
      <c r="AB47" s="18" t="s">
        <v>109</v>
      </c>
      <c r="AC47" s="18" t="s">
        <v>109</v>
      </c>
      <c r="AD47" s="18" t="s">
        <v>109</v>
      </c>
      <c r="AE47" s="18" t="s">
        <v>109</v>
      </c>
      <c r="AF47" s="18" t="s">
        <v>109</v>
      </c>
      <c r="AG47" s="18" t="s">
        <v>109</v>
      </c>
      <c r="AH47" s="18" t="s">
        <v>109</v>
      </c>
      <c r="AI47" s="18" t="s">
        <v>109</v>
      </c>
      <c r="AJ47" s="18" t="s">
        <v>109</v>
      </c>
      <c r="AK47" s="18" t="s">
        <v>109</v>
      </c>
      <c r="AL47" s="18" t="s">
        <v>109</v>
      </c>
      <c r="AM47" s="18" t="s">
        <v>109</v>
      </c>
      <c r="AN47" s="18" t="s">
        <v>109</v>
      </c>
      <c r="AO47" s="18" t="s">
        <v>109</v>
      </c>
      <c r="AP47" s="18" t="s">
        <v>109</v>
      </c>
      <c r="AQ47" s="18" t="s">
        <v>109</v>
      </c>
      <c r="AR47" s="18" t="s">
        <v>109</v>
      </c>
      <c r="AS47" s="18" t="s">
        <v>109</v>
      </c>
      <c r="AT47" s="18" t="s">
        <v>109</v>
      </c>
      <c r="AU47" s="18" t="s">
        <v>109</v>
      </c>
      <c r="AV47" s="36" t="s">
        <v>109</v>
      </c>
    </row>
    <row r="48" spans="1:264" s="5" customFormat="1" ht="70.5" hidden="1" customHeight="1" x14ac:dyDescent="0.3">
      <c r="A48" s="15" t="s">
        <v>25</v>
      </c>
      <c r="B48" s="15" t="s">
        <v>64</v>
      </c>
      <c r="C48" s="15" t="s">
        <v>114</v>
      </c>
      <c r="D48" s="15" t="s">
        <v>19</v>
      </c>
      <c r="E48" s="70" t="s">
        <v>19</v>
      </c>
      <c r="F48" s="70" t="s">
        <v>19</v>
      </c>
      <c r="G48" s="15" t="s">
        <v>109</v>
      </c>
      <c r="H48" s="15" t="s">
        <v>109</v>
      </c>
      <c r="I48" s="18" t="s">
        <v>109</v>
      </c>
      <c r="J48" s="18" t="s">
        <v>109</v>
      </c>
      <c r="K48" s="18" t="s">
        <v>109</v>
      </c>
      <c r="L48" s="18" t="s">
        <v>109</v>
      </c>
      <c r="M48" s="15" t="s">
        <v>2885</v>
      </c>
      <c r="N48" s="4" t="s">
        <v>115</v>
      </c>
      <c r="O48" s="15"/>
      <c r="P48" s="4" t="s">
        <v>1007</v>
      </c>
      <c r="S48" s="15" t="e" cm="1">
        <f t="array" aca="1" ref="S48" ca="1">COMMONMARKETCOUNT(H48:AV48)</f>
        <v>#NAME?</v>
      </c>
      <c r="T48" s="6" t="e" cm="1">
        <f t="array" aca="1" ref="T48" ca="1">AUTOMATEDCOUNT(H48:AV48)</f>
        <v>#NAME?</v>
      </c>
      <c r="V48" s="15" t="s">
        <v>109</v>
      </c>
      <c r="W48" s="15" t="s">
        <v>109</v>
      </c>
      <c r="X48" s="70" t="s">
        <v>19</v>
      </c>
      <c r="Y48" s="70" t="s">
        <v>19</v>
      </c>
      <c r="Z48" s="70" t="s">
        <v>19</v>
      </c>
      <c r="AA48" s="18" t="s">
        <v>109</v>
      </c>
      <c r="AB48" s="18" t="s">
        <v>109</v>
      </c>
      <c r="AC48" s="18" t="s">
        <v>109</v>
      </c>
      <c r="AD48" s="18" t="s">
        <v>109</v>
      </c>
      <c r="AE48" s="18" t="s">
        <v>109</v>
      </c>
      <c r="AF48" s="18" t="s">
        <v>109</v>
      </c>
      <c r="AG48" s="18" t="s">
        <v>109</v>
      </c>
      <c r="AH48" s="18" t="s">
        <v>109</v>
      </c>
      <c r="AI48" s="18" t="s">
        <v>109</v>
      </c>
      <c r="AJ48" s="18" t="s">
        <v>109</v>
      </c>
      <c r="AK48" s="18" t="s">
        <v>109</v>
      </c>
      <c r="AL48" s="18" t="s">
        <v>109</v>
      </c>
      <c r="AM48" s="18" t="s">
        <v>109</v>
      </c>
      <c r="AN48" s="18" t="s">
        <v>109</v>
      </c>
      <c r="AO48" s="18" t="s">
        <v>109</v>
      </c>
      <c r="AP48" s="18" t="s">
        <v>109</v>
      </c>
      <c r="AQ48" s="18" t="s">
        <v>109</v>
      </c>
      <c r="AR48" s="18" t="s">
        <v>109</v>
      </c>
      <c r="AS48" s="18" t="s">
        <v>109</v>
      </c>
      <c r="AT48" s="18" t="s">
        <v>109</v>
      </c>
      <c r="AU48" s="18" t="s">
        <v>109</v>
      </c>
      <c r="AV48" s="36" t="s">
        <v>109</v>
      </c>
      <c r="AW48" s="16"/>
      <c r="AX48" s="16"/>
      <c r="AY48" s="16"/>
      <c r="AZ48" s="16"/>
      <c r="BA48" s="16"/>
      <c r="BB48" s="16"/>
      <c r="BC48" s="16"/>
      <c r="BD48" s="16"/>
      <c r="BE48" s="16"/>
      <c r="BF48" s="16"/>
      <c r="BG48" s="16"/>
      <c r="BH48" s="16"/>
      <c r="BI48" s="16"/>
      <c r="BJ48" s="16"/>
      <c r="BK48" s="16"/>
      <c r="BL48" s="16"/>
      <c r="BM48" s="16"/>
      <c r="BN48" s="16"/>
      <c r="BO48" s="16"/>
      <c r="BP48" s="16"/>
      <c r="BQ48" s="16"/>
      <c r="BR48" s="16"/>
      <c r="BS48" s="16"/>
      <c r="BT48" s="16"/>
      <c r="BU48" s="16"/>
      <c r="BV48" s="16"/>
      <c r="BW48" s="16"/>
      <c r="BX48" s="16"/>
      <c r="BY48" s="16"/>
      <c r="BZ48" s="16"/>
      <c r="CA48" s="16"/>
      <c r="CB48" s="16"/>
      <c r="CC48" s="16"/>
      <c r="CD48" s="16"/>
      <c r="CE48" s="16"/>
      <c r="CF48" s="16"/>
      <c r="CG48" s="16"/>
      <c r="CH48" s="16"/>
      <c r="CI48" s="16"/>
      <c r="CJ48" s="16"/>
      <c r="CK48" s="16"/>
      <c r="CL48" s="16"/>
      <c r="CM48" s="16"/>
      <c r="CN48" s="16"/>
      <c r="CO48" s="16"/>
      <c r="CP48" s="16"/>
      <c r="CQ48" s="16"/>
      <c r="CR48" s="16"/>
      <c r="CS48" s="16"/>
      <c r="CT48" s="16"/>
      <c r="CU48" s="16"/>
      <c r="CV48" s="16"/>
      <c r="CW48" s="16"/>
      <c r="CX48" s="16"/>
      <c r="CY48" s="16"/>
      <c r="CZ48" s="16"/>
      <c r="DA48" s="16"/>
      <c r="DB48" s="16"/>
      <c r="DC48" s="16"/>
      <c r="DD48" s="16"/>
      <c r="DE48" s="16"/>
      <c r="DF48" s="16"/>
      <c r="DG48" s="16"/>
      <c r="DH48" s="16"/>
      <c r="DI48" s="16"/>
      <c r="DJ48" s="16"/>
      <c r="DK48" s="16"/>
      <c r="DL48" s="16"/>
      <c r="DM48" s="16"/>
      <c r="DN48" s="16"/>
      <c r="DO48" s="16"/>
      <c r="DP48" s="16"/>
      <c r="DQ48" s="16"/>
      <c r="DR48" s="16"/>
      <c r="DS48" s="16"/>
      <c r="DT48" s="16"/>
      <c r="DU48" s="16"/>
      <c r="DV48" s="16"/>
      <c r="DW48" s="16"/>
      <c r="DX48" s="16"/>
      <c r="DY48" s="16"/>
      <c r="DZ48" s="16"/>
      <c r="EA48" s="16"/>
      <c r="EB48" s="16"/>
      <c r="EC48" s="16"/>
      <c r="ED48" s="16"/>
      <c r="EE48" s="16"/>
      <c r="EF48" s="16"/>
      <c r="EG48" s="16"/>
      <c r="EH48" s="16"/>
      <c r="EI48" s="16"/>
      <c r="EJ48" s="16"/>
      <c r="EK48" s="16"/>
      <c r="EL48" s="16"/>
      <c r="EM48" s="16"/>
      <c r="EN48" s="16"/>
      <c r="EO48" s="16"/>
      <c r="EP48" s="16"/>
      <c r="EQ48" s="16"/>
      <c r="ER48" s="16"/>
      <c r="ES48" s="16"/>
      <c r="ET48" s="16"/>
      <c r="EU48" s="16"/>
      <c r="EV48" s="16"/>
      <c r="EW48" s="16"/>
      <c r="EX48" s="16"/>
      <c r="EY48" s="16"/>
      <c r="EZ48" s="16"/>
      <c r="FA48" s="16"/>
      <c r="FB48" s="16"/>
      <c r="FC48" s="16"/>
      <c r="FD48" s="16"/>
      <c r="FE48" s="16"/>
      <c r="FF48" s="16"/>
      <c r="FG48" s="16"/>
      <c r="FH48" s="16"/>
      <c r="FI48" s="16"/>
      <c r="FJ48" s="16"/>
      <c r="FK48" s="16"/>
      <c r="FL48" s="16"/>
      <c r="FM48" s="16"/>
      <c r="FN48" s="16"/>
      <c r="FO48" s="16"/>
      <c r="FP48" s="16"/>
      <c r="FQ48" s="16"/>
      <c r="FR48" s="16"/>
      <c r="FS48" s="16"/>
      <c r="FT48" s="16"/>
      <c r="FU48" s="16"/>
      <c r="FV48" s="16"/>
      <c r="FW48" s="16"/>
      <c r="FX48" s="16"/>
      <c r="FY48" s="16"/>
      <c r="FZ48" s="16"/>
      <c r="GA48" s="16"/>
      <c r="GB48" s="16"/>
      <c r="GC48" s="16"/>
      <c r="GD48" s="16"/>
      <c r="GE48" s="16"/>
      <c r="GF48" s="16"/>
      <c r="GG48" s="16"/>
      <c r="GH48" s="16"/>
      <c r="GI48" s="16"/>
      <c r="GJ48" s="16"/>
      <c r="GK48" s="16"/>
      <c r="GL48" s="16"/>
      <c r="GM48" s="16"/>
      <c r="GN48" s="16"/>
      <c r="GO48" s="16"/>
      <c r="GP48" s="16"/>
      <c r="GQ48" s="16"/>
      <c r="GR48" s="16"/>
      <c r="GS48" s="16"/>
      <c r="GT48" s="16"/>
      <c r="GU48" s="16"/>
      <c r="GV48" s="16"/>
      <c r="GW48" s="16"/>
      <c r="GX48" s="16"/>
      <c r="GY48" s="16"/>
      <c r="GZ48" s="16"/>
      <c r="HA48" s="16"/>
      <c r="HB48" s="16"/>
      <c r="HC48" s="16"/>
      <c r="HD48" s="16"/>
      <c r="HE48" s="16"/>
      <c r="HF48" s="16"/>
      <c r="HG48" s="16"/>
      <c r="HH48" s="16"/>
      <c r="HI48" s="16"/>
      <c r="HJ48" s="16"/>
      <c r="HK48" s="16"/>
      <c r="HL48" s="16"/>
      <c r="HM48" s="16"/>
      <c r="HN48" s="16"/>
      <c r="HO48" s="16"/>
      <c r="HP48" s="16"/>
      <c r="HQ48" s="16"/>
      <c r="HR48" s="16"/>
      <c r="HS48" s="16"/>
      <c r="HT48" s="16"/>
      <c r="HU48" s="16"/>
      <c r="HV48" s="16"/>
      <c r="HW48" s="16"/>
      <c r="HX48" s="16"/>
      <c r="HY48" s="16"/>
      <c r="HZ48" s="16"/>
      <c r="IA48" s="16"/>
      <c r="IB48" s="16"/>
      <c r="IC48" s="16"/>
      <c r="ID48" s="16"/>
      <c r="IE48" s="16"/>
      <c r="IF48" s="16"/>
      <c r="IG48" s="16"/>
      <c r="IH48" s="16"/>
      <c r="II48" s="16"/>
      <c r="IJ48" s="16"/>
      <c r="IK48" s="16"/>
      <c r="IL48" s="16"/>
      <c r="IM48" s="16"/>
      <c r="IN48" s="16"/>
      <c r="IO48" s="16"/>
      <c r="IP48" s="16"/>
      <c r="IQ48" s="16"/>
      <c r="IR48" s="16"/>
      <c r="IS48" s="16"/>
      <c r="IT48" s="16"/>
      <c r="IU48" s="16"/>
      <c r="IV48" s="16"/>
      <c r="IW48" s="16"/>
      <c r="IX48" s="16"/>
      <c r="IY48" s="16"/>
      <c r="IZ48" s="16"/>
      <c r="JA48" s="16"/>
      <c r="JB48" s="16"/>
      <c r="JC48" s="16"/>
      <c r="JD48" s="16"/>
    </row>
    <row r="49" spans="1:264" s="5" customFormat="1" ht="70.5" hidden="1" customHeight="1" x14ac:dyDescent="0.3">
      <c r="A49" s="15" t="s">
        <v>25</v>
      </c>
      <c r="B49" s="15" t="s">
        <v>64</v>
      </c>
      <c r="C49" s="15" t="s">
        <v>116</v>
      </c>
      <c r="D49" s="15" t="s">
        <v>19</v>
      </c>
      <c r="E49" s="70" t="s">
        <v>19</v>
      </c>
      <c r="F49" s="70" t="s">
        <v>19</v>
      </c>
      <c r="G49" s="15" t="s">
        <v>109</v>
      </c>
      <c r="H49" s="15" t="s">
        <v>109</v>
      </c>
      <c r="I49" s="18" t="s">
        <v>109</v>
      </c>
      <c r="J49" s="18" t="s">
        <v>109</v>
      </c>
      <c r="K49" s="18" t="s">
        <v>109</v>
      </c>
      <c r="L49" s="18" t="s">
        <v>109</v>
      </c>
      <c r="M49" s="15" t="s">
        <v>2377</v>
      </c>
      <c r="N49" s="4" t="s">
        <v>117</v>
      </c>
      <c r="O49" s="15"/>
      <c r="P49" s="4" t="s">
        <v>1008</v>
      </c>
      <c r="S49" s="15" t="e" cm="1">
        <f t="array" aca="1" ref="S49" ca="1">COMMONMARKETCOUNT(H49:AV49)</f>
        <v>#NAME?</v>
      </c>
      <c r="T49" s="6" t="e" cm="1">
        <f t="array" aca="1" ref="T49" ca="1">AUTOMATEDCOUNT(H49:AV49)</f>
        <v>#NAME?</v>
      </c>
      <c r="V49" s="15" t="s">
        <v>109</v>
      </c>
      <c r="W49" s="15" t="s">
        <v>109</v>
      </c>
      <c r="X49" s="70" t="s">
        <v>19</v>
      </c>
      <c r="Y49" s="70" t="s">
        <v>19</v>
      </c>
      <c r="Z49" s="70" t="s">
        <v>19</v>
      </c>
      <c r="AA49" s="18" t="s">
        <v>109</v>
      </c>
      <c r="AB49" s="18" t="s">
        <v>109</v>
      </c>
      <c r="AC49" s="18" t="s">
        <v>109</v>
      </c>
      <c r="AD49" s="18" t="s">
        <v>109</v>
      </c>
      <c r="AE49" s="18" t="s">
        <v>109</v>
      </c>
      <c r="AF49" s="18" t="s">
        <v>109</v>
      </c>
      <c r="AG49" s="18" t="s">
        <v>109</v>
      </c>
      <c r="AH49" s="18" t="s">
        <v>109</v>
      </c>
      <c r="AI49" s="18" t="s">
        <v>109</v>
      </c>
      <c r="AJ49" s="18" t="s">
        <v>109</v>
      </c>
      <c r="AK49" s="18" t="s">
        <v>109</v>
      </c>
      <c r="AL49" s="18" t="s">
        <v>109</v>
      </c>
      <c r="AM49" s="18" t="s">
        <v>109</v>
      </c>
      <c r="AN49" s="18" t="s">
        <v>109</v>
      </c>
      <c r="AO49" s="18" t="s">
        <v>109</v>
      </c>
      <c r="AP49" s="18" t="s">
        <v>109</v>
      </c>
      <c r="AQ49" s="18" t="s">
        <v>109</v>
      </c>
      <c r="AR49" s="18" t="s">
        <v>109</v>
      </c>
      <c r="AS49" s="18" t="s">
        <v>109</v>
      </c>
      <c r="AT49" s="18" t="s">
        <v>109</v>
      </c>
      <c r="AU49" s="18" t="s">
        <v>109</v>
      </c>
      <c r="AV49" s="36" t="s">
        <v>109</v>
      </c>
      <c r="AW49" s="16"/>
      <c r="AX49" s="16"/>
      <c r="AY49" s="16"/>
      <c r="AZ49" s="16"/>
      <c r="BA49" s="16"/>
      <c r="BB49" s="16"/>
      <c r="BC49" s="16"/>
      <c r="BD49" s="16"/>
      <c r="BE49" s="16"/>
      <c r="BF49" s="16"/>
      <c r="BG49" s="16"/>
      <c r="BH49" s="16"/>
      <c r="BI49" s="16"/>
      <c r="BJ49" s="16"/>
      <c r="BK49" s="16"/>
      <c r="BL49" s="16"/>
      <c r="BM49" s="16"/>
      <c r="BN49" s="16"/>
      <c r="BO49" s="16"/>
      <c r="BP49" s="16"/>
      <c r="BQ49" s="16"/>
      <c r="BR49" s="16"/>
      <c r="BS49" s="16"/>
      <c r="BT49" s="16"/>
      <c r="BU49" s="16"/>
      <c r="BV49" s="16"/>
      <c r="BW49" s="16"/>
      <c r="BX49" s="16"/>
      <c r="BY49" s="16"/>
      <c r="BZ49" s="16"/>
      <c r="CA49" s="16"/>
      <c r="CB49" s="16"/>
      <c r="CC49" s="16"/>
      <c r="CD49" s="16"/>
      <c r="CE49" s="16"/>
      <c r="CF49" s="16"/>
      <c r="CG49" s="16"/>
      <c r="CH49" s="16"/>
      <c r="CI49" s="16"/>
      <c r="CJ49" s="16"/>
      <c r="CK49" s="16"/>
      <c r="CL49" s="16"/>
      <c r="CM49" s="16"/>
      <c r="CN49" s="16"/>
      <c r="CO49" s="16"/>
      <c r="CP49" s="16"/>
      <c r="CQ49" s="16"/>
      <c r="CR49" s="16"/>
      <c r="CS49" s="16"/>
      <c r="CT49" s="16"/>
      <c r="CU49" s="16"/>
      <c r="CV49" s="16"/>
      <c r="CW49" s="16"/>
      <c r="CX49" s="16"/>
      <c r="CY49" s="16"/>
      <c r="CZ49" s="16"/>
      <c r="DA49" s="16"/>
      <c r="DB49" s="16"/>
      <c r="DC49" s="16"/>
      <c r="DD49" s="16"/>
      <c r="DE49" s="16"/>
      <c r="DF49" s="16"/>
      <c r="DG49" s="16"/>
      <c r="DH49" s="16"/>
      <c r="DI49" s="16"/>
      <c r="DJ49" s="16"/>
      <c r="DK49" s="16"/>
      <c r="DL49" s="16"/>
      <c r="DM49" s="16"/>
      <c r="DN49" s="16"/>
      <c r="DO49" s="16"/>
      <c r="DP49" s="16"/>
      <c r="DQ49" s="16"/>
      <c r="DR49" s="16"/>
      <c r="DS49" s="16"/>
      <c r="DT49" s="16"/>
      <c r="DU49" s="16"/>
      <c r="DV49" s="16"/>
      <c r="DW49" s="16"/>
      <c r="DX49" s="16"/>
      <c r="DY49" s="16"/>
      <c r="DZ49" s="16"/>
      <c r="EA49" s="16"/>
      <c r="EB49" s="16"/>
      <c r="EC49" s="16"/>
      <c r="ED49" s="16"/>
      <c r="EE49" s="16"/>
      <c r="EF49" s="16"/>
      <c r="EG49" s="16"/>
      <c r="EH49" s="16"/>
      <c r="EI49" s="16"/>
      <c r="EJ49" s="16"/>
      <c r="EK49" s="16"/>
      <c r="EL49" s="16"/>
      <c r="EM49" s="16"/>
      <c r="EN49" s="16"/>
      <c r="EO49" s="16"/>
      <c r="EP49" s="16"/>
      <c r="EQ49" s="16"/>
      <c r="ER49" s="16"/>
      <c r="ES49" s="16"/>
      <c r="ET49" s="16"/>
      <c r="EU49" s="16"/>
      <c r="EV49" s="16"/>
      <c r="EW49" s="16"/>
      <c r="EX49" s="16"/>
      <c r="EY49" s="16"/>
      <c r="EZ49" s="16"/>
      <c r="FA49" s="16"/>
      <c r="FB49" s="16"/>
      <c r="FC49" s="16"/>
      <c r="FD49" s="16"/>
      <c r="FE49" s="16"/>
      <c r="FF49" s="16"/>
      <c r="FG49" s="16"/>
      <c r="FH49" s="16"/>
      <c r="FI49" s="16"/>
      <c r="FJ49" s="16"/>
      <c r="FK49" s="16"/>
      <c r="FL49" s="16"/>
      <c r="FM49" s="16"/>
      <c r="FN49" s="16"/>
      <c r="FO49" s="16"/>
      <c r="FP49" s="16"/>
      <c r="FQ49" s="16"/>
      <c r="FR49" s="16"/>
      <c r="FS49" s="16"/>
      <c r="FT49" s="16"/>
      <c r="FU49" s="16"/>
      <c r="FV49" s="16"/>
      <c r="FW49" s="16"/>
      <c r="FX49" s="16"/>
      <c r="FY49" s="16"/>
      <c r="FZ49" s="16"/>
      <c r="GA49" s="16"/>
      <c r="GB49" s="16"/>
      <c r="GC49" s="16"/>
      <c r="GD49" s="16"/>
      <c r="GE49" s="16"/>
      <c r="GF49" s="16"/>
      <c r="GG49" s="16"/>
      <c r="GH49" s="16"/>
      <c r="GI49" s="16"/>
      <c r="GJ49" s="16"/>
      <c r="GK49" s="16"/>
      <c r="GL49" s="16"/>
      <c r="GM49" s="16"/>
      <c r="GN49" s="16"/>
      <c r="GO49" s="16"/>
      <c r="GP49" s="16"/>
      <c r="GQ49" s="16"/>
      <c r="GR49" s="16"/>
      <c r="GS49" s="16"/>
      <c r="GT49" s="16"/>
      <c r="GU49" s="16"/>
      <c r="GV49" s="16"/>
      <c r="GW49" s="16"/>
      <c r="GX49" s="16"/>
      <c r="GY49" s="16"/>
      <c r="GZ49" s="16"/>
      <c r="HA49" s="16"/>
      <c r="HB49" s="16"/>
      <c r="HC49" s="16"/>
      <c r="HD49" s="16"/>
      <c r="HE49" s="16"/>
      <c r="HF49" s="16"/>
      <c r="HG49" s="16"/>
      <c r="HH49" s="16"/>
      <c r="HI49" s="16"/>
      <c r="HJ49" s="16"/>
      <c r="HK49" s="16"/>
      <c r="HL49" s="16"/>
      <c r="HM49" s="16"/>
      <c r="HN49" s="16"/>
      <c r="HO49" s="16"/>
      <c r="HP49" s="16"/>
      <c r="HQ49" s="16"/>
      <c r="HR49" s="16"/>
      <c r="HS49" s="16"/>
      <c r="HT49" s="16"/>
      <c r="HU49" s="16"/>
      <c r="HV49" s="16"/>
      <c r="HW49" s="16"/>
      <c r="HX49" s="16"/>
      <c r="HY49" s="16"/>
      <c r="HZ49" s="16"/>
      <c r="IA49" s="16"/>
      <c r="IB49" s="16"/>
      <c r="IC49" s="16"/>
      <c r="ID49" s="16"/>
      <c r="IE49" s="16"/>
      <c r="IF49" s="16"/>
      <c r="IG49" s="16"/>
      <c r="IH49" s="16"/>
      <c r="II49" s="16"/>
      <c r="IJ49" s="16"/>
      <c r="IK49" s="16"/>
      <c r="IL49" s="16"/>
      <c r="IM49" s="16"/>
      <c r="IN49" s="16"/>
      <c r="IO49" s="16"/>
      <c r="IP49" s="16"/>
      <c r="IQ49" s="16"/>
      <c r="IR49" s="16"/>
      <c r="IS49" s="16"/>
      <c r="IT49" s="16"/>
      <c r="IU49" s="16"/>
      <c r="IV49" s="16"/>
      <c r="IW49" s="16"/>
      <c r="IX49" s="16"/>
      <c r="IY49" s="16"/>
      <c r="IZ49" s="16"/>
      <c r="JA49" s="16"/>
      <c r="JB49" s="16"/>
      <c r="JC49" s="16"/>
      <c r="JD49" s="16"/>
    </row>
    <row r="50" spans="1:264" s="5" customFormat="1" ht="70.5" hidden="1" customHeight="1" x14ac:dyDescent="0.3">
      <c r="A50" s="15" t="s">
        <v>25</v>
      </c>
      <c r="B50" s="15" t="s">
        <v>37</v>
      </c>
      <c r="C50" s="15" t="s">
        <v>118</v>
      </c>
      <c r="D50" s="15" t="s">
        <v>19</v>
      </c>
      <c r="E50" s="70" t="s">
        <v>19</v>
      </c>
      <c r="F50" s="70" t="s">
        <v>19</v>
      </c>
      <c r="G50" s="15" t="s">
        <v>109</v>
      </c>
      <c r="H50" s="15" t="s">
        <v>109</v>
      </c>
      <c r="I50" s="18" t="s">
        <v>19</v>
      </c>
      <c r="J50" s="18" t="s">
        <v>19</v>
      </c>
      <c r="K50" s="18" t="s">
        <v>19</v>
      </c>
      <c r="L50" s="18" t="s">
        <v>19</v>
      </c>
      <c r="M50" s="15" t="s">
        <v>2886</v>
      </c>
      <c r="N50" s="4" t="s">
        <v>119</v>
      </c>
      <c r="O50" s="15"/>
      <c r="P50" s="4" t="s">
        <v>1480</v>
      </c>
      <c r="S50" s="15" t="e" cm="1">
        <f t="array" aca="1" ref="S50" ca="1">COMMONMARKETCOUNT(H50:AV50)</f>
        <v>#NAME?</v>
      </c>
      <c r="T50" s="6" t="e" cm="1">
        <f t="array" aca="1" ref="T50" ca="1">AUTOMATEDCOUNT(H50:AV50)</f>
        <v>#NAME?</v>
      </c>
      <c r="V50" s="15" t="s">
        <v>109</v>
      </c>
      <c r="W50" s="15" t="s">
        <v>109</v>
      </c>
      <c r="X50" s="70" t="s">
        <v>19</v>
      </c>
      <c r="Y50" s="70" t="s">
        <v>19</v>
      </c>
      <c r="Z50" s="70" t="s">
        <v>19</v>
      </c>
      <c r="AA50" s="18" t="s">
        <v>19</v>
      </c>
      <c r="AB50" s="18" t="s">
        <v>19</v>
      </c>
      <c r="AC50" s="18" t="s">
        <v>19</v>
      </c>
      <c r="AD50" s="18" t="s">
        <v>109</v>
      </c>
      <c r="AE50" s="18" t="s">
        <v>109</v>
      </c>
      <c r="AF50" s="18" t="s">
        <v>19</v>
      </c>
      <c r="AG50" s="18" t="s">
        <v>109</v>
      </c>
      <c r="AH50" s="18" t="s">
        <v>109</v>
      </c>
      <c r="AI50" s="18" t="s">
        <v>109</v>
      </c>
      <c r="AJ50" s="18" t="s">
        <v>109</v>
      </c>
      <c r="AK50" s="18" t="s">
        <v>109</v>
      </c>
      <c r="AL50" s="18" t="s">
        <v>109</v>
      </c>
      <c r="AM50" s="18" t="s">
        <v>109</v>
      </c>
      <c r="AN50" s="18" t="s">
        <v>109</v>
      </c>
      <c r="AO50" s="18" t="s">
        <v>109</v>
      </c>
      <c r="AP50" s="18" t="s">
        <v>109</v>
      </c>
      <c r="AQ50" s="18" t="s">
        <v>109</v>
      </c>
      <c r="AR50" s="18" t="s">
        <v>109</v>
      </c>
      <c r="AS50" s="18" t="s">
        <v>109</v>
      </c>
      <c r="AT50" s="18" t="s">
        <v>109</v>
      </c>
      <c r="AU50" s="18" t="s">
        <v>109</v>
      </c>
      <c r="AV50" s="36" t="s">
        <v>109</v>
      </c>
      <c r="AW50" s="16"/>
      <c r="AX50" s="16"/>
      <c r="AY50" s="16"/>
      <c r="AZ50" s="16"/>
      <c r="BA50" s="16"/>
      <c r="BB50" s="16"/>
      <c r="BC50" s="16"/>
      <c r="BD50" s="16"/>
      <c r="BE50" s="16"/>
      <c r="BF50" s="16"/>
      <c r="BG50" s="16"/>
      <c r="BH50" s="16"/>
      <c r="BI50" s="16"/>
      <c r="BJ50" s="16"/>
      <c r="BK50" s="16"/>
      <c r="BL50" s="16"/>
      <c r="BM50" s="16"/>
      <c r="BN50" s="16"/>
      <c r="BO50" s="16"/>
      <c r="BP50" s="16"/>
      <c r="BQ50" s="16"/>
      <c r="BR50" s="16"/>
      <c r="BS50" s="16"/>
      <c r="BT50" s="16"/>
      <c r="BU50" s="16"/>
      <c r="BV50" s="16"/>
      <c r="BW50" s="16"/>
      <c r="BX50" s="16"/>
      <c r="BY50" s="16"/>
      <c r="BZ50" s="16"/>
      <c r="CA50" s="16"/>
      <c r="CB50" s="16"/>
      <c r="CC50" s="16"/>
      <c r="CD50" s="16"/>
      <c r="CE50" s="16"/>
      <c r="CF50" s="16"/>
      <c r="CG50" s="16"/>
      <c r="CH50" s="16"/>
      <c r="CI50" s="16"/>
      <c r="CJ50" s="16"/>
      <c r="CK50" s="16"/>
      <c r="CL50" s="16"/>
      <c r="CM50" s="16"/>
      <c r="CN50" s="16"/>
      <c r="CO50" s="16"/>
      <c r="CP50" s="16"/>
      <c r="CQ50" s="16"/>
      <c r="CR50" s="16"/>
      <c r="CS50" s="16"/>
      <c r="CT50" s="16"/>
      <c r="CU50" s="16"/>
      <c r="CV50" s="16"/>
      <c r="CW50" s="16"/>
      <c r="CX50" s="16"/>
      <c r="CY50" s="16"/>
      <c r="CZ50" s="16"/>
      <c r="DA50" s="16"/>
      <c r="DB50" s="16"/>
      <c r="DC50" s="16"/>
      <c r="DD50" s="16"/>
      <c r="DE50" s="16"/>
      <c r="DF50" s="16"/>
      <c r="DG50" s="16"/>
      <c r="DH50" s="16"/>
      <c r="DI50" s="16"/>
      <c r="DJ50" s="16"/>
      <c r="DK50" s="16"/>
      <c r="DL50" s="16"/>
      <c r="DM50" s="16"/>
      <c r="DN50" s="16"/>
      <c r="DO50" s="16"/>
      <c r="DP50" s="16"/>
      <c r="DQ50" s="16"/>
      <c r="DR50" s="16"/>
      <c r="DS50" s="16"/>
      <c r="DT50" s="16"/>
      <c r="DU50" s="16"/>
      <c r="DV50" s="16"/>
      <c r="DW50" s="16"/>
      <c r="DX50" s="16"/>
      <c r="DY50" s="16"/>
      <c r="DZ50" s="16"/>
      <c r="EA50" s="16"/>
      <c r="EB50" s="16"/>
      <c r="EC50" s="16"/>
      <c r="ED50" s="16"/>
      <c r="EE50" s="16"/>
      <c r="EF50" s="16"/>
      <c r="EG50" s="16"/>
      <c r="EH50" s="16"/>
      <c r="EI50" s="16"/>
      <c r="EJ50" s="16"/>
      <c r="EK50" s="16"/>
      <c r="EL50" s="16"/>
      <c r="EM50" s="16"/>
      <c r="EN50" s="16"/>
      <c r="EO50" s="16"/>
      <c r="EP50" s="16"/>
      <c r="EQ50" s="16"/>
      <c r="ER50" s="16"/>
      <c r="ES50" s="16"/>
      <c r="ET50" s="16"/>
      <c r="EU50" s="16"/>
      <c r="EV50" s="16"/>
      <c r="EW50" s="16"/>
      <c r="EX50" s="16"/>
      <c r="EY50" s="16"/>
      <c r="EZ50" s="16"/>
      <c r="FA50" s="16"/>
      <c r="FB50" s="16"/>
      <c r="FC50" s="16"/>
      <c r="FD50" s="16"/>
      <c r="FE50" s="16"/>
      <c r="FF50" s="16"/>
      <c r="FG50" s="16"/>
      <c r="FH50" s="16"/>
      <c r="FI50" s="16"/>
      <c r="FJ50" s="16"/>
      <c r="FK50" s="16"/>
      <c r="FL50" s="16"/>
      <c r="FM50" s="16"/>
      <c r="FN50" s="16"/>
      <c r="FO50" s="16"/>
      <c r="FP50" s="16"/>
      <c r="FQ50" s="16"/>
      <c r="FR50" s="16"/>
      <c r="FS50" s="16"/>
      <c r="FT50" s="16"/>
      <c r="FU50" s="16"/>
      <c r="FV50" s="16"/>
      <c r="FW50" s="16"/>
      <c r="FX50" s="16"/>
      <c r="FY50" s="16"/>
      <c r="FZ50" s="16"/>
      <c r="GA50" s="16"/>
      <c r="GB50" s="16"/>
      <c r="GC50" s="16"/>
      <c r="GD50" s="16"/>
      <c r="GE50" s="16"/>
      <c r="GF50" s="16"/>
      <c r="GG50" s="16"/>
      <c r="GH50" s="16"/>
      <c r="GI50" s="16"/>
      <c r="GJ50" s="16"/>
      <c r="GK50" s="16"/>
      <c r="GL50" s="16"/>
      <c r="GM50" s="16"/>
      <c r="GN50" s="16"/>
      <c r="GO50" s="16"/>
      <c r="GP50" s="16"/>
      <c r="GQ50" s="16"/>
      <c r="GR50" s="16"/>
      <c r="GS50" s="16"/>
      <c r="GT50" s="16"/>
      <c r="GU50" s="16"/>
      <c r="GV50" s="16"/>
      <c r="GW50" s="16"/>
      <c r="GX50" s="16"/>
      <c r="GY50" s="16"/>
      <c r="GZ50" s="16"/>
      <c r="HA50" s="16"/>
      <c r="HB50" s="16"/>
      <c r="HC50" s="16"/>
      <c r="HD50" s="16"/>
      <c r="HE50" s="16"/>
      <c r="HF50" s="16"/>
      <c r="HG50" s="16"/>
      <c r="HH50" s="16"/>
      <c r="HI50" s="16"/>
      <c r="HJ50" s="16"/>
      <c r="HK50" s="16"/>
      <c r="HL50" s="16"/>
      <c r="HM50" s="16"/>
      <c r="HN50" s="16"/>
      <c r="HO50" s="16"/>
      <c r="HP50" s="16"/>
      <c r="HQ50" s="16"/>
      <c r="HR50" s="16"/>
      <c r="HS50" s="16"/>
      <c r="HT50" s="16"/>
      <c r="HU50" s="16"/>
      <c r="HV50" s="16"/>
      <c r="HW50" s="16"/>
      <c r="HX50" s="16"/>
      <c r="HY50" s="16"/>
      <c r="HZ50" s="16"/>
      <c r="IA50" s="16"/>
      <c r="IB50" s="16"/>
      <c r="IC50" s="16"/>
      <c r="ID50" s="16"/>
      <c r="IE50" s="16"/>
      <c r="IF50" s="16"/>
      <c r="IG50" s="16"/>
      <c r="IH50" s="16"/>
      <c r="II50" s="16"/>
      <c r="IJ50" s="16"/>
      <c r="IK50" s="16"/>
      <c r="IL50" s="16"/>
      <c r="IM50" s="16"/>
      <c r="IN50" s="16"/>
      <c r="IO50" s="16"/>
      <c r="IP50" s="16"/>
      <c r="IQ50" s="16"/>
      <c r="IR50" s="16"/>
      <c r="IS50" s="16"/>
      <c r="IT50" s="16"/>
      <c r="IU50" s="16"/>
      <c r="IV50" s="16"/>
      <c r="IW50" s="16"/>
      <c r="IX50" s="16"/>
      <c r="IY50" s="16"/>
      <c r="IZ50" s="16"/>
      <c r="JA50" s="16"/>
      <c r="JB50" s="16"/>
      <c r="JC50" s="16"/>
      <c r="JD50" s="16"/>
    </row>
    <row r="51" spans="1:264" s="5" customFormat="1" ht="70.5" hidden="1" customHeight="1" x14ac:dyDescent="0.3">
      <c r="A51" s="18" t="s">
        <v>25</v>
      </c>
      <c r="B51" s="15" t="s">
        <v>37</v>
      </c>
      <c r="C51" s="15" t="s">
        <v>1814</v>
      </c>
      <c r="D51" s="18" t="s">
        <v>32</v>
      </c>
      <c r="E51" s="18" t="s">
        <v>109</v>
      </c>
      <c r="F51" s="18" t="s">
        <v>109</v>
      </c>
      <c r="G51" s="18" t="s">
        <v>109</v>
      </c>
      <c r="H51" s="18" t="s">
        <v>109</v>
      </c>
      <c r="I51" s="18" t="s">
        <v>109</v>
      </c>
      <c r="J51" s="18" t="s">
        <v>109</v>
      </c>
      <c r="K51" s="18" t="s">
        <v>109</v>
      </c>
      <c r="L51" s="18" t="s">
        <v>109</v>
      </c>
      <c r="M51" s="15" t="s">
        <v>1853</v>
      </c>
      <c r="N51" s="4" t="s">
        <v>1852</v>
      </c>
      <c r="O51" s="4" t="s">
        <v>1849</v>
      </c>
      <c r="P51" s="4" t="s">
        <v>1857</v>
      </c>
      <c r="S51" s="15" t="e" cm="1">
        <f t="array" aca="1" ref="S51" ca="1">COMMONMARKETCOUNT(H51:AV51)</f>
        <v>#NAME?</v>
      </c>
      <c r="T51" s="6" t="e" cm="1">
        <f t="array" aca="1" ref="T51" ca="1">AUTOMATEDCOUNT(H51:AV51)</f>
        <v>#NAME?</v>
      </c>
      <c r="V51" s="18" t="s">
        <v>109</v>
      </c>
      <c r="W51" s="18" t="s">
        <v>109</v>
      </c>
      <c r="X51" s="18" t="s">
        <v>109</v>
      </c>
      <c r="Y51" s="18" t="s">
        <v>109</v>
      </c>
      <c r="Z51" s="18" t="s">
        <v>109</v>
      </c>
      <c r="AA51" s="18" t="s">
        <v>109</v>
      </c>
      <c r="AB51" s="18" t="s">
        <v>109</v>
      </c>
      <c r="AC51" s="18" t="s">
        <v>109</v>
      </c>
      <c r="AD51" s="18" t="s">
        <v>19</v>
      </c>
      <c r="AE51" s="18" t="s">
        <v>19</v>
      </c>
      <c r="AF51" s="18" t="s">
        <v>109</v>
      </c>
      <c r="AG51" s="18" t="s">
        <v>109</v>
      </c>
      <c r="AH51" s="18" t="s">
        <v>109</v>
      </c>
      <c r="AI51" s="18" t="s">
        <v>109</v>
      </c>
      <c r="AJ51" s="18" t="s">
        <v>109</v>
      </c>
      <c r="AK51" s="18" t="s">
        <v>109</v>
      </c>
      <c r="AL51" s="18" t="s">
        <v>109</v>
      </c>
      <c r="AM51" s="18" t="s">
        <v>109</v>
      </c>
      <c r="AN51" s="18" t="s">
        <v>109</v>
      </c>
      <c r="AO51" s="18" t="s">
        <v>109</v>
      </c>
      <c r="AP51" s="18" t="s">
        <v>109</v>
      </c>
      <c r="AQ51" s="18" t="s">
        <v>109</v>
      </c>
      <c r="AR51" s="18" t="s">
        <v>109</v>
      </c>
      <c r="AS51" s="18" t="s">
        <v>109</v>
      </c>
      <c r="AT51" s="18" t="s">
        <v>109</v>
      </c>
      <c r="AU51" s="18" t="s">
        <v>109</v>
      </c>
      <c r="AV51" s="36" t="s">
        <v>109</v>
      </c>
      <c r="AW51" s="16"/>
      <c r="AX51" s="16"/>
      <c r="AY51" s="16"/>
      <c r="AZ51" s="16"/>
      <c r="BA51" s="16"/>
      <c r="BB51" s="16"/>
      <c r="BC51" s="16"/>
      <c r="BD51" s="16"/>
      <c r="BE51" s="16"/>
      <c r="BF51" s="16"/>
      <c r="BG51" s="16"/>
      <c r="BH51" s="16"/>
      <c r="BI51" s="16"/>
      <c r="BJ51" s="16"/>
      <c r="BK51" s="16"/>
      <c r="BL51" s="16"/>
      <c r="BM51" s="16"/>
      <c r="BN51" s="16"/>
      <c r="BO51" s="16"/>
      <c r="BP51" s="16"/>
      <c r="BQ51" s="16"/>
      <c r="BR51" s="16"/>
      <c r="BS51" s="16"/>
      <c r="BT51" s="16"/>
      <c r="BU51" s="16"/>
      <c r="BV51" s="16"/>
      <c r="BW51" s="16"/>
      <c r="BX51" s="16"/>
      <c r="BY51" s="16"/>
      <c r="BZ51" s="16"/>
      <c r="CA51" s="16"/>
      <c r="CB51" s="16"/>
      <c r="CC51" s="16"/>
      <c r="CD51" s="16"/>
      <c r="CE51" s="16"/>
      <c r="CF51" s="16"/>
      <c r="CG51" s="16"/>
      <c r="CH51" s="16"/>
      <c r="CI51" s="16"/>
      <c r="CJ51" s="16"/>
      <c r="CK51" s="16"/>
      <c r="CL51" s="16"/>
      <c r="CM51" s="16"/>
      <c r="CN51" s="16"/>
      <c r="CO51" s="16"/>
      <c r="CP51" s="16"/>
      <c r="CQ51" s="16"/>
      <c r="CR51" s="16"/>
      <c r="CS51" s="16"/>
      <c r="CT51" s="16"/>
      <c r="CU51" s="16"/>
      <c r="CV51" s="16"/>
      <c r="CW51" s="16"/>
      <c r="CX51" s="16"/>
      <c r="CY51" s="16"/>
      <c r="CZ51" s="16"/>
      <c r="DA51" s="16"/>
      <c r="DB51" s="16"/>
      <c r="DC51" s="16"/>
      <c r="DD51" s="16"/>
      <c r="DE51" s="16"/>
      <c r="DF51" s="16"/>
      <c r="DG51" s="16"/>
      <c r="DH51" s="16"/>
      <c r="DI51" s="16"/>
      <c r="DJ51" s="16"/>
      <c r="DK51" s="16"/>
      <c r="DL51" s="16"/>
      <c r="DM51" s="16"/>
      <c r="DN51" s="16"/>
      <c r="DO51" s="16"/>
      <c r="DP51" s="16"/>
      <c r="DQ51" s="16"/>
      <c r="DR51" s="16"/>
      <c r="DS51" s="16"/>
      <c r="DT51" s="16"/>
      <c r="DU51" s="16"/>
      <c r="DV51" s="16"/>
      <c r="DW51" s="16"/>
      <c r="DX51" s="16"/>
      <c r="DY51" s="16"/>
      <c r="DZ51" s="16"/>
      <c r="EA51" s="16"/>
      <c r="EB51" s="16"/>
      <c r="EC51" s="16"/>
      <c r="ED51" s="16"/>
      <c r="EE51" s="16"/>
      <c r="EF51" s="16"/>
      <c r="EG51" s="16"/>
      <c r="EH51" s="16"/>
      <c r="EI51" s="16"/>
      <c r="EJ51" s="16"/>
      <c r="EK51" s="16"/>
      <c r="EL51" s="16"/>
      <c r="EM51" s="16"/>
      <c r="EN51" s="16"/>
      <c r="EO51" s="16"/>
      <c r="EP51" s="16"/>
      <c r="EQ51" s="16"/>
      <c r="ER51" s="16"/>
      <c r="ES51" s="16"/>
      <c r="ET51" s="16"/>
      <c r="EU51" s="16"/>
      <c r="EV51" s="16"/>
      <c r="EW51" s="16"/>
      <c r="EX51" s="16"/>
      <c r="EY51" s="16"/>
      <c r="EZ51" s="16"/>
      <c r="FA51" s="16"/>
      <c r="FB51" s="16"/>
      <c r="FC51" s="16"/>
      <c r="FD51" s="16"/>
      <c r="FE51" s="16"/>
      <c r="FF51" s="16"/>
      <c r="FG51" s="16"/>
      <c r="FH51" s="16"/>
      <c r="FI51" s="16"/>
      <c r="FJ51" s="16"/>
      <c r="FK51" s="16"/>
      <c r="FL51" s="16"/>
      <c r="FM51" s="16"/>
      <c r="FN51" s="16"/>
      <c r="FO51" s="16"/>
      <c r="FP51" s="16"/>
      <c r="FQ51" s="16"/>
      <c r="FR51" s="16"/>
      <c r="FS51" s="16"/>
      <c r="FT51" s="16"/>
      <c r="FU51" s="16"/>
      <c r="FV51" s="16"/>
      <c r="FW51" s="16"/>
      <c r="FX51" s="16"/>
      <c r="FY51" s="16"/>
      <c r="FZ51" s="16"/>
      <c r="GA51" s="16"/>
      <c r="GB51" s="16"/>
      <c r="GC51" s="16"/>
      <c r="GD51" s="16"/>
      <c r="GE51" s="16"/>
      <c r="GF51" s="16"/>
      <c r="GG51" s="16"/>
      <c r="GH51" s="16"/>
      <c r="GI51" s="16"/>
      <c r="GJ51" s="16"/>
      <c r="GK51" s="16"/>
      <c r="GL51" s="16"/>
      <c r="GM51" s="16"/>
      <c r="GN51" s="16"/>
      <c r="GO51" s="16"/>
      <c r="GP51" s="16"/>
      <c r="GQ51" s="16"/>
      <c r="GR51" s="16"/>
      <c r="GS51" s="16"/>
      <c r="GT51" s="16"/>
      <c r="GU51" s="16"/>
      <c r="GV51" s="16"/>
      <c r="GW51" s="16"/>
      <c r="GX51" s="16"/>
      <c r="GY51" s="16"/>
      <c r="GZ51" s="16"/>
      <c r="HA51" s="16"/>
      <c r="HB51" s="16"/>
      <c r="HC51" s="16"/>
      <c r="HD51" s="16"/>
      <c r="HE51" s="16"/>
      <c r="HF51" s="16"/>
      <c r="HG51" s="16"/>
      <c r="HH51" s="16"/>
      <c r="HI51" s="16"/>
      <c r="HJ51" s="16"/>
      <c r="HK51" s="16"/>
      <c r="HL51" s="16"/>
      <c r="HM51" s="16"/>
      <c r="HN51" s="16"/>
      <c r="HO51" s="16"/>
      <c r="HP51" s="16"/>
      <c r="HQ51" s="16"/>
      <c r="HR51" s="16"/>
      <c r="HS51" s="16"/>
      <c r="HT51" s="16"/>
      <c r="HU51" s="16"/>
      <c r="HV51" s="16"/>
      <c r="HW51" s="16"/>
      <c r="HX51" s="16"/>
      <c r="HY51" s="16"/>
      <c r="HZ51" s="16"/>
      <c r="IA51" s="16"/>
      <c r="IB51" s="16"/>
      <c r="IC51" s="16"/>
      <c r="ID51" s="16"/>
      <c r="IE51" s="16"/>
      <c r="IF51" s="16"/>
      <c r="IG51" s="16"/>
      <c r="IH51" s="16"/>
      <c r="II51" s="16"/>
      <c r="IJ51" s="16"/>
      <c r="IK51" s="16"/>
      <c r="IL51" s="16"/>
      <c r="IM51" s="16"/>
      <c r="IN51" s="16"/>
      <c r="IO51" s="16"/>
      <c r="IP51" s="16"/>
      <c r="IQ51" s="16"/>
      <c r="IR51" s="16"/>
      <c r="IS51" s="16"/>
      <c r="IT51" s="16"/>
      <c r="IU51" s="16"/>
      <c r="IV51" s="16"/>
      <c r="IW51" s="16"/>
      <c r="IX51" s="16"/>
      <c r="IY51" s="16"/>
      <c r="IZ51" s="16"/>
      <c r="JA51" s="16"/>
      <c r="JB51" s="16"/>
      <c r="JC51" s="16"/>
      <c r="JD51" s="16"/>
    </row>
    <row r="52" spans="1:264" ht="92.25" hidden="1" customHeight="1" x14ac:dyDescent="0.3">
      <c r="A52" s="15" t="s">
        <v>25</v>
      </c>
      <c r="B52" s="15" t="s">
        <v>1823</v>
      </c>
      <c r="C52" s="15" t="s">
        <v>120</v>
      </c>
      <c r="D52" s="15" t="s">
        <v>32</v>
      </c>
      <c r="E52" s="15" t="s">
        <v>19</v>
      </c>
      <c r="F52" s="15" t="s">
        <v>19</v>
      </c>
      <c r="G52" s="15" t="s">
        <v>19</v>
      </c>
      <c r="H52" s="15" t="s">
        <v>19</v>
      </c>
      <c r="I52" s="18" t="s">
        <v>19</v>
      </c>
      <c r="J52" s="18" t="s">
        <v>19</v>
      </c>
      <c r="K52" s="18" t="s">
        <v>19</v>
      </c>
      <c r="L52" s="18" t="s">
        <v>19</v>
      </c>
      <c r="M52" s="15" t="s">
        <v>2887</v>
      </c>
      <c r="N52" s="4" t="s">
        <v>121</v>
      </c>
      <c r="O52" s="15"/>
      <c r="P52" s="4" t="s">
        <v>972</v>
      </c>
      <c r="S52" s="15" t="e" cm="1">
        <f t="array" aca="1" ref="S52" ca="1">COMMONMARKETCOUNT(H52:AV52)</f>
        <v>#NAME?</v>
      </c>
      <c r="T52" s="6" t="e" cm="1">
        <f t="array" aca="1" ref="T52" ca="1">AUTOMATEDCOUNT(H52:AV52)</f>
        <v>#NAME?</v>
      </c>
      <c r="V52" s="15" t="s">
        <v>109</v>
      </c>
      <c r="W52" s="15" t="s">
        <v>109</v>
      </c>
      <c r="X52" s="15" t="s">
        <v>19</v>
      </c>
      <c r="Y52" s="15" t="s">
        <v>19</v>
      </c>
      <c r="Z52" s="15" t="s">
        <v>19</v>
      </c>
      <c r="AA52" s="18" t="s">
        <v>19</v>
      </c>
      <c r="AB52" s="18" t="s">
        <v>19</v>
      </c>
      <c r="AC52" s="18" t="s">
        <v>19</v>
      </c>
      <c r="AD52" s="18" t="s">
        <v>109</v>
      </c>
      <c r="AE52" s="18" t="s">
        <v>109</v>
      </c>
      <c r="AF52" s="18" t="s">
        <v>19</v>
      </c>
      <c r="AG52" s="18" t="s">
        <v>109</v>
      </c>
      <c r="AH52" s="18" t="s">
        <v>109</v>
      </c>
      <c r="AI52" s="18" t="s">
        <v>109</v>
      </c>
      <c r="AJ52" s="18" t="s">
        <v>109</v>
      </c>
      <c r="AK52" s="18" t="s">
        <v>109</v>
      </c>
      <c r="AL52" s="18" t="s">
        <v>109</v>
      </c>
      <c r="AM52" s="18" t="s">
        <v>109</v>
      </c>
      <c r="AN52" s="18" t="s">
        <v>109</v>
      </c>
      <c r="AO52" s="18" t="s">
        <v>109</v>
      </c>
      <c r="AP52" s="18" t="s">
        <v>109</v>
      </c>
      <c r="AQ52" s="18" t="s">
        <v>109</v>
      </c>
      <c r="AR52" s="18" t="s">
        <v>109</v>
      </c>
      <c r="AS52" s="18" t="s">
        <v>109</v>
      </c>
      <c r="AT52" s="18" t="s">
        <v>109</v>
      </c>
      <c r="AU52" s="18" t="s">
        <v>109</v>
      </c>
      <c r="AV52" s="36" t="s">
        <v>109</v>
      </c>
    </row>
    <row r="53" spans="1:264" ht="95.25" hidden="1" customHeight="1" x14ac:dyDescent="0.3">
      <c r="A53" s="15" t="s">
        <v>18</v>
      </c>
      <c r="B53" s="15" t="s">
        <v>17</v>
      </c>
      <c r="C53" s="15" t="s">
        <v>122</v>
      </c>
      <c r="D53" s="15" t="s">
        <v>19</v>
      </c>
      <c r="E53" s="70" t="s">
        <v>19</v>
      </c>
      <c r="F53" s="70" t="s">
        <v>3178</v>
      </c>
      <c r="G53" s="70" t="s">
        <v>19</v>
      </c>
      <c r="H53" s="70" t="s">
        <v>3178</v>
      </c>
      <c r="I53" s="72" t="s">
        <v>19</v>
      </c>
      <c r="J53" s="72" t="s">
        <v>19</v>
      </c>
      <c r="K53" s="72" t="s">
        <v>19</v>
      </c>
      <c r="L53" s="72" t="s">
        <v>19</v>
      </c>
      <c r="M53" s="15" t="s">
        <v>941</v>
      </c>
      <c r="N53" s="4" t="s">
        <v>123</v>
      </c>
      <c r="O53" s="15"/>
      <c r="P53" s="4" t="s">
        <v>124</v>
      </c>
      <c r="S53" s="15" t="e" cm="1">
        <f t="array" aca="1" ref="S53" ca="1">COMMONMARKETCOUNT(H53:AV53)</f>
        <v>#NAME?</v>
      </c>
      <c r="T53" s="6" t="e" cm="1">
        <f t="array" aca="1" ref="T53" ca="1">AUTOMATEDCOUNT(H53:AV53)</f>
        <v>#NAME?</v>
      </c>
      <c r="V53" s="70" t="s">
        <v>19</v>
      </c>
      <c r="W53" s="70" t="s">
        <v>19</v>
      </c>
      <c r="X53" s="70" t="s">
        <v>19</v>
      </c>
      <c r="Y53" s="70" t="s">
        <v>19</v>
      </c>
      <c r="Z53" s="70" t="s">
        <v>19</v>
      </c>
      <c r="AA53" s="72" t="s">
        <v>19</v>
      </c>
      <c r="AB53" s="72" t="s">
        <v>19</v>
      </c>
      <c r="AC53" s="72" t="s">
        <v>19</v>
      </c>
      <c r="AD53" s="72" t="s">
        <v>19</v>
      </c>
      <c r="AE53" s="18" t="s">
        <v>19</v>
      </c>
      <c r="AF53" s="18" t="s">
        <v>19</v>
      </c>
      <c r="AG53" s="29" t="s">
        <v>19</v>
      </c>
      <c r="AH53" s="18" t="s">
        <v>19</v>
      </c>
      <c r="AI53" s="18" t="s">
        <v>19</v>
      </c>
      <c r="AJ53" s="18" t="s">
        <v>19</v>
      </c>
      <c r="AK53" s="18" t="s">
        <v>19</v>
      </c>
      <c r="AL53" s="18" t="s">
        <v>19</v>
      </c>
      <c r="AM53" s="18" t="s">
        <v>19</v>
      </c>
      <c r="AN53" s="18" t="s">
        <v>19</v>
      </c>
      <c r="AO53" s="18" t="s">
        <v>19</v>
      </c>
      <c r="AP53" s="18" t="s">
        <v>19</v>
      </c>
      <c r="AQ53" s="18" t="s">
        <v>19</v>
      </c>
      <c r="AR53" s="18" t="s">
        <v>19</v>
      </c>
      <c r="AS53" s="70" t="s">
        <v>19</v>
      </c>
      <c r="AT53" s="72" t="s">
        <v>19</v>
      </c>
      <c r="AU53" s="18" t="s">
        <v>3153</v>
      </c>
      <c r="AV53" s="36" t="s">
        <v>19</v>
      </c>
    </row>
    <row r="54" spans="1:264" s="5" customFormat="1" ht="146.25" hidden="1" customHeight="1" x14ac:dyDescent="0.3">
      <c r="A54" s="15" t="s">
        <v>25</v>
      </c>
      <c r="B54" s="15" t="s">
        <v>1365</v>
      </c>
      <c r="C54" s="15" t="s">
        <v>125</v>
      </c>
      <c r="D54" s="15" t="s">
        <v>19</v>
      </c>
      <c r="E54" s="70" t="s">
        <v>19</v>
      </c>
      <c r="F54" s="70" t="s">
        <v>19</v>
      </c>
      <c r="G54" s="15" t="s">
        <v>109</v>
      </c>
      <c r="H54" s="15" t="s">
        <v>109</v>
      </c>
      <c r="I54" s="18" t="s">
        <v>19</v>
      </c>
      <c r="J54" s="18" t="s">
        <v>19</v>
      </c>
      <c r="K54" s="18" t="s">
        <v>19</v>
      </c>
      <c r="L54" s="18" t="s">
        <v>19</v>
      </c>
      <c r="M54" s="15" t="s">
        <v>2888</v>
      </c>
      <c r="N54" s="4" t="s">
        <v>126</v>
      </c>
      <c r="O54" s="15"/>
      <c r="P54" s="4" t="s">
        <v>1481</v>
      </c>
      <c r="S54" s="15" t="e" cm="1">
        <f t="array" aca="1" ref="S54" ca="1">COMMONMARKETCOUNT(H54:AV54)</f>
        <v>#NAME?</v>
      </c>
      <c r="T54" s="6" t="e" cm="1">
        <f t="array" aca="1" ref="T54" ca="1">AUTOMATEDCOUNT(H54:AV54)</f>
        <v>#NAME?</v>
      </c>
      <c r="V54" s="15" t="s">
        <v>109</v>
      </c>
      <c r="W54" s="15" t="s">
        <v>109</v>
      </c>
      <c r="X54" s="70" t="s">
        <v>19</v>
      </c>
      <c r="Y54" s="70" t="s">
        <v>19</v>
      </c>
      <c r="Z54" s="70" t="s">
        <v>19</v>
      </c>
      <c r="AA54" s="18" t="s">
        <v>19</v>
      </c>
      <c r="AB54" s="18" t="s">
        <v>19</v>
      </c>
      <c r="AC54" s="18" t="s">
        <v>19</v>
      </c>
      <c r="AD54" s="18" t="s">
        <v>19</v>
      </c>
      <c r="AE54" s="18" t="s">
        <v>19</v>
      </c>
      <c r="AF54" s="18" t="s">
        <v>19</v>
      </c>
      <c r="AG54" s="18" t="s">
        <v>109</v>
      </c>
      <c r="AH54" s="18" t="s">
        <v>109</v>
      </c>
      <c r="AI54" s="18" t="s">
        <v>109</v>
      </c>
      <c r="AJ54" s="18" t="s">
        <v>109</v>
      </c>
      <c r="AK54" s="18" t="s">
        <v>109</v>
      </c>
      <c r="AL54" s="18" t="s">
        <v>109</v>
      </c>
      <c r="AM54" s="18" t="s">
        <v>109</v>
      </c>
      <c r="AN54" s="18" t="s">
        <v>109</v>
      </c>
      <c r="AO54" s="18" t="s">
        <v>109</v>
      </c>
      <c r="AP54" s="18" t="s">
        <v>109</v>
      </c>
      <c r="AQ54" s="18" t="s">
        <v>109</v>
      </c>
      <c r="AR54" s="18" t="s">
        <v>109</v>
      </c>
      <c r="AS54" s="18" t="s">
        <v>109</v>
      </c>
      <c r="AT54" s="18" t="s">
        <v>109</v>
      </c>
      <c r="AU54" s="18" t="s">
        <v>109</v>
      </c>
      <c r="AV54" s="36" t="s">
        <v>109</v>
      </c>
      <c r="AW54" s="16"/>
      <c r="AX54" s="16"/>
      <c r="AY54" s="16"/>
      <c r="AZ54" s="16"/>
      <c r="BA54" s="16"/>
      <c r="BB54" s="16"/>
      <c r="BC54" s="16"/>
      <c r="BD54" s="16"/>
      <c r="BE54" s="16"/>
      <c r="BF54" s="16"/>
      <c r="BG54" s="16"/>
      <c r="BH54" s="16"/>
      <c r="BI54" s="16"/>
      <c r="BJ54" s="16"/>
      <c r="BK54" s="16"/>
      <c r="BL54" s="16"/>
      <c r="BM54" s="16"/>
      <c r="BN54" s="16"/>
      <c r="BO54" s="16"/>
      <c r="BP54" s="16"/>
      <c r="BQ54" s="16"/>
      <c r="BR54" s="16"/>
      <c r="BS54" s="16"/>
      <c r="BT54" s="16"/>
      <c r="BU54" s="16"/>
      <c r="BV54" s="16"/>
      <c r="BW54" s="16"/>
      <c r="BX54" s="16"/>
      <c r="BY54" s="16"/>
      <c r="BZ54" s="16"/>
      <c r="CA54" s="16"/>
      <c r="CB54" s="16"/>
      <c r="CC54" s="16"/>
      <c r="CD54" s="16"/>
      <c r="CE54" s="16"/>
      <c r="CF54" s="16"/>
      <c r="CG54" s="16"/>
      <c r="CH54" s="16"/>
      <c r="CI54" s="16"/>
      <c r="CJ54" s="16"/>
      <c r="CK54" s="16"/>
      <c r="CL54" s="16"/>
      <c r="CM54" s="16"/>
      <c r="CN54" s="16"/>
      <c r="CO54" s="16"/>
      <c r="CP54" s="16"/>
      <c r="CQ54" s="16"/>
      <c r="CR54" s="16"/>
      <c r="CS54" s="16"/>
      <c r="CT54" s="16"/>
      <c r="CU54" s="16"/>
      <c r="CV54" s="16"/>
      <c r="CW54" s="16"/>
      <c r="CX54" s="16"/>
      <c r="CY54" s="16"/>
      <c r="CZ54" s="16"/>
      <c r="DA54" s="16"/>
      <c r="DB54" s="16"/>
      <c r="DC54" s="16"/>
      <c r="DD54" s="16"/>
      <c r="DE54" s="16"/>
      <c r="DF54" s="16"/>
      <c r="DG54" s="16"/>
      <c r="DH54" s="16"/>
      <c r="DI54" s="16"/>
      <c r="DJ54" s="16"/>
      <c r="DK54" s="16"/>
      <c r="DL54" s="16"/>
      <c r="DM54" s="16"/>
      <c r="DN54" s="16"/>
      <c r="DO54" s="16"/>
      <c r="DP54" s="16"/>
      <c r="DQ54" s="16"/>
      <c r="DR54" s="16"/>
      <c r="DS54" s="16"/>
      <c r="DT54" s="16"/>
      <c r="DU54" s="16"/>
      <c r="DV54" s="16"/>
      <c r="DW54" s="16"/>
      <c r="DX54" s="16"/>
      <c r="DY54" s="16"/>
      <c r="DZ54" s="16"/>
      <c r="EA54" s="16"/>
      <c r="EB54" s="16"/>
      <c r="EC54" s="16"/>
      <c r="ED54" s="16"/>
      <c r="EE54" s="16"/>
      <c r="EF54" s="16"/>
      <c r="EG54" s="16"/>
      <c r="EH54" s="16"/>
      <c r="EI54" s="16"/>
      <c r="EJ54" s="16"/>
      <c r="EK54" s="16"/>
      <c r="EL54" s="16"/>
      <c r="EM54" s="16"/>
      <c r="EN54" s="16"/>
      <c r="EO54" s="16"/>
      <c r="EP54" s="16"/>
      <c r="EQ54" s="16"/>
      <c r="ER54" s="16"/>
      <c r="ES54" s="16"/>
      <c r="ET54" s="16"/>
      <c r="EU54" s="16"/>
      <c r="EV54" s="16"/>
      <c r="EW54" s="16"/>
      <c r="EX54" s="16"/>
      <c r="EY54" s="16"/>
      <c r="EZ54" s="16"/>
      <c r="FA54" s="16"/>
      <c r="FB54" s="16"/>
      <c r="FC54" s="16"/>
      <c r="FD54" s="16"/>
      <c r="FE54" s="16"/>
      <c r="FF54" s="16"/>
      <c r="FG54" s="16"/>
      <c r="FH54" s="16"/>
      <c r="FI54" s="16"/>
      <c r="FJ54" s="16"/>
      <c r="FK54" s="16"/>
      <c r="FL54" s="16"/>
      <c r="FM54" s="16"/>
      <c r="FN54" s="16"/>
      <c r="FO54" s="16"/>
      <c r="FP54" s="16"/>
      <c r="FQ54" s="16"/>
      <c r="FR54" s="16"/>
      <c r="FS54" s="16"/>
      <c r="FT54" s="16"/>
      <c r="FU54" s="16"/>
      <c r="FV54" s="16"/>
      <c r="FW54" s="16"/>
      <c r="FX54" s="16"/>
      <c r="FY54" s="16"/>
      <c r="FZ54" s="16"/>
      <c r="GA54" s="16"/>
      <c r="GB54" s="16"/>
      <c r="GC54" s="16"/>
      <c r="GD54" s="16"/>
      <c r="GE54" s="16"/>
      <c r="GF54" s="16"/>
      <c r="GG54" s="16"/>
      <c r="GH54" s="16"/>
      <c r="GI54" s="16"/>
      <c r="GJ54" s="16"/>
      <c r="GK54" s="16"/>
      <c r="GL54" s="16"/>
      <c r="GM54" s="16"/>
      <c r="GN54" s="16"/>
      <c r="GO54" s="16"/>
      <c r="GP54" s="16"/>
      <c r="GQ54" s="16"/>
      <c r="GR54" s="16"/>
      <c r="GS54" s="16"/>
      <c r="GT54" s="16"/>
      <c r="GU54" s="16"/>
      <c r="GV54" s="16"/>
      <c r="GW54" s="16"/>
      <c r="GX54" s="16"/>
      <c r="GY54" s="16"/>
      <c r="GZ54" s="16"/>
      <c r="HA54" s="16"/>
      <c r="HB54" s="16"/>
      <c r="HC54" s="16"/>
      <c r="HD54" s="16"/>
      <c r="HE54" s="16"/>
      <c r="HF54" s="16"/>
      <c r="HG54" s="16"/>
      <c r="HH54" s="16"/>
      <c r="HI54" s="16"/>
      <c r="HJ54" s="16"/>
      <c r="HK54" s="16"/>
      <c r="HL54" s="16"/>
      <c r="HM54" s="16"/>
      <c r="HN54" s="16"/>
      <c r="HO54" s="16"/>
      <c r="HP54" s="16"/>
      <c r="HQ54" s="16"/>
      <c r="HR54" s="16"/>
      <c r="HS54" s="16"/>
      <c r="HT54" s="16"/>
      <c r="HU54" s="16"/>
      <c r="HV54" s="16"/>
      <c r="HW54" s="16"/>
      <c r="HX54" s="16"/>
      <c r="HY54" s="16"/>
      <c r="HZ54" s="16"/>
      <c r="IA54" s="16"/>
      <c r="IB54" s="16"/>
      <c r="IC54" s="16"/>
      <c r="ID54" s="16"/>
      <c r="IE54" s="16"/>
      <c r="IF54" s="16"/>
      <c r="IG54" s="16"/>
      <c r="IH54" s="16"/>
      <c r="II54" s="16"/>
      <c r="IJ54" s="16"/>
      <c r="IK54" s="16"/>
      <c r="IL54" s="16"/>
      <c r="IM54" s="16"/>
      <c r="IN54" s="16"/>
      <c r="IO54" s="16"/>
      <c r="IP54" s="16"/>
      <c r="IQ54" s="16"/>
      <c r="IR54" s="16"/>
      <c r="IS54" s="16"/>
      <c r="IT54" s="16"/>
      <c r="IU54" s="16"/>
      <c r="IV54" s="16"/>
      <c r="IW54" s="16"/>
      <c r="IX54" s="16"/>
      <c r="IY54" s="16"/>
      <c r="IZ54" s="16"/>
      <c r="JA54" s="16"/>
      <c r="JB54" s="16"/>
      <c r="JC54" s="16"/>
      <c r="JD54" s="16"/>
    </row>
    <row r="55" spans="1:264" s="5" customFormat="1" ht="80.25" hidden="1" customHeight="1" x14ac:dyDescent="0.3">
      <c r="A55" s="15" t="s">
        <v>25</v>
      </c>
      <c r="B55" s="15" t="s">
        <v>239</v>
      </c>
      <c r="C55" s="15" t="s">
        <v>127</v>
      </c>
      <c r="D55" s="15" t="s">
        <v>32</v>
      </c>
      <c r="E55" s="15" t="s">
        <v>19</v>
      </c>
      <c r="F55" s="15" t="s">
        <v>19</v>
      </c>
      <c r="G55" s="15" t="s">
        <v>19</v>
      </c>
      <c r="H55" s="15" t="s">
        <v>19</v>
      </c>
      <c r="I55" s="18" t="s">
        <v>19</v>
      </c>
      <c r="J55" s="18" t="s">
        <v>19</v>
      </c>
      <c r="K55" s="18" t="s">
        <v>19</v>
      </c>
      <c r="L55" s="18" t="s">
        <v>19</v>
      </c>
      <c r="M55" s="15" t="s">
        <v>2889</v>
      </c>
      <c r="N55" s="4" t="s">
        <v>128</v>
      </c>
      <c r="O55" s="15"/>
      <c r="P55" s="4" t="s">
        <v>1482</v>
      </c>
      <c r="S55" s="15" t="e" cm="1">
        <f t="array" aca="1" ref="S55" ca="1">COMMONMARKETCOUNT(H55:AV55)</f>
        <v>#NAME?</v>
      </c>
      <c r="T55" s="6" t="e" cm="1">
        <f t="array" aca="1" ref="T55" ca="1">AUTOMATEDCOUNT(H55:AV55)</f>
        <v>#NAME?</v>
      </c>
      <c r="V55" s="15" t="s">
        <v>109</v>
      </c>
      <c r="W55" s="15" t="s">
        <v>109</v>
      </c>
      <c r="X55" s="15" t="s">
        <v>19</v>
      </c>
      <c r="Y55" s="15" t="s">
        <v>19</v>
      </c>
      <c r="Z55" s="15" t="s">
        <v>19</v>
      </c>
      <c r="AA55" s="18" t="s">
        <v>19</v>
      </c>
      <c r="AB55" s="18" t="s">
        <v>19</v>
      </c>
      <c r="AC55" s="18" t="s">
        <v>19</v>
      </c>
      <c r="AD55" s="18" t="s">
        <v>19</v>
      </c>
      <c r="AE55" s="18" t="s">
        <v>19</v>
      </c>
      <c r="AF55" s="15" t="s">
        <v>109</v>
      </c>
      <c r="AG55" s="18" t="s">
        <v>109</v>
      </c>
      <c r="AH55" s="18" t="s">
        <v>109</v>
      </c>
      <c r="AI55" s="18" t="s">
        <v>109</v>
      </c>
      <c r="AJ55" s="18" t="s">
        <v>109</v>
      </c>
      <c r="AK55" s="18" t="s">
        <v>109</v>
      </c>
      <c r="AL55" s="18" t="s">
        <v>109</v>
      </c>
      <c r="AM55" s="18" t="s">
        <v>109</v>
      </c>
      <c r="AN55" s="18" t="s">
        <v>109</v>
      </c>
      <c r="AO55" s="18" t="s">
        <v>109</v>
      </c>
      <c r="AP55" s="18" t="s">
        <v>109</v>
      </c>
      <c r="AQ55" s="18" t="s">
        <v>109</v>
      </c>
      <c r="AR55" s="18" t="s">
        <v>109</v>
      </c>
      <c r="AS55" s="18" t="s">
        <v>109</v>
      </c>
      <c r="AT55" s="18" t="s">
        <v>109</v>
      </c>
      <c r="AU55" s="18" t="s">
        <v>109</v>
      </c>
      <c r="AV55" s="36" t="s">
        <v>109</v>
      </c>
      <c r="AW55" s="16"/>
      <c r="AX55" s="16"/>
      <c r="AY55" s="16"/>
      <c r="AZ55" s="16"/>
      <c r="BA55" s="16"/>
      <c r="BB55" s="16"/>
      <c r="BC55" s="16"/>
      <c r="BD55" s="16"/>
      <c r="BE55" s="16"/>
      <c r="BF55" s="16"/>
      <c r="BG55" s="16"/>
      <c r="BH55" s="16"/>
      <c r="BI55" s="16"/>
      <c r="BJ55" s="16"/>
      <c r="BK55" s="16"/>
      <c r="BL55" s="16"/>
      <c r="BM55" s="16"/>
      <c r="BN55" s="16"/>
      <c r="BO55" s="16"/>
      <c r="BP55" s="16"/>
      <c r="BQ55" s="16"/>
      <c r="BR55" s="16"/>
      <c r="BS55" s="16"/>
      <c r="BT55" s="16"/>
      <c r="BU55" s="16"/>
      <c r="BV55" s="16"/>
      <c r="BW55" s="16"/>
      <c r="BX55" s="16"/>
      <c r="BY55" s="16"/>
      <c r="BZ55" s="16"/>
      <c r="CA55" s="16"/>
      <c r="CB55" s="16"/>
      <c r="CC55" s="16"/>
      <c r="CD55" s="16"/>
      <c r="CE55" s="16"/>
      <c r="CF55" s="16"/>
      <c r="CG55" s="16"/>
      <c r="CH55" s="16"/>
      <c r="CI55" s="16"/>
      <c r="CJ55" s="16"/>
      <c r="CK55" s="16"/>
      <c r="CL55" s="16"/>
      <c r="CM55" s="16"/>
      <c r="CN55" s="16"/>
      <c r="CO55" s="16"/>
      <c r="CP55" s="16"/>
      <c r="CQ55" s="16"/>
      <c r="CR55" s="16"/>
      <c r="CS55" s="16"/>
      <c r="CT55" s="16"/>
      <c r="CU55" s="16"/>
      <c r="CV55" s="16"/>
      <c r="CW55" s="16"/>
      <c r="CX55" s="16"/>
      <c r="CY55" s="16"/>
      <c r="CZ55" s="16"/>
      <c r="DA55" s="16"/>
      <c r="DB55" s="16"/>
      <c r="DC55" s="16"/>
      <c r="DD55" s="16"/>
      <c r="DE55" s="16"/>
      <c r="DF55" s="16"/>
      <c r="DG55" s="16"/>
      <c r="DH55" s="16"/>
      <c r="DI55" s="16"/>
      <c r="DJ55" s="16"/>
      <c r="DK55" s="16"/>
      <c r="DL55" s="16"/>
      <c r="DM55" s="16"/>
      <c r="DN55" s="16"/>
      <c r="DO55" s="16"/>
      <c r="DP55" s="16"/>
      <c r="DQ55" s="16"/>
      <c r="DR55" s="16"/>
      <c r="DS55" s="16"/>
      <c r="DT55" s="16"/>
      <c r="DU55" s="16"/>
      <c r="DV55" s="16"/>
      <c r="DW55" s="16"/>
      <c r="DX55" s="16"/>
      <c r="DY55" s="16"/>
      <c r="DZ55" s="16"/>
      <c r="EA55" s="16"/>
      <c r="EB55" s="16"/>
      <c r="EC55" s="16"/>
      <c r="ED55" s="16"/>
      <c r="EE55" s="16"/>
      <c r="EF55" s="16"/>
      <c r="EG55" s="16"/>
      <c r="EH55" s="16"/>
      <c r="EI55" s="16"/>
      <c r="EJ55" s="16"/>
      <c r="EK55" s="16"/>
      <c r="EL55" s="16"/>
      <c r="EM55" s="16"/>
      <c r="EN55" s="16"/>
      <c r="EO55" s="16"/>
      <c r="EP55" s="16"/>
      <c r="EQ55" s="16"/>
      <c r="ER55" s="16"/>
      <c r="ES55" s="16"/>
      <c r="ET55" s="16"/>
      <c r="EU55" s="16"/>
      <c r="EV55" s="16"/>
      <c r="EW55" s="16"/>
      <c r="EX55" s="16"/>
      <c r="EY55" s="16"/>
      <c r="EZ55" s="16"/>
      <c r="FA55" s="16"/>
      <c r="FB55" s="16"/>
      <c r="FC55" s="16"/>
      <c r="FD55" s="16"/>
      <c r="FE55" s="16"/>
      <c r="FF55" s="16"/>
      <c r="FG55" s="16"/>
      <c r="FH55" s="16"/>
      <c r="FI55" s="16"/>
      <c r="FJ55" s="16"/>
      <c r="FK55" s="16"/>
      <c r="FL55" s="16"/>
      <c r="FM55" s="16"/>
      <c r="FN55" s="16"/>
      <c r="FO55" s="16"/>
      <c r="FP55" s="16"/>
      <c r="FQ55" s="16"/>
      <c r="FR55" s="16"/>
      <c r="FS55" s="16"/>
      <c r="FT55" s="16"/>
      <c r="FU55" s="16"/>
      <c r="FV55" s="16"/>
      <c r="FW55" s="16"/>
      <c r="FX55" s="16"/>
      <c r="FY55" s="16"/>
      <c r="FZ55" s="16"/>
      <c r="GA55" s="16"/>
      <c r="GB55" s="16"/>
      <c r="GC55" s="16"/>
      <c r="GD55" s="16"/>
      <c r="GE55" s="16"/>
      <c r="GF55" s="16"/>
      <c r="GG55" s="16"/>
      <c r="GH55" s="16"/>
      <c r="GI55" s="16"/>
      <c r="GJ55" s="16"/>
      <c r="GK55" s="16"/>
      <c r="GL55" s="16"/>
      <c r="GM55" s="16"/>
      <c r="GN55" s="16"/>
      <c r="GO55" s="16"/>
      <c r="GP55" s="16"/>
      <c r="GQ55" s="16"/>
      <c r="GR55" s="16"/>
      <c r="GS55" s="16"/>
      <c r="GT55" s="16"/>
      <c r="GU55" s="16"/>
      <c r="GV55" s="16"/>
      <c r="GW55" s="16"/>
      <c r="GX55" s="16"/>
      <c r="GY55" s="16"/>
      <c r="GZ55" s="16"/>
      <c r="HA55" s="16"/>
      <c r="HB55" s="16"/>
      <c r="HC55" s="16"/>
      <c r="HD55" s="16"/>
      <c r="HE55" s="16"/>
      <c r="HF55" s="16"/>
      <c r="HG55" s="16"/>
      <c r="HH55" s="16"/>
      <c r="HI55" s="16"/>
      <c r="HJ55" s="16"/>
      <c r="HK55" s="16"/>
      <c r="HL55" s="16"/>
      <c r="HM55" s="16"/>
      <c r="HN55" s="16"/>
      <c r="HO55" s="16"/>
      <c r="HP55" s="16"/>
      <c r="HQ55" s="16"/>
      <c r="HR55" s="16"/>
      <c r="HS55" s="16"/>
      <c r="HT55" s="16"/>
      <c r="HU55" s="16"/>
      <c r="HV55" s="16"/>
      <c r="HW55" s="16"/>
      <c r="HX55" s="16"/>
      <c r="HY55" s="16"/>
      <c r="HZ55" s="16"/>
      <c r="IA55" s="16"/>
      <c r="IB55" s="16"/>
      <c r="IC55" s="16"/>
      <c r="ID55" s="16"/>
      <c r="IE55" s="16"/>
      <c r="IF55" s="16"/>
      <c r="IG55" s="16"/>
      <c r="IH55" s="16"/>
      <c r="II55" s="16"/>
      <c r="IJ55" s="16"/>
      <c r="IK55" s="16"/>
      <c r="IL55" s="16"/>
      <c r="IM55" s="16"/>
      <c r="IN55" s="16"/>
      <c r="IO55" s="16"/>
      <c r="IP55" s="16"/>
      <c r="IQ55" s="16"/>
      <c r="IR55" s="16"/>
      <c r="IS55" s="16"/>
      <c r="IT55" s="16"/>
      <c r="IU55" s="16"/>
      <c r="IV55" s="16"/>
      <c r="IW55" s="16"/>
      <c r="IX55" s="16"/>
      <c r="IY55" s="16"/>
      <c r="IZ55" s="16"/>
      <c r="JA55" s="16"/>
      <c r="JB55" s="16"/>
      <c r="JC55" s="16"/>
      <c r="JD55" s="16"/>
    </row>
    <row r="56" spans="1:264" s="5" customFormat="1" ht="70.5" hidden="1" customHeight="1" x14ac:dyDescent="0.3">
      <c r="A56" s="15" t="s">
        <v>25</v>
      </c>
      <c r="B56" s="15" t="s">
        <v>37</v>
      </c>
      <c r="C56" s="19" t="s">
        <v>129</v>
      </c>
      <c r="D56" s="15" t="s">
        <v>19</v>
      </c>
      <c r="E56" s="70" t="s">
        <v>19</v>
      </c>
      <c r="F56" s="70" t="s">
        <v>19</v>
      </c>
      <c r="G56" s="70" t="s">
        <v>19</v>
      </c>
      <c r="H56" s="70" t="s">
        <v>3186</v>
      </c>
      <c r="I56" s="72" t="s">
        <v>19</v>
      </c>
      <c r="J56" s="72" t="s">
        <v>19</v>
      </c>
      <c r="K56" s="18" t="s">
        <v>19</v>
      </c>
      <c r="L56" s="18" t="s">
        <v>19</v>
      </c>
      <c r="M56" s="15" t="s">
        <v>130</v>
      </c>
      <c r="N56" s="4" t="s">
        <v>1483</v>
      </c>
      <c r="O56" s="15"/>
      <c r="P56" s="4" t="s">
        <v>1484</v>
      </c>
      <c r="S56" s="15" t="e" cm="1">
        <f t="array" aca="1" ref="S56" ca="1">COMMONMARKETCOUNT(H56:AV56)</f>
        <v>#NAME?</v>
      </c>
      <c r="T56" s="6" t="e" cm="1">
        <f t="array" aca="1" ref="T56" ca="1">AUTOMATEDCOUNT(H56:AV56)</f>
        <v>#NAME?</v>
      </c>
      <c r="V56" s="70" t="s">
        <v>19</v>
      </c>
      <c r="W56" s="70" t="s">
        <v>19</v>
      </c>
      <c r="X56" s="70" t="s">
        <v>19</v>
      </c>
      <c r="Y56" s="70" t="s">
        <v>19</v>
      </c>
      <c r="Z56" s="70" t="s">
        <v>19</v>
      </c>
      <c r="AA56" s="72" t="s">
        <v>19</v>
      </c>
      <c r="AB56" s="72" t="s">
        <v>19</v>
      </c>
      <c r="AC56" s="72" t="s">
        <v>19</v>
      </c>
      <c r="AD56" s="72" t="s">
        <v>19</v>
      </c>
      <c r="AE56" s="18" t="s">
        <v>19</v>
      </c>
      <c r="AF56" s="18" t="s">
        <v>19</v>
      </c>
      <c r="AG56" s="29" t="s">
        <v>19</v>
      </c>
      <c r="AH56" s="18" t="s">
        <v>109</v>
      </c>
      <c r="AI56" s="18" t="s">
        <v>109</v>
      </c>
      <c r="AJ56" s="18" t="s">
        <v>109</v>
      </c>
      <c r="AK56" s="18" t="s">
        <v>109</v>
      </c>
      <c r="AL56" s="18" t="s">
        <v>109</v>
      </c>
      <c r="AM56" s="18" t="s">
        <v>109</v>
      </c>
      <c r="AN56" s="18" t="s">
        <v>109</v>
      </c>
      <c r="AO56" s="18" t="s">
        <v>109</v>
      </c>
      <c r="AP56" s="18" t="s">
        <v>109</v>
      </c>
      <c r="AQ56" s="18" t="s">
        <v>109</v>
      </c>
      <c r="AR56" s="18" t="s">
        <v>109</v>
      </c>
      <c r="AS56" s="18" t="s">
        <v>109</v>
      </c>
      <c r="AT56" s="18" t="s">
        <v>109</v>
      </c>
      <c r="AU56" s="18" t="s">
        <v>109</v>
      </c>
      <c r="AV56" s="36" t="s">
        <v>109</v>
      </c>
      <c r="AW56" s="16"/>
      <c r="AX56" s="16"/>
      <c r="AY56" s="16"/>
      <c r="AZ56" s="16"/>
      <c r="BA56" s="16"/>
      <c r="BB56" s="16"/>
      <c r="BC56" s="16"/>
      <c r="BD56" s="16"/>
      <c r="BE56" s="16"/>
      <c r="BF56" s="16"/>
      <c r="BG56" s="16"/>
      <c r="BH56" s="16"/>
      <c r="BI56" s="16"/>
      <c r="BJ56" s="16"/>
      <c r="BK56" s="16"/>
      <c r="BL56" s="16"/>
      <c r="BM56" s="16"/>
      <c r="BN56" s="16"/>
      <c r="BO56" s="16"/>
      <c r="BP56" s="16"/>
      <c r="BQ56" s="16"/>
      <c r="BR56" s="16"/>
      <c r="BS56" s="16"/>
      <c r="BT56" s="16"/>
      <c r="BU56" s="16"/>
      <c r="BV56" s="16"/>
      <c r="BW56" s="16"/>
      <c r="BX56" s="16"/>
      <c r="BY56" s="16"/>
      <c r="BZ56" s="16"/>
      <c r="CA56" s="16"/>
      <c r="CB56" s="16"/>
      <c r="CC56" s="16"/>
      <c r="CD56" s="16"/>
      <c r="CE56" s="16"/>
      <c r="CF56" s="16"/>
      <c r="CG56" s="16"/>
      <c r="CH56" s="16"/>
      <c r="CI56" s="16"/>
      <c r="CJ56" s="16"/>
      <c r="CK56" s="16"/>
      <c r="CL56" s="16"/>
      <c r="CM56" s="16"/>
      <c r="CN56" s="16"/>
      <c r="CO56" s="16"/>
      <c r="CP56" s="16"/>
      <c r="CQ56" s="16"/>
      <c r="CR56" s="16"/>
      <c r="CS56" s="16"/>
      <c r="CT56" s="16"/>
      <c r="CU56" s="16"/>
      <c r="CV56" s="16"/>
      <c r="CW56" s="16"/>
      <c r="CX56" s="16"/>
      <c r="CY56" s="16"/>
      <c r="CZ56" s="16"/>
      <c r="DA56" s="16"/>
      <c r="DB56" s="16"/>
      <c r="DC56" s="16"/>
      <c r="DD56" s="16"/>
      <c r="DE56" s="16"/>
      <c r="DF56" s="16"/>
      <c r="DG56" s="16"/>
      <c r="DH56" s="16"/>
      <c r="DI56" s="16"/>
      <c r="DJ56" s="16"/>
      <c r="DK56" s="16"/>
      <c r="DL56" s="16"/>
      <c r="DM56" s="16"/>
      <c r="DN56" s="16"/>
      <c r="DO56" s="16"/>
      <c r="DP56" s="16"/>
      <c r="DQ56" s="16"/>
      <c r="DR56" s="16"/>
      <c r="DS56" s="16"/>
      <c r="DT56" s="16"/>
      <c r="DU56" s="16"/>
      <c r="DV56" s="16"/>
      <c r="DW56" s="16"/>
      <c r="DX56" s="16"/>
      <c r="DY56" s="16"/>
      <c r="DZ56" s="16"/>
      <c r="EA56" s="16"/>
      <c r="EB56" s="16"/>
      <c r="EC56" s="16"/>
      <c r="ED56" s="16"/>
      <c r="EE56" s="16"/>
      <c r="EF56" s="16"/>
      <c r="EG56" s="16"/>
      <c r="EH56" s="16"/>
      <c r="EI56" s="16"/>
      <c r="EJ56" s="16"/>
      <c r="EK56" s="16"/>
      <c r="EL56" s="16"/>
      <c r="EM56" s="16"/>
      <c r="EN56" s="16"/>
      <c r="EO56" s="16"/>
      <c r="EP56" s="16"/>
      <c r="EQ56" s="16"/>
      <c r="ER56" s="16"/>
      <c r="ES56" s="16"/>
      <c r="ET56" s="16"/>
      <c r="EU56" s="16"/>
      <c r="EV56" s="16"/>
      <c r="EW56" s="16"/>
      <c r="EX56" s="16"/>
      <c r="EY56" s="16"/>
      <c r="EZ56" s="16"/>
      <c r="FA56" s="16"/>
      <c r="FB56" s="16"/>
      <c r="FC56" s="16"/>
      <c r="FD56" s="16"/>
      <c r="FE56" s="16"/>
      <c r="FF56" s="16"/>
      <c r="FG56" s="16"/>
      <c r="FH56" s="16"/>
      <c r="FI56" s="16"/>
      <c r="FJ56" s="16"/>
      <c r="FK56" s="16"/>
      <c r="FL56" s="16"/>
      <c r="FM56" s="16"/>
      <c r="FN56" s="16"/>
      <c r="FO56" s="16"/>
      <c r="FP56" s="16"/>
      <c r="FQ56" s="16"/>
      <c r="FR56" s="16"/>
      <c r="FS56" s="16"/>
      <c r="FT56" s="16"/>
      <c r="FU56" s="16"/>
      <c r="FV56" s="16"/>
      <c r="FW56" s="16"/>
      <c r="FX56" s="16"/>
      <c r="FY56" s="16"/>
      <c r="FZ56" s="16"/>
      <c r="GA56" s="16"/>
      <c r="GB56" s="16"/>
      <c r="GC56" s="16"/>
      <c r="GD56" s="16"/>
      <c r="GE56" s="16"/>
      <c r="GF56" s="16"/>
      <c r="GG56" s="16"/>
      <c r="GH56" s="16"/>
      <c r="GI56" s="16"/>
      <c r="GJ56" s="16"/>
      <c r="GK56" s="16"/>
      <c r="GL56" s="16"/>
      <c r="GM56" s="16"/>
      <c r="GN56" s="16"/>
      <c r="GO56" s="16"/>
      <c r="GP56" s="16"/>
      <c r="GQ56" s="16"/>
      <c r="GR56" s="16"/>
      <c r="GS56" s="16"/>
      <c r="GT56" s="16"/>
      <c r="GU56" s="16"/>
      <c r="GV56" s="16"/>
      <c r="GW56" s="16"/>
      <c r="GX56" s="16"/>
      <c r="GY56" s="16"/>
      <c r="GZ56" s="16"/>
      <c r="HA56" s="16"/>
      <c r="HB56" s="16"/>
      <c r="HC56" s="16"/>
      <c r="HD56" s="16"/>
      <c r="HE56" s="16"/>
      <c r="HF56" s="16"/>
      <c r="HG56" s="16"/>
      <c r="HH56" s="16"/>
      <c r="HI56" s="16"/>
      <c r="HJ56" s="16"/>
      <c r="HK56" s="16"/>
      <c r="HL56" s="16"/>
      <c r="HM56" s="16"/>
      <c r="HN56" s="16"/>
      <c r="HO56" s="16"/>
      <c r="HP56" s="16"/>
      <c r="HQ56" s="16"/>
      <c r="HR56" s="16"/>
      <c r="HS56" s="16"/>
      <c r="HT56" s="16"/>
      <c r="HU56" s="16"/>
      <c r="HV56" s="16"/>
      <c r="HW56" s="16"/>
      <c r="HX56" s="16"/>
      <c r="HY56" s="16"/>
      <c r="HZ56" s="16"/>
      <c r="IA56" s="16"/>
      <c r="IB56" s="16"/>
      <c r="IC56" s="16"/>
      <c r="ID56" s="16"/>
      <c r="IE56" s="16"/>
      <c r="IF56" s="16"/>
      <c r="IG56" s="16"/>
      <c r="IH56" s="16"/>
      <c r="II56" s="16"/>
      <c r="IJ56" s="16"/>
      <c r="IK56" s="16"/>
      <c r="IL56" s="16"/>
      <c r="IM56" s="16"/>
      <c r="IN56" s="16"/>
      <c r="IO56" s="16"/>
      <c r="IP56" s="16"/>
      <c r="IQ56" s="16"/>
      <c r="IR56" s="16"/>
      <c r="IS56" s="16"/>
      <c r="IT56" s="16"/>
      <c r="IU56" s="16"/>
      <c r="IV56" s="16"/>
      <c r="IW56" s="16"/>
      <c r="IX56" s="16"/>
      <c r="IY56" s="16"/>
      <c r="IZ56" s="16"/>
      <c r="JA56" s="16"/>
      <c r="JB56" s="16"/>
      <c r="JC56" s="16"/>
      <c r="JD56" s="16"/>
    </row>
    <row r="57" spans="1:264" s="5" customFormat="1" ht="70.5" hidden="1" customHeight="1" x14ac:dyDescent="0.3">
      <c r="A57" s="15" t="s">
        <v>25</v>
      </c>
      <c r="B57" s="118" t="s">
        <v>1823</v>
      </c>
      <c r="C57" s="118" t="s">
        <v>131</v>
      </c>
      <c r="D57" s="15" t="s">
        <v>19</v>
      </c>
      <c r="E57" s="70" t="s">
        <v>19</v>
      </c>
      <c r="F57" s="20" t="s">
        <v>3182</v>
      </c>
      <c r="G57" s="15" t="s">
        <v>109</v>
      </c>
      <c r="H57" s="15" t="s">
        <v>109</v>
      </c>
      <c r="I57" s="18" t="s">
        <v>19</v>
      </c>
      <c r="J57" s="18" t="s">
        <v>19</v>
      </c>
      <c r="K57" s="18" t="s">
        <v>19</v>
      </c>
      <c r="L57" s="18" t="s">
        <v>19</v>
      </c>
      <c r="M57" s="15" t="s">
        <v>2890</v>
      </c>
      <c r="N57" s="4" t="s">
        <v>132</v>
      </c>
      <c r="O57" s="15"/>
      <c r="P57" s="4" t="s">
        <v>1485</v>
      </c>
      <c r="S57" s="15" t="e" cm="1">
        <f t="array" aca="1" ref="S57" ca="1">COMMONMARKETCOUNT(H57:AV57)</f>
        <v>#NAME?</v>
      </c>
      <c r="T57" s="6" t="e" cm="1">
        <f t="array" aca="1" ref="T57" ca="1">AUTOMATEDCOUNT(H57:AV57)</f>
        <v>#NAME?</v>
      </c>
      <c r="V57" s="15" t="s">
        <v>109</v>
      </c>
      <c r="W57" s="15" t="s">
        <v>109</v>
      </c>
      <c r="X57" s="70" t="s">
        <v>19</v>
      </c>
      <c r="Y57" s="70" t="s">
        <v>19</v>
      </c>
      <c r="Z57" s="70" t="s">
        <v>19</v>
      </c>
      <c r="AA57" s="18" t="s">
        <v>19</v>
      </c>
      <c r="AB57" s="18" t="s">
        <v>19</v>
      </c>
      <c r="AC57" s="18" t="s">
        <v>19</v>
      </c>
      <c r="AD57" s="18" t="s">
        <v>19</v>
      </c>
      <c r="AE57" s="18" t="s">
        <v>19</v>
      </c>
      <c r="AF57" s="18" t="s">
        <v>19</v>
      </c>
      <c r="AG57" s="18" t="s">
        <v>109</v>
      </c>
      <c r="AH57" s="18" t="s">
        <v>109</v>
      </c>
      <c r="AI57" s="18" t="s">
        <v>109</v>
      </c>
      <c r="AJ57" s="18" t="s">
        <v>109</v>
      </c>
      <c r="AK57" s="18" t="s">
        <v>109</v>
      </c>
      <c r="AL57" s="18" t="s">
        <v>109</v>
      </c>
      <c r="AM57" s="18" t="s">
        <v>109</v>
      </c>
      <c r="AN57" s="18" t="s">
        <v>109</v>
      </c>
      <c r="AO57" s="18" t="s">
        <v>109</v>
      </c>
      <c r="AP57" s="18" t="s">
        <v>109</v>
      </c>
      <c r="AQ57" s="18" t="s">
        <v>109</v>
      </c>
      <c r="AR57" s="18" t="s">
        <v>109</v>
      </c>
      <c r="AS57" s="18" t="s">
        <v>109</v>
      </c>
      <c r="AT57" s="18" t="s">
        <v>109</v>
      </c>
      <c r="AU57" s="18" t="s">
        <v>109</v>
      </c>
      <c r="AV57" s="36" t="s">
        <v>109</v>
      </c>
      <c r="AW57" s="16"/>
      <c r="AX57" s="16"/>
      <c r="AY57" s="16"/>
      <c r="AZ57" s="16"/>
      <c r="BA57" s="16"/>
      <c r="BB57" s="16"/>
      <c r="BC57" s="16"/>
      <c r="BD57" s="16"/>
      <c r="BE57" s="16"/>
      <c r="BF57" s="16"/>
      <c r="BG57" s="16"/>
      <c r="BH57" s="16"/>
      <c r="BI57" s="16"/>
      <c r="BJ57" s="16"/>
      <c r="BK57" s="16"/>
      <c r="BL57" s="16"/>
      <c r="BM57" s="16"/>
      <c r="BN57" s="16"/>
      <c r="BO57" s="16"/>
      <c r="BP57" s="16"/>
      <c r="BQ57" s="16"/>
      <c r="BR57" s="16"/>
      <c r="BS57" s="16"/>
      <c r="BT57" s="16"/>
      <c r="BU57" s="16"/>
      <c r="BV57" s="16"/>
      <c r="BW57" s="16"/>
      <c r="BX57" s="16"/>
      <c r="BY57" s="16"/>
      <c r="BZ57" s="16"/>
      <c r="CA57" s="16"/>
      <c r="CB57" s="16"/>
      <c r="CC57" s="16"/>
      <c r="CD57" s="16"/>
      <c r="CE57" s="16"/>
      <c r="CF57" s="16"/>
      <c r="CG57" s="16"/>
      <c r="CH57" s="16"/>
      <c r="CI57" s="16"/>
      <c r="CJ57" s="16"/>
      <c r="CK57" s="16"/>
      <c r="CL57" s="16"/>
      <c r="CM57" s="16"/>
      <c r="CN57" s="16"/>
      <c r="CO57" s="16"/>
      <c r="CP57" s="16"/>
      <c r="CQ57" s="16"/>
      <c r="CR57" s="16"/>
      <c r="CS57" s="16"/>
      <c r="CT57" s="16"/>
      <c r="CU57" s="16"/>
      <c r="CV57" s="16"/>
      <c r="CW57" s="16"/>
      <c r="CX57" s="16"/>
      <c r="CY57" s="16"/>
      <c r="CZ57" s="16"/>
      <c r="DA57" s="16"/>
      <c r="DB57" s="16"/>
      <c r="DC57" s="16"/>
      <c r="DD57" s="16"/>
      <c r="DE57" s="16"/>
      <c r="DF57" s="16"/>
      <c r="DG57" s="16"/>
      <c r="DH57" s="16"/>
      <c r="DI57" s="16"/>
      <c r="DJ57" s="16"/>
      <c r="DK57" s="16"/>
      <c r="DL57" s="16"/>
      <c r="DM57" s="16"/>
      <c r="DN57" s="16"/>
      <c r="DO57" s="16"/>
      <c r="DP57" s="16"/>
      <c r="DQ57" s="16"/>
      <c r="DR57" s="16"/>
      <c r="DS57" s="16"/>
      <c r="DT57" s="16"/>
      <c r="DU57" s="16"/>
      <c r="DV57" s="16"/>
      <c r="DW57" s="16"/>
      <c r="DX57" s="16"/>
      <c r="DY57" s="16"/>
      <c r="DZ57" s="16"/>
      <c r="EA57" s="16"/>
      <c r="EB57" s="16"/>
      <c r="EC57" s="16"/>
      <c r="ED57" s="16"/>
      <c r="EE57" s="16"/>
      <c r="EF57" s="16"/>
      <c r="EG57" s="16"/>
      <c r="EH57" s="16"/>
      <c r="EI57" s="16"/>
      <c r="EJ57" s="16"/>
      <c r="EK57" s="16"/>
      <c r="EL57" s="16"/>
      <c r="EM57" s="16"/>
      <c r="EN57" s="16"/>
      <c r="EO57" s="16"/>
      <c r="EP57" s="16"/>
      <c r="EQ57" s="16"/>
      <c r="ER57" s="16"/>
      <c r="ES57" s="16"/>
      <c r="ET57" s="16"/>
      <c r="EU57" s="16"/>
      <c r="EV57" s="16"/>
      <c r="EW57" s="16"/>
      <c r="EX57" s="16"/>
      <c r="EY57" s="16"/>
      <c r="EZ57" s="16"/>
      <c r="FA57" s="16"/>
      <c r="FB57" s="16"/>
      <c r="FC57" s="16"/>
      <c r="FD57" s="16"/>
      <c r="FE57" s="16"/>
      <c r="FF57" s="16"/>
      <c r="FG57" s="16"/>
      <c r="FH57" s="16"/>
      <c r="FI57" s="16"/>
      <c r="FJ57" s="16"/>
      <c r="FK57" s="16"/>
      <c r="FL57" s="16"/>
      <c r="FM57" s="16"/>
      <c r="FN57" s="16"/>
      <c r="FO57" s="16"/>
      <c r="FP57" s="16"/>
      <c r="FQ57" s="16"/>
      <c r="FR57" s="16"/>
      <c r="FS57" s="16"/>
      <c r="FT57" s="16"/>
      <c r="FU57" s="16"/>
      <c r="FV57" s="16"/>
      <c r="FW57" s="16"/>
      <c r="FX57" s="16"/>
      <c r="FY57" s="16"/>
      <c r="FZ57" s="16"/>
      <c r="GA57" s="16"/>
      <c r="GB57" s="16"/>
      <c r="GC57" s="16"/>
      <c r="GD57" s="16"/>
      <c r="GE57" s="16"/>
      <c r="GF57" s="16"/>
      <c r="GG57" s="16"/>
      <c r="GH57" s="16"/>
      <c r="GI57" s="16"/>
      <c r="GJ57" s="16"/>
      <c r="GK57" s="16"/>
      <c r="GL57" s="16"/>
      <c r="GM57" s="16"/>
      <c r="GN57" s="16"/>
      <c r="GO57" s="16"/>
      <c r="GP57" s="16"/>
      <c r="GQ57" s="16"/>
      <c r="GR57" s="16"/>
      <c r="GS57" s="16"/>
      <c r="GT57" s="16"/>
      <c r="GU57" s="16"/>
      <c r="GV57" s="16"/>
      <c r="GW57" s="16"/>
      <c r="GX57" s="16"/>
      <c r="GY57" s="16"/>
      <c r="GZ57" s="16"/>
      <c r="HA57" s="16"/>
      <c r="HB57" s="16"/>
      <c r="HC57" s="16"/>
      <c r="HD57" s="16"/>
      <c r="HE57" s="16"/>
      <c r="HF57" s="16"/>
      <c r="HG57" s="16"/>
      <c r="HH57" s="16"/>
      <c r="HI57" s="16"/>
      <c r="HJ57" s="16"/>
      <c r="HK57" s="16"/>
      <c r="HL57" s="16"/>
      <c r="HM57" s="16"/>
      <c r="HN57" s="16"/>
      <c r="HO57" s="16"/>
      <c r="HP57" s="16"/>
      <c r="HQ57" s="16"/>
      <c r="HR57" s="16"/>
      <c r="HS57" s="16"/>
      <c r="HT57" s="16"/>
      <c r="HU57" s="16"/>
      <c r="HV57" s="16"/>
      <c r="HW57" s="16"/>
      <c r="HX57" s="16"/>
      <c r="HY57" s="16"/>
      <c r="HZ57" s="16"/>
      <c r="IA57" s="16"/>
      <c r="IB57" s="16"/>
      <c r="IC57" s="16"/>
      <c r="ID57" s="16"/>
      <c r="IE57" s="16"/>
      <c r="IF57" s="16"/>
      <c r="IG57" s="16"/>
      <c r="IH57" s="16"/>
      <c r="II57" s="16"/>
      <c r="IJ57" s="16"/>
      <c r="IK57" s="16"/>
      <c r="IL57" s="16"/>
      <c r="IM57" s="16"/>
      <c r="IN57" s="16"/>
      <c r="IO57" s="16"/>
      <c r="IP57" s="16"/>
      <c r="IQ57" s="16"/>
      <c r="IR57" s="16"/>
      <c r="IS57" s="16"/>
      <c r="IT57" s="16"/>
      <c r="IU57" s="16"/>
      <c r="IV57" s="16"/>
      <c r="IW57" s="16"/>
      <c r="IX57" s="16"/>
      <c r="IY57" s="16"/>
      <c r="IZ57" s="16"/>
      <c r="JA57" s="16"/>
      <c r="JB57" s="16"/>
      <c r="JC57" s="16"/>
      <c r="JD57" s="16"/>
    </row>
    <row r="58" spans="1:264" s="5" customFormat="1" ht="70.5" hidden="1" customHeight="1" x14ac:dyDescent="0.3">
      <c r="A58" s="15" t="s">
        <v>25</v>
      </c>
      <c r="B58" s="15" t="s">
        <v>37</v>
      </c>
      <c r="C58" s="19" t="s">
        <v>133</v>
      </c>
      <c r="D58" s="15" t="s">
        <v>19</v>
      </c>
      <c r="E58" s="70" t="s">
        <v>19</v>
      </c>
      <c r="F58" s="70" t="s">
        <v>19</v>
      </c>
      <c r="G58" s="70" t="s">
        <v>19</v>
      </c>
      <c r="H58" s="70" t="s">
        <v>3186</v>
      </c>
      <c r="I58" s="72" t="s">
        <v>19</v>
      </c>
      <c r="J58" s="72" t="s">
        <v>19</v>
      </c>
      <c r="K58" s="18" t="s">
        <v>109</v>
      </c>
      <c r="L58" s="18" t="s">
        <v>109</v>
      </c>
      <c r="M58" s="15" t="s">
        <v>134</v>
      </c>
      <c r="N58" s="4" t="s">
        <v>1486</v>
      </c>
      <c r="O58" s="15"/>
      <c r="P58" s="4" t="s">
        <v>1487</v>
      </c>
      <c r="S58" s="15" t="e" cm="1">
        <f t="array" aca="1" ref="S58" ca="1">COMMONMARKETCOUNT(H58:AV58)</f>
        <v>#NAME?</v>
      </c>
      <c r="T58" s="6" t="e" cm="1">
        <f t="array" aca="1" ref="T58" ca="1">AUTOMATEDCOUNT(H58:AV58)</f>
        <v>#NAME?</v>
      </c>
      <c r="V58" s="15" t="s">
        <v>109</v>
      </c>
      <c r="W58" s="15" t="s">
        <v>109</v>
      </c>
      <c r="X58" s="70" t="s">
        <v>19</v>
      </c>
      <c r="Y58" s="70" t="s">
        <v>19</v>
      </c>
      <c r="Z58" s="70" t="s">
        <v>19</v>
      </c>
      <c r="AA58" s="72" t="s">
        <v>19</v>
      </c>
      <c r="AB58" s="72" t="s">
        <v>19</v>
      </c>
      <c r="AC58" s="72" t="s">
        <v>19</v>
      </c>
      <c r="AD58" s="72" t="s">
        <v>19</v>
      </c>
      <c r="AE58" s="18" t="s">
        <v>19</v>
      </c>
      <c r="AF58" s="18" t="s">
        <v>109</v>
      </c>
      <c r="AG58" s="18" t="s">
        <v>109</v>
      </c>
      <c r="AH58" s="18" t="s">
        <v>109</v>
      </c>
      <c r="AI58" s="18" t="s">
        <v>109</v>
      </c>
      <c r="AJ58" s="18" t="s">
        <v>109</v>
      </c>
      <c r="AK58" s="18" t="s">
        <v>109</v>
      </c>
      <c r="AL58" s="18" t="s">
        <v>109</v>
      </c>
      <c r="AM58" s="18" t="s">
        <v>109</v>
      </c>
      <c r="AN58" s="18" t="s">
        <v>109</v>
      </c>
      <c r="AO58" s="18" t="s">
        <v>109</v>
      </c>
      <c r="AP58" s="18" t="s">
        <v>109</v>
      </c>
      <c r="AQ58" s="18" t="s">
        <v>109</v>
      </c>
      <c r="AR58" s="18" t="s">
        <v>109</v>
      </c>
      <c r="AS58" s="18" t="s">
        <v>109</v>
      </c>
      <c r="AT58" s="18" t="s">
        <v>109</v>
      </c>
      <c r="AU58" s="18" t="s">
        <v>109</v>
      </c>
      <c r="AV58" s="36" t="s">
        <v>109</v>
      </c>
      <c r="AW58" s="16"/>
      <c r="AX58" s="16"/>
      <c r="AY58" s="16"/>
      <c r="AZ58" s="16"/>
      <c r="BA58" s="16"/>
      <c r="BB58" s="16"/>
      <c r="BC58" s="16"/>
      <c r="BD58" s="16"/>
      <c r="BE58" s="16"/>
      <c r="BF58" s="16"/>
      <c r="BG58" s="16"/>
      <c r="BH58" s="16"/>
      <c r="BI58" s="16"/>
      <c r="BJ58" s="16"/>
      <c r="BK58" s="16"/>
      <c r="BL58" s="16"/>
      <c r="BM58" s="16"/>
      <c r="BN58" s="16"/>
      <c r="BO58" s="16"/>
      <c r="BP58" s="16"/>
      <c r="BQ58" s="16"/>
      <c r="BR58" s="16"/>
      <c r="BS58" s="16"/>
      <c r="BT58" s="16"/>
      <c r="BU58" s="16"/>
      <c r="BV58" s="16"/>
      <c r="BW58" s="16"/>
      <c r="BX58" s="16"/>
      <c r="BY58" s="16"/>
      <c r="BZ58" s="16"/>
      <c r="CA58" s="16"/>
      <c r="CB58" s="16"/>
      <c r="CC58" s="16"/>
      <c r="CD58" s="16"/>
      <c r="CE58" s="16"/>
      <c r="CF58" s="16"/>
      <c r="CG58" s="16"/>
      <c r="CH58" s="16"/>
      <c r="CI58" s="16"/>
      <c r="CJ58" s="16"/>
      <c r="CK58" s="16"/>
      <c r="CL58" s="16"/>
      <c r="CM58" s="16"/>
      <c r="CN58" s="16"/>
      <c r="CO58" s="16"/>
      <c r="CP58" s="16"/>
      <c r="CQ58" s="16"/>
      <c r="CR58" s="16"/>
      <c r="CS58" s="16"/>
      <c r="CT58" s="16"/>
      <c r="CU58" s="16"/>
      <c r="CV58" s="16"/>
      <c r="CW58" s="16"/>
      <c r="CX58" s="16"/>
      <c r="CY58" s="16"/>
      <c r="CZ58" s="16"/>
      <c r="DA58" s="16"/>
      <c r="DB58" s="16"/>
      <c r="DC58" s="16"/>
      <c r="DD58" s="16"/>
      <c r="DE58" s="16"/>
      <c r="DF58" s="16"/>
      <c r="DG58" s="16"/>
      <c r="DH58" s="16"/>
      <c r="DI58" s="16"/>
      <c r="DJ58" s="16"/>
      <c r="DK58" s="16"/>
      <c r="DL58" s="16"/>
      <c r="DM58" s="16"/>
      <c r="DN58" s="16"/>
      <c r="DO58" s="16"/>
      <c r="DP58" s="16"/>
      <c r="DQ58" s="16"/>
      <c r="DR58" s="16"/>
      <c r="DS58" s="16"/>
      <c r="DT58" s="16"/>
      <c r="DU58" s="16"/>
      <c r="DV58" s="16"/>
      <c r="DW58" s="16"/>
      <c r="DX58" s="16"/>
      <c r="DY58" s="16"/>
      <c r="DZ58" s="16"/>
      <c r="EA58" s="16"/>
      <c r="EB58" s="16"/>
      <c r="EC58" s="16"/>
      <c r="ED58" s="16"/>
      <c r="EE58" s="16"/>
      <c r="EF58" s="16"/>
      <c r="EG58" s="16"/>
      <c r="EH58" s="16"/>
      <c r="EI58" s="16"/>
      <c r="EJ58" s="16"/>
      <c r="EK58" s="16"/>
      <c r="EL58" s="16"/>
      <c r="EM58" s="16"/>
      <c r="EN58" s="16"/>
      <c r="EO58" s="16"/>
      <c r="EP58" s="16"/>
      <c r="EQ58" s="16"/>
      <c r="ER58" s="16"/>
      <c r="ES58" s="16"/>
      <c r="ET58" s="16"/>
      <c r="EU58" s="16"/>
      <c r="EV58" s="16"/>
      <c r="EW58" s="16"/>
      <c r="EX58" s="16"/>
      <c r="EY58" s="16"/>
      <c r="EZ58" s="16"/>
      <c r="FA58" s="16"/>
      <c r="FB58" s="16"/>
      <c r="FC58" s="16"/>
      <c r="FD58" s="16"/>
      <c r="FE58" s="16"/>
      <c r="FF58" s="16"/>
      <c r="FG58" s="16"/>
      <c r="FH58" s="16"/>
      <c r="FI58" s="16"/>
      <c r="FJ58" s="16"/>
      <c r="FK58" s="16"/>
      <c r="FL58" s="16"/>
      <c r="FM58" s="16"/>
      <c r="FN58" s="16"/>
      <c r="FO58" s="16"/>
      <c r="FP58" s="16"/>
      <c r="FQ58" s="16"/>
      <c r="FR58" s="16"/>
      <c r="FS58" s="16"/>
      <c r="FT58" s="16"/>
      <c r="FU58" s="16"/>
      <c r="FV58" s="16"/>
      <c r="FW58" s="16"/>
      <c r="FX58" s="16"/>
      <c r="FY58" s="16"/>
      <c r="FZ58" s="16"/>
      <c r="GA58" s="16"/>
      <c r="GB58" s="16"/>
      <c r="GC58" s="16"/>
      <c r="GD58" s="16"/>
      <c r="GE58" s="16"/>
      <c r="GF58" s="16"/>
      <c r="GG58" s="16"/>
      <c r="GH58" s="16"/>
      <c r="GI58" s="16"/>
      <c r="GJ58" s="16"/>
      <c r="GK58" s="16"/>
      <c r="GL58" s="16"/>
      <c r="GM58" s="16"/>
      <c r="GN58" s="16"/>
      <c r="GO58" s="16"/>
      <c r="GP58" s="16"/>
      <c r="GQ58" s="16"/>
      <c r="GR58" s="16"/>
      <c r="GS58" s="16"/>
      <c r="GT58" s="16"/>
      <c r="GU58" s="16"/>
      <c r="GV58" s="16"/>
      <c r="GW58" s="16"/>
      <c r="GX58" s="16"/>
      <c r="GY58" s="16"/>
      <c r="GZ58" s="16"/>
      <c r="HA58" s="16"/>
      <c r="HB58" s="16"/>
      <c r="HC58" s="16"/>
      <c r="HD58" s="16"/>
      <c r="HE58" s="16"/>
      <c r="HF58" s="16"/>
      <c r="HG58" s="16"/>
      <c r="HH58" s="16"/>
      <c r="HI58" s="16"/>
      <c r="HJ58" s="16"/>
      <c r="HK58" s="16"/>
      <c r="HL58" s="16"/>
      <c r="HM58" s="16"/>
      <c r="HN58" s="16"/>
      <c r="HO58" s="16"/>
      <c r="HP58" s="16"/>
      <c r="HQ58" s="16"/>
      <c r="HR58" s="16"/>
      <c r="HS58" s="16"/>
      <c r="HT58" s="16"/>
      <c r="HU58" s="16"/>
      <c r="HV58" s="16"/>
      <c r="HW58" s="16"/>
      <c r="HX58" s="16"/>
      <c r="HY58" s="16"/>
      <c r="HZ58" s="16"/>
      <c r="IA58" s="16"/>
      <c r="IB58" s="16"/>
      <c r="IC58" s="16"/>
      <c r="ID58" s="16"/>
      <c r="IE58" s="16"/>
      <c r="IF58" s="16"/>
      <c r="IG58" s="16"/>
      <c r="IH58" s="16"/>
      <c r="II58" s="16"/>
      <c r="IJ58" s="16"/>
      <c r="IK58" s="16"/>
      <c r="IL58" s="16"/>
      <c r="IM58" s="16"/>
      <c r="IN58" s="16"/>
      <c r="IO58" s="16"/>
      <c r="IP58" s="16"/>
      <c r="IQ58" s="16"/>
      <c r="IR58" s="16"/>
      <c r="IS58" s="16"/>
      <c r="IT58" s="16"/>
      <c r="IU58" s="16"/>
      <c r="IV58" s="16"/>
      <c r="IW58" s="16"/>
      <c r="IX58" s="16"/>
      <c r="IY58" s="16"/>
      <c r="IZ58" s="16"/>
      <c r="JA58" s="16"/>
      <c r="JB58" s="16"/>
      <c r="JC58" s="16"/>
      <c r="JD58" s="16"/>
    </row>
    <row r="59" spans="1:264" ht="70.5" hidden="1" customHeight="1" x14ac:dyDescent="0.3">
      <c r="A59" s="15" t="s">
        <v>25</v>
      </c>
      <c r="B59" s="15" t="s">
        <v>37</v>
      </c>
      <c r="C59" s="15" t="s">
        <v>135</v>
      </c>
      <c r="D59" s="15" t="s">
        <v>19</v>
      </c>
      <c r="E59" s="20" t="s">
        <v>19</v>
      </c>
      <c r="F59" s="20" t="s">
        <v>19</v>
      </c>
      <c r="G59" s="70" t="s">
        <v>19</v>
      </c>
      <c r="H59" s="70" t="s">
        <v>3186</v>
      </c>
      <c r="I59" s="72" t="s">
        <v>19</v>
      </c>
      <c r="J59" s="72" t="s">
        <v>19</v>
      </c>
      <c r="K59" s="18" t="s">
        <v>109</v>
      </c>
      <c r="L59" s="18" t="s">
        <v>109</v>
      </c>
      <c r="M59" s="15" t="s">
        <v>136</v>
      </c>
      <c r="N59" s="4" t="s">
        <v>1488</v>
      </c>
      <c r="O59" s="15"/>
      <c r="P59" s="4" t="s">
        <v>1489</v>
      </c>
      <c r="S59" s="15" t="e" cm="1">
        <f t="array" aca="1" ref="S59" ca="1">COMMONMARKETCOUNT(H59:AV59)</f>
        <v>#NAME?</v>
      </c>
      <c r="T59" s="6" t="e" cm="1">
        <f t="array" aca="1" ref="T59" ca="1">AUTOMATEDCOUNT(H59:AV59)</f>
        <v>#NAME?</v>
      </c>
      <c r="V59" s="15" t="s">
        <v>109</v>
      </c>
      <c r="W59" s="15" t="s">
        <v>109</v>
      </c>
      <c r="X59" s="20" t="s">
        <v>19</v>
      </c>
      <c r="Y59" s="20" t="s">
        <v>19</v>
      </c>
      <c r="Z59" s="20" t="s">
        <v>19</v>
      </c>
      <c r="AA59" s="72" t="s">
        <v>19</v>
      </c>
      <c r="AB59" s="72" t="s">
        <v>19</v>
      </c>
      <c r="AC59" s="72" t="s">
        <v>19</v>
      </c>
      <c r="AD59" s="72" t="s">
        <v>19</v>
      </c>
      <c r="AE59" s="18" t="s">
        <v>19</v>
      </c>
      <c r="AF59" s="18" t="s">
        <v>109</v>
      </c>
      <c r="AG59" s="18" t="s">
        <v>109</v>
      </c>
      <c r="AH59" s="18" t="s">
        <v>109</v>
      </c>
      <c r="AI59" s="18" t="s">
        <v>109</v>
      </c>
      <c r="AJ59" s="18" t="s">
        <v>109</v>
      </c>
      <c r="AK59" s="18" t="s">
        <v>109</v>
      </c>
      <c r="AL59" s="18" t="s">
        <v>109</v>
      </c>
      <c r="AM59" s="18" t="s">
        <v>109</v>
      </c>
      <c r="AN59" s="18" t="s">
        <v>109</v>
      </c>
      <c r="AO59" s="18" t="s">
        <v>109</v>
      </c>
      <c r="AP59" s="18" t="s">
        <v>109</v>
      </c>
      <c r="AQ59" s="18" t="s">
        <v>109</v>
      </c>
      <c r="AR59" s="18" t="s">
        <v>109</v>
      </c>
      <c r="AS59" s="18" t="s">
        <v>109</v>
      </c>
      <c r="AT59" s="18" t="s">
        <v>109</v>
      </c>
      <c r="AU59" s="18" t="s">
        <v>109</v>
      </c>
      <c r="AV59" s="36" t="s">
        <v>109</v>
      </c>
    </row>
    <row r="60" spans="1:264" s="5" customFormat="1" ht="70.5" hidden="1" customHeight="1" x14ac:dyDescent="0.3">
      <c r="A60" s="15" t="s">
        <v>25</v>
      </c>
      <c r="B60" s="15" t="s">
        <v>37</v>
      </c>
      <c r="C60" s="15" t="s">
        <v>137</v>
      </c>
      <c r="D60" s="15" t="s">
        <v>19</v>
      </c>
      <c r="E60" s="70" t="s">
        <v>19</v>
      </c>
      <c r="F60" s="70" t="s">
        <v>19</v>
      </c>
      <c r="G60" s="70" t="s">
        <v>19</v>
      </c>
      <c r="H60" s="70" t="s">
        <v>3186</v>
      </c>
      <c r="I60" s="72" t="s">
        <v>19</v>
      </c>
      <c r="J60" s="72" t="s">
        <v>19</v>
      </c>
      <c r="K60" s="18" t="s">
        <v>19</v>
      </c>
      <c r="L60" s="18" t="s">
        <v>19</v>
      </c>
      <c r="M60" s="15" t="s">
        <v>138</v>
      </c>
      <c r="N60" s="4" t="s">
        <v>1490</v>
      </c>
      <c r="O60" s="15"/>
      <c r="P60" s="4" t="s">
        <v>1491</v>
      </c>
      <c r="S60" s="15" t="e" cm="1">
        <f t="array" aca="1" ref="S60" ca="1">COMMONMARKETCOUNT(H60:AV60)</f>
        <v>#NAME?</v>
      </c>
      <c r="T60" s="6" t="e" cm="1">
        <f t="array" aca="1" ref="T60" ca="1">AUTOMATEDCOUNT(H60:AV60)</f>
        <v>#NAME?</v>
      </c>
      <c r="V60" s="15" t="s">
        <v>109</v>
      </c>
      <c r="W60" s="15" t="s">
        <v>109</v>
      </c>
      <c r="X60" s="70" t="s">
        <v>19</v>
      </c>
      <c r="Y60" s="70" t="s">
        <v>19</v>
      </c>
      <c r="Z60" s="70" t="s">
        <v>19</v>
      </c>
      <c r="AA60" s="72" t="s">
        <v>19</v>
      </c>
      <c r="AB60" s="72" t="s">
        <v>19</v>
      </c>
      <c r="AC60" s="72" t="s">
        <v>19</v>
      </c>
      <c r="AD60" s="72" t="s">
        <v>19</v>
      </c>
      <c r="AE60" s="18" t="s">
        <v>19</v>
      </c>
      <c r="AF60" s="18" t="s">
        <v>19</v>
      </c>
      <c r="AG60" s="18" t="s">
        <v>109</v>
      </c>
      <c r="AH60" s="18" t="s">
        <v>109</v>
      </c>
      <c r="AI60" s="18" t="s">
        <v>109</v>
      </c>
      <c r="AJ60" s="18" t="s">
        <v>109</v>
      </c>
      <c r="AK60" s="18" t="s">
        <v>109</v>
      </c>
      <c r="AL60" s="18" t="s">
        <v>109</v>
      </c>
      <c r="AM60" s="18" t="s">
        <v>109</v>
      </c>
      <c r="AN60" s="18" t="s">
        <v>109</v>
      </c>
      <c r="AO60" s="18" t="s">
        <v>109</v>
      </c>
      <c r="AP60" s="18" t="s">
        <v>109</v>
      </c>
      <c r="AQ60" s="18" t="s">
        <v>109</v>
      </c>
      <c r="AR60" s="18" t="s">
        <v>109</v>
      </c>
      <c r="AS60" s="18" t="s">
        <v>109</v>
      </c>
      <c r="AT60" s="18" t="s">
        <v>109</v>
      </c>
      <c r="AU60" s="18" t="s">
        <v>109</v>
      </c>
      <c r="AV60" s="36" t="s">
        <v>109</v>
      </c>
      <c r="AW60" s="16"/>
      <c r="AX60" s="16"/>
      <c r="AY60" s="16"/>
      <c r="AZ60" s="16"/>
      <c r="BA60" s="16"/>
      <c r="BB60" s="16"/>
      <c r="BC60" s="16"/>
      <c r="BD60" s="16"/>
      <c r="BE60" s="16"/>
      <c r="BF60" s="16"/>
      <c r="BG60" s="16"/>
      <c r="BH60" s="16"/>
      <c r="BI60" s="16"/>
      <c r="BJ60" s="16"/>
      <c r="BK60" s="16"/>
      <c r="BL60" s="16"/>
      <c r="BM60" s="16"/>
      <c r="BN60" s="16"/>
      <c r="BO60" s="16"/>
      <c r="BP60" s="16"/>
      <c r="BQ60" s="16"/>
      <c r="BR60" s="16"/>
      <c r="BS60" s="16"/>
      <c r="BT60" s="16"/>
      <c r="BU60" s="16"/>
      <c r="BV60" s="16"/>
      <c r="BW60" s="16"/>
      <c r="BX60" s="16"/>
      <c r="BY60" s="16"/>
      <c r="BZ60" s="16"/>
      <c r="CA60" s="16"/>
      <c r="CB60" s="16"/>
      <c r="CC60" s="16"/>
      <c r="CD60" s="16"/>
      <c r="CE60" s="16"/>
      <c r="CF60" s="16"/>
      <c r="CG60" s="16"/>
      <c r="CH60" s="16"/>
      <c r="CI60" s="16"/>
      <c r="CJ60" s="16"/>
      <c r="CK60" s="16"/>
      <c r="CL60" s="16"/>
      <c r="CM60" s="16"/>
      <c r="CN60" s="16"/>
      <c r="CO60" s="16"/>
      <c r="CP60" s="16"/>
      <c r="CQ60" s="16"/>
      <c r="CR60" s="16"/>
      <c r="CS60" s="16"/>
      <c r="CT60" s="16"/>
      <c r="CU60" s="16"/>
      <c r="CV60" s="16"/>
      <c r="CW60" s="16"/>
      <c r="CX60" s="16"/>
      <c r="CY60" s="16"/>
      <c r="CZ60" s="16"/>
      <c r="DA60" s="16"/>
      <c r="DB60" s="16"/>
      <c r="DC60" s="16"/>
      <c r="DD60" s="16"/>
      <c r="DE60" s="16"/>
      <c r="DF60" s="16"/>
      <c r="DG60" s="16"/>
      <c r="DH60" s="16"/>
      <c r="DI60" s="16"/>
      <c r="DJ60" s="16"/>
      <c r="DK60" s="16"/>
      <c r="DL60" s="16"/>
      <c r="DM60" s="16"/>
      <c r="DN60" s="16"/>
      <c r="DO60" s="16"/>
      <c r="DP60" s="16"/>
      <c r="DQ60" s="16"/>
      <c r="DR60" s="16"/>
      <c r="DS60" s="16"/>
      <c r="DT60" s="16"/>
      <c r="DU60" s="16"/>
      <c r="DV60" s="16"/>
      <c r="DW60" s="16"/>
      <c r="DX60" s="16"/>
      <c r="DY60" s="16"/>
      <c r="DZ60" s="16"/>
      <c r="EA60" s="16"/>
      <c r="EB60" s="16"/>
      <c r="EC60" s="16"/>
      <c r="ED60" s="16"/>
      <c r="EE60" s="16"/>
      <c r="EF60" s="16"/>
      <c r="EG60" s="16"/>
      <c r="EH60" s="16"/>
      <c r="EI60" s="16"/>
      <c r="EJ60" s="16"/>
      <c r="EK60" s="16"/>
      <c r="EL60" s="16"/>
      <c r="EM60" s="16"/>
      <c r="EN60" s="16"/>
      <c r="EO60" s="16"/>
      <c r="EP60" s="16"/>
      <c r="EQ60" s="16"/>
      <c r="ER60" s="16"/>
      <c r="ES60" s="16"/>
      <c r="ET60" s="16"/>
      <c r="EU60" s="16"/>
      <c r="EV60" s="16"/>
      <c r="EW60" s="16"/>
      <c r="EX60" s="16"/>
      <c r="EY60" s="16"/>
      <c r="EZ60" s="16"/>
      <c r="FA60" s="16"/>
      <c r="FB60" s="16"/>
      <c r="FC60" s="16"/>
      <c r="FD60" s="16"/>
      <c r="FE60" s="16"/>
      <c r="FF60" s="16"/>
      <c r="FG60" s="16"/>
      <c r="FH60" s="16"/>
      <c r="FI60" s="16"/>
      <c r="FJ60" s="16"/>
      <c r="FK60" s="16"/>
      <c r="FL60" s="16"/>
      <c r="FM60" s="16"/>
      <c r="FN60" s="16"/>
      <c r="FO60" s="16"/>
      <c r="FP60" s="16"/>
      <c r="FQ60" s="16"/>
      <c r="FR60" s="16"/>
      <c r="FS60" s="16"/>
      <c r="FT60" s="16"/>
      <c r="FU60" s="16"/>
      <c r="FV60" s="16"/>
      <c r="FW60" s="16"/>
      <c r="FX60" s="16"/>
      <c r="FY60" s="16"/>
      <c r="FZ60" s="16"/>
      <c r="GA60" s="16"/>
      <c r="GB60" s="16"/>
      <c r="GC60" s="16"/>
      <c r="GD60" s="16"/>
      <c r="GE60" s="16"/>
      <c r="GF60" s="16"/>
      <c r="GG60" s="16"/>
      <c r="GH60" s="16"/>
      <c r="GI60" s="16"/>
      <c r="GJ60" s="16"/>
      <c r="GK60" s="16"/>
      <c r="GL60" s="16"/>
      <c r="GM60" s="16"/>
      <c r="GN60" s="16"/>
      <c r="GO60" s="16"/>
      <c r="GP60" s="16"/>
      <c r="GQ60" s="16"/>
      <c r="GR60" s="16"/>
      <c r="GS60" s="16"/>
      <c r="GT60" s="16"/>
      <c r="GU60" s="16"/>
      <c r="GV60" s="16"/>
      <c r="GW60" s="16"/>
      <c r="GX60" s="16"/>
      <c r="GY60" s="16"/>
      <c r="GZ60" s="16"/>
      <c r="HA60" s="16"/>
      <c r="HB60" s="16"/>
      <c r="HC60" s="16"/>
      <c r="HD60" s="16"/>
      <c r="HE60" s="16"/>
      <c r="HF60" s="16"/>
      <c r="HG60" s="16"/>
      <c r="HH60" s="16"/>
      <c r="HI60" s="16"/>
      <c r="HJ60" s="16"/>
      <c r="HK60" s="16"/>
      <c r="HL60" s="16"/>
      <c r="HM60" s="16"/>
      <c r="HN60" s="16"/>
      <c r="HO60" s="16"/>
      <c r="HP60" s="16"/>
      <c r="HQ60" s="16"/>
      <c r="HR60" s="16"/>
      <c r="HS60" s="16"/>
      <c r="HT60" s="16"/>
      <c r="HU60" s="16"/>
      <c r="HV60" s="16"/>
      <c r="HW60" s="16"/>
      <c r="HX60" s="16"/>
      <c r="HY60" s="16"/>
      <c r="HZ60" s="16"/>
      <c r="IA60" s="16"/>
      <c r="IB60" s="16"/>
      <c r="IC60" s="16"/>
      <c r="ID60" s="16"/>
      <c r="IE60" s="16"/>
      <c r="IF60" s="16"/>
      <c r="IG60" s="16"/>
      <c r="IH60" s="16"/>
      <c r="II60" s="16"/>
      <c r="IJ60" s="16"/>
      <c r="IK60" s="16"/>
      <c r="IL60" s="16"/>
      <c r="IM60" s="16"/>
      <c r="IN60" s="16"/>
      <c r="IO60" s="16"/>
      <c r="IP60" s="16"/>
      <c r="IQ60" s="16"/>
      <c r="IR60" s="16"/>
      <c r="IS60" s="16"/>
      <c r="IT60" s="16"/>
      <c r="IU60" s="16"/>
      <c r="IV60" s="16"/>
      <c r="IW60" s="16"/>
      <c r="IX60" s="16"/>
      <c r="IY60" s="16"/>
      <c r="IZ60" s="16"/>
      <c r="JA60" s="16"/>
      <c r="JB60" s="16"/>
      <c r="JC60" s="16"/>
      <c r="JD60" s="16"/>
    </row>
    <row r="61" spans="1:264" ht="70.5" hidden="1" customHeight="1" x14ac:dyDescent="0.3">
      <c r="A61" s="15" t="s">
        <v>25</v>
      </c>
      <c r="B61" s="15" t="s">
        <v>37</v>
      </c>
      <c r="C61" s="15" t="s">
        <v>139</v>
      </c>
      <c r="D61" s="15" t="s">
        <v>19</v>
      </c>
      <c r="E61" s="20" t="s">
        <v>19</v>
      </c>
      <c r="F61" s="20" t="s">
        <v>19</v>
      </c>
      <c r="G61" s="15" t="s">
        <v>109</v>
      </c>
      <c r="H61" s="15" t="s">
        <v>109</v>
      </c>
      <c r="I61" s="18" t="s">
        <v>109</v>
      </c>
      <c r="J61" s="18" t="s">
        <v>109</v>
      </c>
      <c r="K61" s="18" t="s">
        <v>109</v>
      </c>
      <c r="L61" s="18" t="s">
        <v>109</v>
      </c>
      <c r="M61" s="15" t="s">
        <v>1383</v>
      </c>
      <c r="N61" s="4" t="s">
        <v>140</v>
      </c>
      <c r="O61" s="15"/>
      <c r="P61" s="4" t="s">
        <v>1492</v>
      </c>
      <c r="S61" s="15" t="e" cm="1">
        <f t="array" aca="1" ref="S61" ca="1">COMMONMARKETCOUNT(H61:AV61)</f>
        <v>#NAME?</v>
      </c>
      <c r="T61" s="6" t="e" cm="1">
        <f t="array" aca="1" ref="T61" ca="1">AUTOMATEDCOUNT(H61:AV61)</f>
        <v>#NAME?</v>
      </c>
      <c r="V61" s="15" t="s">
        <v>109</v>
      </c>
      <c r="W61" s="15" t="s">
        <v>109</v>
      </c>
      <c r="X61" s="20" t="s">
        <v>19</v>
      </c>
      <c r="Y61" s="20" t="s">
        <v>19</v>
      </c>
      <c r="Z61" s="20" t="s">
        <v>19</v>
      </c>
      <c r="AA61" s="18" t="s">
        <v>109</v>
      </c>
      <c r="AB61" s="18" t="s">
        <v>109</v>
      </c>
      <c r="AC61" s="18" t="s">
        <v>109</v>
      </c>
      <c r="AD61" s="18" t="s">
        <v>19</v>
      </c>
      <c r="AE61" s="18" t="s">
        <v>19</v>
      </c>
      <c r="AF61" s="18" t="s">
        <v>109</v>
      </c>
      <c r="AG61" s="18" t="s">
        <v>109</v>
      </c>
      <c r="AH61" s="18" t="s">
        <v>109</v>
      </c>
      <c r="AI61" s="18" t="s">
        <v>109</v>
      </c>
      <c r="AJ61" s="18" t="s">
        <v>109</v>
      </c>
      <c r="AK61" s="18" t="s">
        <v>109</v>
      </c>
      <c r="AL61" s="18" t="s">
        <v>109</v>
      </c>
      <c r="AM61" s="18" t="s">
        <v>109</v>
      </c>
      <c r="AN61" s="18" t="s">
        <v>109</v>
      </c>
      <c r="AO61" s="18" t="s">
        <v>109</v>
      </c>
      <c r="AP61" s="18" t="s">
        <v>109</v>
      </c>
      <c r="AQ61" s="18" t="s">
        <v>109</v>
      </c>
      <c r="AR61" s="18" t="s">
        <v>109</v>
      </c>
      <c r="AS61" s="18" t="s">
        <v>109</v>
      </c>
      <c r="AT61" s="18" t="s">
        <v>109</v>
      </c>
      <c r="AU61" s="18" t="s">
        <v>109</v>
      </c>
      <c r="AV61" s="36" t="s">
        <v>109</v>
      </c>
    </row>
    <row r="62" spans="1:264" s="5" customFormat="1" ht="70.5" hidden="1" customHeight="1" x14ac:dyDescent="0.3">
      <c r="A62" s="15" t="s">
        <v>25</v>
      </c>
      <c r="B62" s="15" t="s">
        <v>37</v>
      </c>
      <c r="C62" s="15" t="s">
        <v>141</v>
      </c>
      <c r="D62" s="15" t="s">
        <v>19</v>
      </c>
      <c r="E62" s="20" t="s">
        <v>19</v>
      </c>
      <c r="F62" s="20" t="s">
        <v>19</v>
      </c>
      <c r="G62" s="15" t="s">
        <v>109</v>
      </c>
      <c r="H62" s="15" t="s">
        <v>109</v>
      </c>
      <c r="I62" s="18" t="s">
        <v>109</v>
      </c>
      <c r="J62" s="18" t="s">
        <v>109</v>
      </c>
      <c r="K62" s="18" t="s">
        <v>109</v>
      </c>
      <c r="L62" s="18" t="s">
        <v>109</v>
      </c>
      <c r="M62" s="15" t="s">
        <v>1384</v>
      </c>
      <c r="N62" s="4" t="s">
        <v>142</v>
      </c>
      <c r="O62" s="15"/>
      <c r="P62" s="4" t="s">
        <v>1493</v>
      </c>
      <c r="S62" s="15" t="e" cm="1">
        <f t="array" aca="1" ref="S62" ca="1">COMMONMARKETCOUNT(H62:AV62)</f>
        <v>#NAME?</v>
      </c>
      <c r="T62" s="6" t="e" cm="1">
        <f t="array" aca="1" ref="T62" ca="1">AUTOMATEDCOUNT(H62:AV62)</f>
        <v>#NAME?</v>
      </c>
      <c r="V62" s="15" t="s">
        <v>109</v>
      </c>
      <c r="W62" s="15" t="s">
        <v>109</v>
      </c>
      <c r="X62" s="15" t="s">
        <v>109</v>
      </c>
      <c r="Y62" s="15" t="s">
        <v>109</v>
      </c>
      <c r="Z62" s="20" t="s">
        <v>19</v>
      </c>
      <c r="AA62" s="18" t="s">
        <v>109</v>
      </c>
      <c r="AB62" s="18" t="s">
        <v>109</v>
      </c>
      <c r="AC62" s="18" t="s">
        <v>109</v>
      </c>
      <c r="AD62" s="18" t="s">
        <v>109</v>
      </c>
      <c r="AE62" s="18" t="s">
        <v>109</v>
      </c>
      <c r="AF62" s="18" t="s">
        <v>109</v>
      </c>
      <c r="AG62" s="18" t="s">
        <v>109</v>
      </c>
      <c r="AH62" s="18" t="s">
        <v>109</v>
      </c>
      <c r="AI62" s="18" t="s">
        <v>109</v>
      </c>
      <c r="AJ62" s="18" t="s">
        <v>109</v>
      </c>
      <c r="AK62" s="18" t="s">
        <v>109</v>
      </c>
      <c r="AL62" s="18" t="s">
        <v>109</v>
      </c>
      <c r="AM62" s="18" t="s">
        <v>109</v>
      </c>
      <c r="AN62" s="18" t="s">
        <v>109</v>
      </c>
      <c r="AO62" s="18" t="s">
        <v>109</v>
      </c>
      <c r="AP62" s="18" t="s">
        <v>109</v>
      </c>
      <c r="AQ62" s="18" t="s">
        <v>109</v>
      </c>
      <c r="AR62" s="18" t="s">
        <v>109</v>
      </c>
      <c r="AS62" s="18" t="s">
        <v>109</v>
      </c>
      <c r="AT62" s="18" t="s">
        <v>109</v>
      </c>
      <c r="AU62" s="18" t="s">
        <v>109</v>
      </c>
      <c r="AV62" s="36" t="s">
        <v>109</v>
      </c>
      <c r="AW62" s="16"/>
      <c r="AX62" s="16"/>
      <c r="AY62" s="16"/>
      <c r="AZ62" s="16"/>
      <c r="BA62" s="16"/>
      <c r="BB62" s="16"/>
      <c r="BC62" s="16"/>
      <c r="BD62" s="16"/>
      <c r="BE62" s="16"/>
      <c r="BF62" s="16"/>
      <c r="BG62" s="16"/>
      <c r="BH62" s="16"/>
      <c r="BI62" s="16"/>
      <c r="BJ62" s="16"/>
      <c r="BK62" s="16"/>
      <c r="BL62" s="16"/>
      <c r="BM62" s="16"/>
      <c r="BN62" s="16"/>
      <c r="BO62" s="16"/>
      <c r="BP62" s="16"/>
      <c r="BQ62" s="16"/>
      <c r="BR62" s="16"/>
      <c r="BS62" s="16"/>
      <c r="BT62" s="16"/>
      <c r="BU62" s="16"/>
      <c r="BV62" s="16"/>
      <c r="BW62" s="16"/>
      <c r="BX62" s="16"/>
      <c r="BY62" s="16"/>
      <c r="BZ62" s="16"/>
      <c r="CA62" s="16"/>
      <c r="CB62" s="16"/>
      <c r="CC62" s="16"/>
      <c r="CD62" s="16"/>
      <c r="CE62" s="16"/>
      <c r="CF62" s="16"/>
      <c r="CG62" s="16"/>
      <c r="CH62" s="16"/>
      <c r="CI62" s="16"/>
      <c r="CJ62" s="16"/>
      <c r="CK62" s="16"/>
      <c r="CL62" s="16"/>
      <c r="CM62" s="16"/>
      <c r="CN62" s="16"/>
      <c r="CO62" s="16"/>
      <c r="CP62" s="16"/>
      <c r="CQ62" s="16"/>
      <c r="CR62" s="16"/>
      <c r="CS62" s="16"/>
      <c r="CT62" s="16"/>
      <c r="CU62" s="16"/>
      <c r="CV62" s="16"/>
      <c r="CW62" s="16"/>
      <c r="CX62" s="16"/>
      <c r="CY62" s="16"/>
      <c r="CZ62" s="16"/>
      <c r="DA62" s="16"/>
      <c r="DB62" s="16"/>
      <c r="DC62" s="16"/>
      <c r="DD62" s="16"/>
      <c r="DE62" s="16"/>
      <c r="DF62" s="16"/>
      <c r="DG62" s="16"/>
      <c r="DH62" s="16"/>
      <c r="DI62" s="16"/>
      <c r="DJ62" s="16"/>
      <c r="DK62" s="16"/>
      <c r="DL62" s="16"/>
      <c r="DM62" s="16"/>
      <c r="DN62" s="16"/>
      <c r="DO62" s="16"/>
      <c r="DP62" s="16"/>
      <c r="DQ62" s="16"/>
      <c r="DR62" s="16"/>
      <c r="DS62" s="16"/>
      <c r="DT62" s="16"/>
      <c r="DU62" s="16"/>
      <c r="DV62" s="16"/>
      <c r="DW62" s="16"/>
      <c r="DX62" s="16"/>
      <c r="DY62" s="16"/>
      <c r="DZ62" s="16"/>
      <c r="EA62" s="16"/>
      <c r="EB62" s="16"/>
      <c r="EC62" s="16"/>
      <c r="ED62" s="16"/>
      <c r="EE62" s="16"/>
      <c r="EF62" s="16"/>
      <c r="EG62" s="16"/>
      <c r="EH62" s="16"/>
      <c r="EI62" s="16"/>
      <c r="EJ62" s="16"/>
      <c r="EK62" s="16"/>
      <c r="EL62" s="16"/>
      <c r="EM62" s="16"/>
      <c r="EN62" s="16"/>
      <c r="EO62" s="16"/>
      <c r="EP62" s="16"/>
      <c r="EQ62" s="16"/>
      <c r="ER62" s="16"/>
      <c r="ES62" s="16"/>
      <c r="ET62" s="16"/>
      <c r="EU62" s="16"/>
      <c r="EV62" s="16"/>
      <c r="EW62" s="16"/>
      <c r="EX62" s="16"/>
      <c r="EY62" s="16"/>
      <c r="EZ62" s="16"/>
      <c r="FA62" s="16"/>
      <c r="FB62" s="16"/>
      <c r="FC62" s="16"/>
      <c r="FD62" s="16"/>
      <c r="FE62" s="16"/>
      <c r="FF62" s="16"/>
      <c r="FG62" s="16"/>
      <c r="FH62" s="16"/>
      <c r="FI62" s="16"/>
      <c r="FJ62" s="16"/>
      <c r="FK62" s="16"/>
      <c r="FL62" s="16"/>
      <c r="FM62" s="16"/>
      <c r="FN62" s="16"/>
      <c r="FO62" s="16"/>
      <c r="FP62" s="16"/>
      <c r="FQ62" s="16"/>
      <c r="FR62" s="16"/>
      <c r="FS62" s="16"/>
      <c r="FT62" s="16"/>
      <c r="FU62" s="16"/>
      <c r="FV62" s="16"/>
      <c r="FW62" s="16"/>
      <c r="FX62" s="16"/>
      <c r="FY62" s="16"/>
      <c r="FZ62" s="16"/>
      <c r="GA62" s="16"/>
      <c r="GB62" s="16"/>
      <c r="GC62" s="16"/>
      <c r="GD62" s="16"/>
      <c r="GE62" s="16"/>
      <c r="GF62" s="16"/>
      <c r="GG62" s="16"/>
      <c r="GH62" s="16"/>
      <c r="GI62" s="16"/>
      <c r="GJ62" s="16"/>
      <c r="GK62" s="16"/>
      <c r="GL62" s="16"/>
      <c r="GM62" s="16"/>
      <c r="GN62" s="16"/>
      <c r="GO62" s="16"/>
      <c r="GP62" s="16"/>
      <c r="GQ62" s="16"/>
      <c r="GR62" s="16"/>
      <c r="GS62" s="16"/>
      <c r="GT62" s="16"/>
      <c r="GU62" s="16"/>
      <c r="GV62" s="16"/>
      <c r="GW62" s="16"/>
      <c r="GX62" s="16"/>
      <c r="GY62" s="16"/>
      <c r="GZ62" s="16"/>
      <c r="HA62" s="16"/>
      <c r="HB62" s="16"/>
      <c r="HC62" s="16"/>
      <c r="HD62" s="16"/>
      <c r="HE62" s="16"/>
      <c r="HF62" s="16"/>
      <c r="HG62" s="16"/>
      <c r="HH62" s="16"/>
      <c r="HI62" s="16"/>
      <c r="HJ62" s="16"/>
      <c r="HK62" s="16"/>
      <c r="HL62" s="16"/>
      <c r="HM62" s="16"/>
      <c r="HN62" s="16"/>
      <c r="HO62" s="16"/>
      <c r="HP62" s="16"/>
      <c r="HQ62" s="16"/>
      <c r="HR62" s="16"/>
      <c r="HS62" s="16"/>
      <c r="HT62" s="16"/>
      <c r="HU62" s="16"/>
      <c r="HV62" s="16"/>
      <c r="HW62" s="16"/>
      <c r="HX62" s="16"/>
      <c r="HY62" s="16"/>
      <c r="HZ62" s="16"/>
      <c r="IA62" s="16"/>
      <c r="IB62" s="16"/>
      <c r="IC62" s="16"/>
      <c r="ID62" s="16"/>
      <c r="IE62" s="16"/>
      <c r="IF62" s="16"/>
      <c r="IG62" s="16"/>
      <c r="IH62" s="16"/>
      <c r="II62" s="16"/>
      <c r="IJ62" s="16"/>
      <c r="IK62" s="16"/>
      <c r="IL62" s="16"/>
      <c r="IM62" s="16"/>
      <c r="IN62" s="16"/>
      <c r="IO62" s="16"/>
      <c r="IP62" s="16"/>
      <c r="IQ62" s="16"/>
      <c r="IR62" s="16"/>
      <c r="IS62" s="16"/>
      <c r="IT62" s="16"/>
      <c r="IU62" s="16"/>
      <c r="IV62" s="16"/>
      <c r="IW62" s="16"/>
      <c r="IX62" s="16"/>
      <c r="IY62" s="16"/>
      <c r="IZ62" s="16"/>
      <c r="JA62" s="16"/>
      <c r="JB62" s="16"/>
      <c r="JC62" s="16"/>
      <c r="JD62" s="16"/>
    </row>
    <row r="63" spans="1:264" s="5" customFormat="1" ht="70.5" hidden="1" customHeight="1" x14ac:dyDescent="0.3">
      <c r="A63" s="15" t="s">
        <v>25</v>
      </c>
      <c r="B63" s="15" t="s">
        <v>37</v>
      </c>
      <c r="C63" s="15" t="s">
        <v>143</v>
      </c>
      <c r="D63" s="15" t="s">
        <v>19</v>
      </c>
      <c r="E63" s="20" t="s">
        <v>19</v>
      </c>
      <c r="F63" s="20" t="s">
        <v>19</v>
      </c>
      <c r="G63" s="15" t="s">
        <v>109</v>
      </c>
      <c r="H63" s="15" t="s">
        <v>109</v>
      </c>
      <c r="I63" s="18" t="s">
        <v>109</v>
      </c>
      <c r="J63" s="18" t="s">
        <v>109</v>
      </c>
      <c r="K63" s="18" t="s">
        <v>109</v>
      </c>
      <c r="L63" s="18" t="s">
        <v>109</v>
      </c>
      <c r="M63" s="15" t="s">
        <v>1385</v>
      </c>
      <c r="N63" s="4" t="s">
        <v>144</v>
      </c>
      <c r="O63" s="15"/>
      <c r="P63" s="4" t="s">
        <v>1493</v>
      </c>
      <c r="S63" s="15" t="e" cm="1">
        <f t="array" aca="1" ref="S63" ca="1">COMMONMARKETCOUNT(H63:AV63)</f>
        <v>#NAME?</v>
      </c>
      <c r="T63" s="6" t="e" cm="1">
        <f t="array" aca="1" ref="T63" ca="1">AUTOMATEDCOUNT(H63:AV63)</f>
        <v>#NAME?</v>
      </c>
      <c r="V63" s="15" t="s">
        <v>109</v>
      </c>
      <c r="W63" s="15" t="s">
        <v>109</v>
      </c>
      <c r="X63" s="15" t="s">
        <v>109</v>
      </c>
      <c r="Y63" s="15" t="s">
        <v>109</v>
      </c>
      <c r="Z63" s="20" t="s">
        <v>19</v>
      </c>
      <c r="AA63" s="18" t="s">
        <v>109</v>
      </c>
      <c r="AB63" s="18" t="s">
        <v>109</v>
      </c>
      <c r="AC63" s="18" t="s">
        <v>109</v>
      </c>
      <c r="AD63" s="18" t="s">
        <v>109</v>
      </c>
      <c r="AE63" s="18" t="s">
        <v>109</v>
      </c>
      <c r="AF63" s="18" t="s">
        <v>109</v>
      </c>
      <c r="AG63" s="18" t="s">
        <v>109</v>
      </c>
      <c r="AH63" s="18" t="s">
        <v>109</v>
      </c>
      <c r="AI63" s="18" t="s">
        <v>109</v>
      </c>
      <c r="AJ63" s="18" t="s">
        <v>109</v>
      </c>
      <c r="AK63" s="18" t="s">
        <v>109</v>
      </c>
      <c r="AL63" s="18" t="s">
        <v>109</v>
      </c>
      <c r="AM63" s="18" t="s">
        <v>109</v>
      </c>
      <c r="AN63" s="18" t="s">
        <v>109</v>
      </c>
      <c r="AO63" s="18" t="s">
        <v>109</v>
      </c>
      <c r="AP63" s="18" t="s">
        <v>109</v>
      </c>
      <c r="AQ63" s="18" t="s">
        <v>109</v>
      </c>
      <c r="AR63" s="18" t="s">
        <v>109</v>
      </c>
      <c r="AS63" s="18" t="s">
        <v>109</v>
      </c>
      <c r="AT63" s="18" t="s">
        <v>109</v>
      </c>
      <c r="AU63" s="18" t="s">
        <v>109</v>
      </c>
      <c r="AV63" s="36" t="s">
        <v>109</v>
      </c>
      <c r="AW63" s="16"/>
      <c r="AX63" s="16"/>
      <c r="AY63" s="16"/>
      <c r="AZ63" s="16"/>
      <c r="BA63" s="16"/>
      <c r="BB63" s="16"/>
      <c r="BC63" s="16"/>
      <c r="BD63" s="16"/>
      <c r="BE63" s="16"/>
      <c r="BF63" s="16"/>
      <c r="BG63" s="16"/>
      <c r="BH63" s="16"/>
      <c r="BI63" s="16"/>
      <c r="BJ63" s="16"/>
      <c r="BK63" s="16"/>
      <c r="BL63" s="16"/>
      <c r="BM63" s="16"/>
      <c r="BN63" s="16"/>
      <c r="BO63" s="16"/>
      <c r="BP63" s="16"/>
      <c r="BQ63" s="16"/>
      <c r="BR63" s="16"/>
      <c r="BS63" s="16"/>
      <c r="BT63" s="16"/>
      <c r="BU63" s="16"/>
      <c r="BV63" s="16"/>
      <c r="BW63" s="16"/>
      <c r="BX63" s="16"/>
      <c r="BY63" s="16"/>
      <c r="BZ63" s="16"/>
      <c r="CA63" s="16"/>
      <c r="CB63" s="16"/>
      <c r="CC63" s="16"/>
      <c r="CD63" s="16"/>
      <c r="CE63" s="16"/>
      <c r="CF63" s="16"/>
      <c r="CG63" s="16"/>
      <c r="CH63" s="16"/>
      <c r="CI63" s="16"/>
      <c r="CJ63" s="16"/>
      <c r="CK63" s="16"/>
      <c r="CL63" s="16"/>
      <c r="CM63" s="16"/>
      <c r="CN63" s="16"/>
      <c r="CO63" s="16"/>
      <c r="CP63" s="16"/>
      <c r="CQ63" s="16"/>
      <c r="CR63" s="16"/>
      <c r="CS63" s="16"/>
      <c r="CT63" s="16"/>
      <c r="CU63" s="16"/>
      <c r="CV63" s="16"/>
      <c r="CW63" s="16"/>
      <c r="CX63" s="16"/>
      <c r="CY63" s="16"/>
      <c r="CZ63" s="16"/>
      <c r="DA63" s="16"/>
      <c r="DB63" s="16"/>
      <c r="DC63" s="16"/>
      <c r="DD63" s="16"/>
      <c r="DE63" s="16"/>
      <c r="DF63" s="16"/>
      <c r="DG63" s="16"/>
      <c r="DH63" s="16"/>
      <c r="DI63" s="16"/>
      <c r="DJ63" s="16"/>
      <c r="DK63" s="16"/>
      <c r="DL63" s="16"/>
      <c r="DM63" s="16"/>
      <c r="DN63" s="16"/>
      <c r="DO63" s="16"/>
      <c r="DP63" s="16"/>
      <c r="DQ63" s="16"/>
      <c r="DR63" s="16"/>
      <c r="DS63" s="16"/>
      <c r="DT63" s="16"/>
      <c r="DU63" s="16"/>
      <c r="DV63" s="16"/>
      <c r="DW63" s="16"/>
      <c r="DX63" s="16"/>
      <c r="DY63" s="16"/>
      <c r="DZ63" s="16"/>
      <c r="EA63" s="16"/>
      <c r="EB63" s="16"/>
      <c r="EC63" s="16"/>
      <c r="ED63" s="16"/>
      <c r="EE63" s="16"/>
      <c r="EF63" s="16"/>
      <c r="EG63" s="16"/>
      <c r="EH63" s="16"/>
      <c r="EI63" s="16"/>
      <c r="EJ63" s="16"/>
      <c r="EK63" s="16"/>
      <c r="EL63" s="16"/>
      <c r="EM63" s="16"/>
      <c r="EN63" s="16"/>
      <c r="EO63" s="16"/>
      <c r="EP63" s="16"/>
      <c r="EQ63" s="16"/>
      <c r="ER63" s="16"/>
      <c r="ES63" s="16"/>
      <c r="ET63" s="16"/>
      <c r="EU63" s="16"/>
      <c r="EV63" s="16"/>
      <c r="EW63" s="16"/>
      <c r="EX63" s="16"/>
      <c r="EY63" s="16"/>
      <c r="EZ63" s="16"/>
      <c r="FA63" s="16"/>
      <c r="FB63" s="16"/>
      <c r="FC63" s="16"/>
      <c r="FD63" s="16"/>
      <c r="FE63" s="16"/>
      <c r="FF63" s="16"/>
      <c r="FG63" s="16"/>
      <c r="FH63" s="16"/>
      <c r="FI63" s="16"/>
      <c r="FJ63" s="16"/>
      <c r="FK63" s="16"/>
      <c r="FL63" s="16"/>
      <c r="FM63" s="16"/>
      <c r="FN63" s="16"/>
      <c r="FO63" s="16"/>
      <c r="FP63" s="16"/>
      <c r="FQ63" s="16"/>
      <c r="FR63" s="16"/>
      <c r="FS63" s="16"/>
      <c r="FT63" s="16"/>
      <c r="FU63" s="16"/>
      <c r="FV63" s="16"/>
      <c r="FW63" s="16"/>
      <c r="FX63" s="16"/>
      <c r="FY63" s="16"/>
      <c r="FZ63" s="16"/>
      <c r="GA63" s="16"/>
      <c r="GB63" s="16"/>
      <c r="GC63" s="16"/>
      <c r="GD63" s="16"/>
      <c r="GE63" s="16"/>
      <c r="GF63" s="16"/>
      <c r="GG63" s="16"/>
      <c r="GH63" s="16"/>
      <c r="GI63" s="16"/>
      <c r="GJ63" s="16"/>
      <c r="GK63" s="16"/>
      <c r="GL63" s="16"/>
      <c r="GM63" s="16"/>
      <c r="GN63" s="16"/>
      <c r="GO63" s="16"/>
      <c r="GP63" s="16"/>
      <c r="GQ63" s="16"/>
      <c r="GR63" s="16"/>
      <c r="GS63" s="16"/>
      <c r="GT63" s="16"/>
      <c r="GU63" s="16"/>
      <c r="GV63" s="16"/>
      <c r="GW63" s="16"/>
      <c r="GX63" s="16"/>
      <c r="GY63" s="16"/>
      <c r="GZ63" s="16"/>
      <c r="HA63" s="16"/>
      <c r="HB63" s="16"/>
      <c r="HC63" s="16"/>
      <c r="HD63" s="16"/>
      <c r="HE63" s="16"/>
      <c r="HF63" s="16"/>
      <c r="HG63" s="16"/>
      <c r="HH63" s="16"/>
      <c r="HI63" s="16"/>
      <c r="HJ63" s="16"/>
      <c r="HK63" s="16"/>
      <c r="HL63" s="16"/>
      <c r="HM63" s="16"/>
      <c r="HN63" s="16"/>
      <c r="HO63" s="16"/>
      <c r="HP63" s="16"/>
      <c r="HQ63" s="16"/>
      <c r="HR63" s="16"/>
      <c r="HS63" s="16"/>
      <c r="HT63" s="16"/>
      <c r="HU63" s="16"/>
      <c r="HV63" s="16"/>
      <c r="HW63" s="16"/>
      <c r="HX63" s="16"/>
      <c r="HY63" s="16"/>
      <c r="HZ63" s="16"/>
      <c r="IA63" s="16"/>
      <c r="IB63" s="16"/>
      <c r="IC63" s="16"/>
      <c r="ID63" s="16"/>
      <c r="IE63" s="16"/>
      <c r="IF63" s="16"/>
      <c r="IG63" s="16"/>
      <c r="IH63" s="16"/>
      <c r="II63" s="16"/>
      <c r="IJ63" s="16"/>
      <c r="IK63" s="16"/>
      <c r="IL63" s="16"/>
      <c r="IM63" s="16"/>
      <c r="IN63" s="16"/>
      <c r="IO63" s="16"/>
      <c r="IP63" s="16"/>
      <c r="IQ63" s="16"/>
      <c r="IR63" s="16"/>
      <c r="IS63" s="16"/>
      <c r="IT63" s="16"/>
      <c r="IU63" s="16"/>
      <c r="IV63" s="16"/>
      <c r="IW63" s="16"/>
      <c r="IX63" s="16"/>
      <c r="IY63" s="16"/>
      <c r="IZ63" s="16"/>
      <c r="JA63" s="16"/>
      <c r="JB63" s="16"/>
      <c r="JC63" s="16"/>
      <c r="JD63" s="16"/>
    </row>
    <row r="64" spans="1:264" s="5" customFormat="1" ht="70.5" hidden="1" customHeight="1" x14ac:dyDescent="0.3">
      <c r="A64" s="15" t="s">
        <v>25</v>
      </c>
      <c r="B64" s="15" t="s">
        <v>17</v>
      </c>
      <c r="C64" s="15" t="s">
        <v>145</v>
      </c>
      <c r="D64" s="15" t="s">
        <v>19</v>
      </c>
      <c r="E64" s="70" t="s">
        <v>19</v>
      </c>
      <c r="F64" s="70" t="s">
        <v>3178</v>
      </c>
      <c r="G64" s="70" t="s">
        <v>19</v>
      </c>
      <c r="H64" s="70" t="s">
        <v>3178</v>
      </c>
      <c r="I64" s="72" t="s">
        <v>19</v>
      </c>
      <c r="J64" s="72" t="s">
        <v>19</v>
      </c>
      <c r="K64" s="72" t="s">
        <v>19</v>
      </c>
      <c r="L64" s="72" t="s">
        <v>19</v>
      </c>
      <c r="M64" s="15" t="s">
        <v>146</v>
      </c>
      <c r="N64" s="4" t="s">
        <v>147</v>
      </c>
      <c r="O64" s="15"/>
      <c r="P64" s="4" t="s">
        <v>148</v>
      </c>
      <c r="S64" s="15" t="e" cm="1">
        <f t="array" aca="1" ref="S64" ca="1">COMMONMARKETCOUNT(H64:AV64)</f>
        <v>#NAME?</v>
      </c>
      <c r="T64" s="6" t="e" cm="1">
        <f t="array" aca="1" ref="T64" ca="1">AUTOMATEDCOUNT(H64:AV64)</f>
        <v>#NAME?</v>
      </c>
      <c r="V64" s="70" t="s">
        <v>19</v>
      </c>
      <c r="W64" s="70" t="s">
        <v>19</v>
      </c>
      <c r="X64" s="70" t="s">
        <v>19</v>
      </c>
      <c r="Y64" s="70" t="s">
        <v>19</v>
      </c>
      <c r="Z64" s="70" t="s">
        <v>19</v>
      </c>
      <c r="AA64" s="72" t="s">
        <v>19</v>
      </c>
      <c r="AB64" s="72" t="s">
        <v>19</v>
      </c>
      <c r="AC64" s="72" t="s">
        <v>19</v>
      </c>
      <c r="AD64" s="18" t="s">
        <v>109</v>
      </c>
      <c r="AE64" s="18" t="s">
        <v>109</v>
      </c>
      <c r="AF64" s="18" t="s">
        <v>19</v>
      </c>
      <c r="AG64" s="29" t="s">
        <v>19</v>
      </c>
      <c r="AH64" s="18" t="s">
        <v>19</v>
      </c>
      <c r="AI64" s="18" t="s">
        <v>19</v>
      </c>
      <c r="AJ64" s="18" t="s">
        <v>19</v>
      </c>
      <c r="AK64" s="18" t="s">
        <v>19</v>
      </c>
      <c r="AL64" s="18" t="s">
        <v>19</v>
      </c>
      <c r="AM64" s="18" t="s">
        <v>19</v>
      </c>
      <c r="AN64" s="18" t="s">
        <v>19</v>
      </c>
      <c r="AO64" s="18" t="s">
        <v>19</v>
      </c>
      <c r="AP64" s="18" t="s">
        <v>19</v>
      </c>
      <c r="AQ64" s="18" t="s">
        <v>19</v>
      </c>
      <c r="AR64" s="18" t="s">
        <v>19</v>
      </c>
      <c r="AS64" s="18" t="s">
        <v>19</v>
      </c>
      <c r="AT64" s="18" t="s">
        <v>19</v>
      </c>
      <c r="AU64" s="18" t="s">
        <v>3153</v>
      </c>
      <c r="AV64" s="36" t="s">
        <v>19</v>
      </c>
      <c r="AW64" s="16"/>
      <c r="AX64" s="16"/>
      <c r="AY64" s="16"/>
      <c r="AZ64" s="16"/>
      <c r="BA64" s="16"/>
      <c r="BB64" s="16"/>
      <c r="BC64" s="16"/>
      <c r="BD64" s="16"/>
      <c r="BE64" s="16"/>
      <c r="BF64" s="16"/>
      <c r="BG64" s="16"/>
      <c r="BH64" s="16"/>
      <c r="BI64" s="16"/>
      <c r="BJ64" s="16"/>
      <c r="BK64" s="16"/>
      <c r="BL64" s="16"/>
      <c r="BM64" s="16"/>
      <c r="BN64" s="16"/>
      <c r="BO64" s="16"/>
      <c r="BP64" s="16"/>
      <c r="BQ64" s="16"/>
      <c r="BR64" s="16"/>
      <c r="BS64" s="16"/>
      <c r="BT64" s="16"/>
      <c r="BU64" s="16"/>
      <c r="BV64" s="16"/>
      <c r="BW64" s="16"/>
      <c r="BX64" s="16"/>
      <c r="BY64" s="16"/>
      <c r="BZ64" s="16"/>
      <c r="CA64" s="16"/>
      <c r="CB64" s="16"/>
      <c r="CC64" s="16"/>
      <c r="CD64" s="16"/>
      <c r="CE64" s="16"/>
      <c r="CF64" s="16"/>
      <c r="CG64" s="16"/>
      <c r="CH64" s="16"/>
      <c r="CI64" s="16"/>
      <c r="CJ64" s="16"/>
      <c r="CK64" s="16"/>
      <c r="CL64" s="16"/>
      <c r="CM64" s="16"/>
      <c r="CN64" s="16"/>
      <c r="CO64" s="16"/>
      <c r="CP64" s="16"/>
      <c r="CQ64" s="16"/>
      <c r="CR64" s="16"/>
      <c r="CS64" s="16"/>
      <c r="CT64" s="16"/>
      <c r="CU64" s="16"/>
      <c r="CV64" s="16"/>
      <c r="CW64" s="16"/>
      <c r="CX64" s="16"/>
      <c r="CY64" s="16"/>
      <c r="CZ64" s="16"/>
      <c r="DA64" s="16"/>
      <c r="DB64" s="16"/>
      <c r="DC64" s="16"/>
      <c r="DD64" s="16"/>
      <c r="DE64" s="16"/>
      <c r="DF64" s="16"/>
      <c r="DG64" s="16"/>
      <c r="DH64" s="16"/>
      <c r="DI64" s="16"/>
      <c r="DJ64" s="16"/>
      <c r="DK64" s="16"/>
      <c r="DL64" s="16"/>
      <c r="DM64" s="16"/>
      <c r="DN64" s="16"/>
      <c r="DO64" s="16"/>
      <c r="DP64" s="16"/>
      <c r="DQ64" s="16"/>
      <c r="DR64" s="16"/>
      <c r="DS64" s="16"/>
      <c r="DT64" s="16"/>
      <c r="DU64" s="16"/>
      <c r="DV64" s="16"/>
      <c r="DW64" s="16"/>
      <c r="DX64" s="16"/>
      <c r="DY64" s="16"/>
      <c r="DZ64" s="16"/>
      <c r="EA64" s="16"/>
      <c r="EB64" s="16"/>
      <c r="EC64" s="16"/>
      <c r="ED64" s="16"/>
      <c r="EE64" s="16"/>
      <c r="EF64" s="16"/>
      <c r="EG64" s="16"/>
      <c r="EH64" s="16"/>
      <c r="EI64" s="16"/>
      <c r="EJ64" s="16"/>
      <c r="EK64" s="16"/>
      <c r="EL64" s="16"/>
      <c r="EM64" s="16"/>
      <c r="EN64" s="16"/>
      <c r="EO64" s="16"/>
      <c r="EP64" s="16"/>
      <c r="EQ64" s="16"/>
      <c r="ER64" s="16"/>
      <c r="ES64" s="16"/>
      <c r="ET64" s="16"/>
      <c r="EU64" s="16"/>
      <c r="EV64" s="16"/>
      <c r="EW64" s="16"/>
      <c r="EX64" s="16"/>
      <c r="EY64" s="16"/>
      <c r="EZ64" s="16"/>
      <c r="FA64" s="16"/>
      <c r="FB64" s="16"/>
      <c r="FC64" s="16"/>
      <c r="FD64" s="16"/>
      <c r="FE64" s="16"/>
      <c r="FF64" s="16"/>
      <c r="FG64" s="16"/>
      <c r="FH64" s="16"/>
      <c r="FI64" s="16"/>
      <c r="FJ64" s="16"/>
      <c r="FK64" s="16"/>
      <c r="FL64" s="16"/>
      <c r="FM64" s="16"/>
      <c r="FN64" s="16"/>
      <c r="FO64" s="16"/>
      <c r="FP64" s="16"/>
      <c r="FQ64" s="16"/>
      <c r="FR64" s="16"/>
      <c r="FS64" s="16"/>
      <c r="FT64" s="16"/>
      <c r="FU64" s="16"/>
      <c r="FV64" s="16"/>
      <c r="FW64" s="16"/>
      <c r="FX64" s="16"/>
      <c r="FY64" s="16"/>
      <c r="FZ64" s="16"/>
      <c r="GA64" s="16"/>
      <c r="GB64" s="16"/>
      <c r="GC64" s="16"/>
      <c r="GD64" s="16"/>
      <c r="GE64" s="16"/>
      <c r="GF64" s="16"/>
      <c r="GG64" s="16"/>
      <c r="GH64" s="16"/>
      <c r="GI64" s="16"/>
      <c r="GJ64" s="16"/>
      <c r="GK64" s="16"/>
      <c r="GL64" s="16"/>
      <c r="GM64" s="16"/>
      <c r="GN64" s="16"/>
      <c r="GO64" s="16"/>
      <c r="GP64" s="16"/>
      <c r="GQ64" s="16"/>
      <c r="GR64" s="16"/>
      <c r="GS64" s="16"/>
      <c r="GT64" s="16"/>
      <c r="GU64" s="16"/>
      <c r="GV64" s="16"/>
      <c r="GW64" s="16"/>
      <c r="GX64" s="16"/>
      <c r="GY64" s="16"/>
      <c r="GZ64" s="16"/>
      <c r="HA64" s="16"/>
      <c r="HB64" s="16"/>
      <c r="HC64" s="16"/>
      <c r="HD64" s="16"/>
      <c r="HE64" s="16"/>
      <c r="HF64" s="16"/>
      <c r="HG64" s="16"/>
      <c r="HH64" s="16"/>
      <c r="HI64" s="16"/>
      <c r="HJ64" s="16"/>
      <c r="HK64" s="16"/>
      <c r="HL64" s="16"/>
      <c r="HM64" s="16"/>
      <c r="HN64" s="16"/>
      <c r="HO64" s="16"/>
      <c r="HP64" s="16"/>
      <c r="HQ64" s="16"/>
      <c r="HR64" s="16"/>
      <c r="HS64" s="16"/>
      <c r="HT64" s="16"/>
      <c r="HU64" s="16"/>
      <c r="HV64" s="16"/>
      <c r="HW64" s="16"/>
      <c r="HX64" s="16"/>
      <c r="HY64" s="16"/>
      <c r="HZ64" s="16"/>
      <c r="IA64" s="16"/>
      <c r="IB64" s="16"/>
      <c r="IC64" s="16"/>
      <c r="ID64" s="16"/>
      <c r="IE64" s="16"/>
      <c r="IF64" s="16"/>
      <c r="IG64" s="16"/>
      <c r="IH64" s="16"/>
      <c r="II64" s="16"/>
      <c r="IJ64" s="16"/>
      <c r="IK64" s="16"/>
      <c r="IL64" s="16"/>
      <c r="IM64" s="16"/>
      <c r="IN64" s="16"/>
      <c r="IO64" s="16"/>
      <c r="IP64" s="16"/>
      <c r="IQ64" s="16"/>
      <c r="IR64" s="16"/>
      <c r="IS64" s="16"/>
      <c r="IT64" s="16"/>
      <c r="IU64" s="16"/>
      <c r="IV64" s="16"/>
      <c r="IW64" s="16"/>
      <c r="IX64" s="16"/>
      <c r="IY64" s="16"/>
      <c r="IZ64" s="16"/>
      <c r="JA64" s="16"/>
      <c r="JB64" s="16"/>
      <c r="JC64" s="16"/>
      <c r="JD64" s="16"/>
    </row>
    <row r="65" spans="1:264" s="5" customFormat="1" ht="70.5" hidden="1" customHeight="1" x14ac:dyDescent="0.3">
      <c r="A65" s="15" t="s">
        <v>25</v>
      </c>
      <c r="B65" s="15" t="s">
        <v>37</v>
      </c>
      <c r="C65" s="15" t="s">
        <v>149</v>
      </c>
      <c r="D65" s="15" t="s">
        <v>19</v>
      </c>
      <c r="E65" s="70" t="s">
        <v>19</v>
      </c>
      <c r="F65" s="70" t="s">
        <v>19</v>
      </c>
      <c r="G65" s="70" t="s">
        <v>19</v>
      </c>
      <c r="H65" s="20" t="s">
        <v>3197</v>
      </c>
      <c r="I65" s="72" t="s">
        <v>19</v>
      </c>
      <c r="J65" s="72" t="s">
        <v>19</v>
      </c>
      <c r="K65" s="72" t="s">
        <v>19</v>
      </c>
      <c r="L65" s="72" t="s">
        <v>19</v>
      </c>
      <c r="M65" s="15" t="s">
        <v>150</v>
      </c>
      <c r="N65" s="4" t="s">
        <v>1494</v>
      </c>
      <c r="O65" s="15"/>
      <c r="P65" s="4" t="s">
        <v>151</v>
      </c>
      <c r="S65" s="15" t="e" cm="1">
        <f t="array" aca="1" ref="S65" ca="1">COMMONMARKETCOUNT(H65:AV65)</f>
        <v>#NAME?</v>
      </c>
      <c r="T65" s="6" t="e" cm="1">
        <f t="array" aca="1" ref="T65" ca="1">AUTOMATEDCOUNT(H65:AV65)</f>
        <v>#NAME?</v>
      </c>
      <c r="V65" s="70" t="s">
        <v>19</v>
      </c>
      <c r="W65" s="15" t="s">
        <v>109</v>
      </c>
      <c r="X65" s="70" t="s">
        <v>19</v>
      </c>
      <c r="Y65" s="70" t="s">
        <v>19</v>
      </c>
      <c r="Z65" s="70" t="s">
        <v>19</v>
      </c>
      <c r="AA65" s="72" t="s">
        <v>19</v>
      </c>
      <c r="AB65" s="72" t="s">
        <v>19</v>
      </c>
      <c r="AC65" s="72" t="s">
        <v>19</v>
      </c>
      <c r="AD65" s="72" t="s">
        <v>19</v>
      </c>
      <c r="AE65" s="18" t="s">
        <v>19</v>
      </c>
      <c r="AF65" s="18" t="s">
        <v>19</v>
      </c>
      <c r="AG65" s="29" t="s">
        <v>19</v>
      </c>
      <c r="AH65" s="18" t="s">
        <v>19</v>
      </c>
      <c r="AI65" s="18" t="s">
        <v>19</v>
      </c>
      <c r="AJ65" s="18" t="s">
        <v>19</v>
      </c>
      <c r="AK65" s="18" t="s">
        <v>19</v>
      </c>
      <c r="AL65" s="18" t="s">
        <v>19</v>
      </c>
      <c r="AM65" s="18" t="s">
        <v>19</v>
      </c>
      <c r="AN65" s="18" t="s">
        <v>19</v>
      </c>
      <c r="AO65" s="18" t="s">
        <v>19</v>
      </c>
      <c r="AP65" s="18" t="s">
        <v>19</v>
      </c>
      <c r="AQ65" s="18" t="s">
        <v>19</v>
      </c>
      <c r="AR65" s="18" t="s">
        <v>19</v>
      </c>
      <c r="AS65" s="18" t="s">
        <v>19</v>
      </c>
      <c r="AT65" s="18" t="s">
        <v>19</v>
      </c>
      <c r="AU65" s="18" t="s">
        <v>109</v>
      </c>
      <c r="AV65" s="36" t="s">
        <v>19</v>
      </c>
      <c r="AW65" s="16"/>
      <c r="AX65" s="16"/>
      <c r="AY65" s="16"/>
      <c r="AZ65" s="16"/>
      <c r="BA65" s="16"/>
      <c r="BB65" s="16"/>
      <c r="BC65" s="16"/>
      <c r="BD65" s="16"/>
      <c r="BE65" s="16"/>
      <c r="BF65" s="16"/>
      <c r="BG65" s="16"/>
      <c r="BH65" s="16"/>
      <c r="BI65" s="16"/>
      <c r="BJ65" s="16"/>
      <c r="BK65" s="16"/>
      <c r="BL65" s="16"/>
      <c r="BM65" s="16"/>
      <c r="BN65" s="16"/>
      <c r="BO65" s="16"/>
      <c r="BP65" s="16"/>
      <c r="BQ65" s="16"/>
      <c r="BR65" s="16"/>
      <c r="BS65" s="16"/>
      <c r="BT65" s="16"/>
      <c r="BU65" s="16"/>
      <c r="BV65" s="16"/>
      <c r="BW65" s="16"/>
      <c r="BX65" s="16"/>
      <c r="BY65" s="16"/>
      <c r="BZ65" s="16"/>
      <c r="CA65" s="16"/>
      <c r="CB65" s="16"/>
      <c r="CC65" s="16"/>
      <c r="CD65" s="16"/>
      <c r="CE65" s="16"/>
      <c r="CF65" s="16"/>
      <c r="CG65" s="16"/>
      <c r="CH65" s="16"/>
      <c r="CI65" s="16"/>
      <c r="CJ65" s="16"/>
      <c r="CK65" s="16"/>
      <c r="CL65" s="16"/>
      <c r="CM65" s="16"/>
      <c r="CN65" s="16"/>
      <c r="CO65" s="16"/>
      <c r="CP65" s="16"/>
      <c r="CQ65" s="16"/>
      <c r="CR65" s="16"/>
      <c r="CS65" s="16"/>
      <c r="CT65" s="16"/>
      <c r="CU65" s="16"/>
      <c r="CV65" s="16"/>
      <c r="CW65" s="16"/>
      <c r="CX65" s="16"/>
      <c r="CY65" s="16"/>
      <c r="CZ65" s="16"/>
      <c r="DA65" s="16"/>
      <c r="DB65" s="16"/>
      <c r="DC65" s="16"/>
      <c r="DD65" s="16"/>
      <c r="DE65" s="16"/>
      <c r="DF65" s="16"/>
      <c r="DG65" s="16"/>
      <c r="DH65" s="16"/>
      <c r="DI65" s="16"/>
      <c r="DJ65" s="16"/>
      <c r="DK65" s="16"/>
      <c r="DL65" s="16"/>
      <c r="DM65" s="16"/>
      <c r="DN65" s="16"/>
      <c r="DO65" s="16"/>
      <c r="DP65" s="16"/>
      <c r="DQ65" s="16"/>
      <c r="DR65" s="16"/>
      <c r="DS65" s="16"/>
      <c r="DT65" s="16"/>
      <c r="DU65" s="16"/>
      <c r="DV65" s="16"/>
      <c r="DW65" s="16"/>
      <c r="DX65" s="16"/>
      <c r="DY65" s="16"/>
      <c r="DZ65" s="16"/>
      <c r="EA65" s="16"/>
      <c r="EB65" s="16"/>
      <c r="EC65" s="16"/>
      <c r="ED65" s="16"/>
      <c r="EE65" s="16"/>
      <c r="EF65" s="16"/>
      <c r="EG65" s="16"/>
      <c r="EH65" s="16"/>
      <c r="EI65" s="16"/>
      <c r="EJ65" s="16"/>
      <c r="EK65" s="16"/>
      <c r="EL65" s="16"/>
      <c r="EM65" s="16"/>
      <c r="EN65" s="16"/>
      <c r="EO65" s="16"/>
      <c r="EP65" s="16"/>
      <c r="EQ65" s="16"/>
      <c r="ER65" s="16"/>
      <c r="ES65" s="16"/>
      <c r="ET65" s="16"/>
      <c r="EU65" s="16"/>
      <c r="EV65" s="16"/>
      <c r="EW65" s="16"/>
      <c r="EX65" s="16"/>
      <c r="EY65" s="16"/>
      <c r="EZ65" s="16"/>
      <c r="FA65" s="16"/>
      <c r="FB65" s="16"/>
      <c r="FC65" s="16"/>
      <c r="FD65" s="16"/>
      <c r="FE65" s="16"/>
      <c r="FF65" s="16"/>
      <c r="FG65" s="16"/>
      <c r="FH65" s="16"/>
      <c r="FI65" s="16"/>
      <c r="FJ65" s="16"/>
      <c r="FK65" s="16"/>
      <c r="FL65" s="16"/>
      <c r="FM65" s="16"/>
      <c r="FN65" s="16"/>
      <c r="FO65" s="16"/>
      <c r="FP65" s="16"/>
      <c r="FQ65" s="16"/>
      <c r="FR65" s="16"/>
      <c r="FS65" s="16"/>
      <c r="FT65" s="16"/>
      <c r="FU65" s="16"/>
      <c r="FV65" s="16"/>
      <c r="FW65" s="16"/>
      <c r="FX65" s="16"/>
      <c r="FY65" s="16"/>
      <c r="FZ65" s="16"/>
      <c r="GA65" s="16"/>
      <c r="GB65" s="16"/>
      <c r="GC65" s="16"/>
      <c r="GD65" s="16"/>
      <c r="GE65" s="16"/>
      <c r="GF65" s="16"/>
      <c r="GG65" s="16"/>
      <c r="GH65" s="16"/>
      <c r="GI65" s="16"/>
      <c r="GJ65" s="16"/>
      <c r="GK65" s="16"/>
      <c r="GL65" s="16"/>
      <c r="GM65" s="16"/>
      <c r="GN65" s="16"/>
      <c r="GO65" s="16"/>
      <c r="GP65" s="16"/>
      <c r="GQ65" s="16"/>
      <c r="GR65" s="16"/>
      <c r="GS65" s="16"/>
      <c r="GT65" s="16"/>
      <c r="GU65" s="16"/>
      <c r="GV65" s="16"/>
      <c r="GW65" s="16"/>
      <c r="GX65" s="16"/>
      <c r="GY65" s="16"/>
      <c r="GZ65" s="16"/>
      <c r="HA65" s="16"/>
      <c r="HB65" s="16"/>
      <c r="HC65" s="16"/>
      <c r="HD65" s="16"/>
      <c r="HE65" s="16"/>
      <c r="HF65" s="16"/>
      <c r="HG65" s="16"/>
      <c r="HH65" s="16"/>
      <c r="HI65" s="16"/>
      <c r="HJ65" s="16"/>
      <c r="HK65" s="16"/>
      <c r="HL65" s="16"/>
      <c r="HM65" s="16"/>
      <c r="HN65" s="16"/>
      <c r="HO65" s="16"/>
      <c r="HP65" s="16"/>
      <c r="HQ65" s="16"/>
      <c r="HR65" s="16"/>
      <c r="HS65" s="16"/>
      <c r="HT65" s="16"/>
      <c r="HU65" s="16"/>
      <c r="HV65" s="16"/>
      <c r="HW65" s="16"/>
      <c r="HX65" s="16"/>
      <c r="HY65" s="16"/>
      <c r="HZ65" s="16"/>
      <c r="IA65" s="16"/>
      <c r="IB65" s="16"/>
      <c r="IC65" s="16"/>
      <c r="ID65" s="16"/>
      <c r="IE65" s="16"/>
      <c r="IF65" s="16"/>
      <c r="IG65" s="16"/>
      <c r="IH65" s="16"/>
      <c r="II65" s="16"/>
      <c r="IJ65" s="16"/>
      <c r="IK65" s="16"/>
      <c r="IL65" s="16"/>
      <c r="IM65" s="16"/>
      <c r="IN65" s="16"/>
      <c r="IO65" s="16"/>
      <c r="IP65" s="16"/>
      <c r="IQ65" s="16"/>
      <c r="IR65" s="16"/>
      <c r="IS65" s="16"/>
      <c r="IT65" s="16"/>
      <c r="IU65" s="16"/>
      <c r="IV65" s="16"/>
      <c r="IW65" s="16"/>
      <c r="IX65" s="16"/>
      <c r="IY65" s="16"/>
      <c r="IZ65" s="16"/>
      <c r="JA65" s="16"/>
      <c r="JB65" s="16"/>
      <c r="JC65" s="16"/>
      <c r="JD65" s="16"/>
    </row>
    <row r="66" spans="1:264" s="5" customFormat="1" ht="70.5" hidden="1" customHeight="1" x14ac:dyDescent="0.3">
      <c r="A66" s="15" t="s">
        <v>25</v>
      </c>
      <c r="B66" s="15" t="s">
        <v>37</v>
      </c>
      <c r="C66" s="15" t="s">
        <v>152</v>
      </c>
      <c r="D66" s="15" t="s">
        <v>19</v>
      </c>
      <c r="E66" s="70" t="s">
        <v>19</v>
      </c>
      <c r="F66" s="70" t="s">
        <v>19</v>
      </c>
      <c r="G66" s="15" t="s">
        <v>109</v>
      </c>
      <c r="H66" s="15" t="s">
        <v>109</v>
      </c>
      <c r="I66" s="18" t="s">
        <v>109</v>
      </c>
      <c r="J66" s="18" t="s">
        <v>109</v>
      </c>
      <c r="K66" s="18" t="s">
        <v>109</v>
      </c>
      <c r="L66" s="18" t="s">
        <v>109</v>
      </c>
      <c r="M66" s="15" t="s">
        <v>1861</v>
      </c>
      <c r="N66" s="4" t="s">
        <v>1687</v>
      </c>
      <c r="O66" s="15"/>
      <c r="P66" s="4" t="s">
        <v>1495</v>
      </c>
      <c r="S66" s="15" t="e" cm="1">
        <f t="array" aca="1" ref="S66" ca="1">COMMONMARKETCOUNT(H66:AV66)</f>
        <v>#NAME?</v>
      </c>
      <c r="T66" s="6" t="e" cm="1">
        <f t="array" aca="1" ref="T66" ca="1">AUTOMATEDCOUNT(H66:AV66)</f>
        <v>#NAME?</v>
      </c>
      <c r="V66" s="15" t="s">
        <v>109</v>
      </c>
      <c r="W66" s="15" t="s">
        <v>109</v>
      </c>
      <c r="X66" s="70" t="s">
        <v>19</v>
      </c>
      <c r="Y66" s="70" t="s">
        <v>19</v>
      </c>
      <c r="Z66" s="70" t="s">
        <v>19</v>
      </c>
      <c r="AA66" s="18" t="s">
        <v>109</v>
      </c>
      <c r="AB66" s="18" t="s">
        <v>109</v>
      </c>
      <c r="AC66" s="18" t="s">
        <v>109</v>
      </c>
      <c r="AD66" s="18" t="s">
        <v>19</v>
      </c>
      <c r="AE66" s="18" t="s">
        <v>19</v>
      </c>
      <c r="AF66" s="18" t="s">
        <v>109</v>
      </c>
      <c r="AG66" s="18" t="s">
        <v>109</v>
      </c>
      <c r="AH66" s="18" t="s">
        <v>109</v>
      </c>
      <c r="AI66" s="18" t="s">
        <v>109</v>
      </c>
      <c r="AJ66" s="18" t="s">
        <v>109</v>
      </c>
      <c r="AK66" s="18" t="s">
        <v>109</v>
      </c>
      <c r="AL66" s="18" t="s">
        <v>109</v>
      </c>
      <c r="AM66" s="18" t="s">
        <v>109</v>
      </c>
      <c r="AN66" s="18" t="s">
        <v>109</v>
      </c>
      <c r="AO66" s="18" t="s">
        <v>109</v>
      </c>
      <c r="AP66" s="18" t="s">
        <v>109</v>
      </c>
      <c r="AQ66" s="18" t="s">
        <v>109</v>
      </c>
      <c r="AR66" s="18" t="s">
        <v>109</v>
      </c>
      <c r="AS66" s="18" t="s">
        <v>109</v>
      </c>
      <c r="AT66" s="18" t="s">
        <v>109</v>
      </c>
      <c r="AU66" s="18" t="s">
        <v>109</v>
      </c>
      <c r="AV66" s="36" t="s">
        <v>109</v>
      </c>
      <c r="AW66" s="16"/>
      <c r="AX66" s="16"/>
      <c r="AY66" s="16"/>
      <c r="AZ66" s="16"/>
      <c r="BA66" s="16"/>
      <c r="BB66" s="16"/>
      <c r="BC66" s="16"/>
      <c r="BD66" s="16"/>
      <c r="BE66" s="16"/>
      <c r="BF66" s="16"/>
      <c r="BG66" s="16"/>
      <c r="BH66" s="16"/>
      <c r="BI66" s="16"/>
      <c r="BJ66" s="16"/>
      <c r="BK66" s="16"/>
      <c r="BL66" s="16"/>
      <c r="BM66" s="16"/>
      <c r="BN66" s="16"/>
      <c r="BO66" s="16"/>
      <c r="BP66" s="16"/>
      <c r="BQ66" s="16"/>
      <c r="BR66" s="16"/>
      <c r="BS66" s="16"/>
      <c r="BT66" s="16"/>
      <c r="BU66" s="16"/>
      <c r="BV66" s="16"/>
      <c r="BW66" s="16"/>
      <c r="BX66" s="16"/>
      <c r="BY66" s="16"/>
      <c r="BZ66" s="16"/>
      <c r="CA66" s="16"/>
      <c r="CB66" s="16"/>
      <c r="CC66" s="16"/>
      <c r="CD66" s="16"/>
      <c r="CE66" s="16"/>
      <c r="CF66" s="16"/>
      <c r="CG66" s="16"/>
      <c r="CH66" s="16"/>
      <c r="CI66" s="16"/>
      <c r="CJ66" s="16"/>
      <c r="CK66" s="16"/>
      <c r="CL66" s="16"/>
      <c r="CM66" s="16"/>
      <c r="CN66" s="16"/>
      <c r="CO66" s="16"/>
      <c r="CP66" s="16"/>
      <c r="CQ66" s="16"/>
      <c r="CR66" s="16"/>
      <c r="CS66" s="16"/>
      <c r="CT66" s="16"/>
      <c r="CU66" s="16"/>
      <c r="CV66" s="16"/>
      <c r="CW66" s="16"/>
      <c r="CX66" s="16"/>
      <c r="CY66" s="16"/>
      <c r="CZ66" s="16"/>
      <c r="DA66" s="16"/>
      <c r="DB66" s="16"/>
      <c r="DC66" s="16"/>
      <c r="DD66" s="16"/>
      <c r="DE66" s="16"/>
      <c r="DF66" s="16"/>
      <c r="DG66" s="16"/>
      <c r="DH66" s="16"/>
      <c r="DI66" s="16"/>
      <c r="DJ66" s="16"/>
      <c r="DK66" s="16"/>
      <c r="DL66" s="16"/>
      <c r="DM66" s="16"/>
      <c r="DN66" s="16"/>
      <c r="DO66" s="16"/>
      <c r="DP66" s="16"/>
      <c r="DQ66" s="16"/>
      <c r="DR66" s="16"/>
      <c r="DS66" s="16"/>
      <c r="DT66" s="16"/>
      <c r="DU66" s="16"/>
      <c r="DV66" s="16"/>
      <c r="DW66" s="16"/>
      <c r="DX66" s="16"/>
      <c r="DY66" s="16"/>
      <c r="DZ66" s="16"/>
      <c r="EA66" s="16"/>
      <c r="EB66" s="16"/>
      <c r="EC66" s="16"/>
      <c r="ED66" s="16"/>
      <c r="EE66" s="16"/>
      <c r="EF66" s="16"/>
      <c r="EG66" s="16"/>
      <c r="EH66" s="16"/>
      <c r="EI66" s="16"/>
      <c r="EJ66" s="16"/>
      <c r="EK66" s="16"/>
      <c r="EL66" s="16"/>
      <c r="EM66" s="16"/>
      <c r="EN66" s="16"/>
      <c r="EO66" s="16"/>
      <c r="EP66" s="16"/>
      <c r="EQ66" s="16"/>
      <c r="ER66" s="16"/>
      <c r="ES66" s="16"/>
      <c r="ET66" s="16"/>
      <c r="EU66" s="16"/>
      <c r="EV66" s="16"/>
      <c r="EW66" s="16"/>
      <c r="EX66" s="16"/>
      <c r="EY66" s="16"/>
      <c r="EZ66" s="16"/>
      <c r="FA66" s="16"/>
      <c r="FB66" s="16"/>
      <c r="FC66" s="16"/>
      <c r="FD66" s="16"/>
      <c r="FE66" s="16"/>
      <c r="FF66" s="16"/>
      <c r="FG66" s="16"/>
      <c r="FH66" s="16"/>
      <c r="FI66" s="16"/>
      <c r="FJ66" s="16"/>
      <c r="FK66" s="16"/>
      <c r="FL66" s="16"/>
      <c r="FM66" s="16"/>
      <c r="FN66" s="16"/>
      <c r="FO66" s="16"/>
      <c r="FP66" s="16"/>
      <c r="FQ66" s="16"/>
      <c r="FR66" s="16"/>
      <c r="FS66" s="16"/>
      <c r="FT66" s="16"/>
      <c r="FU66" s="16"/>
      <c r="FV66" s="16"/>
      <c r="FW66" s="16"/>
      <c r="FX66" s="16"/>
      <c r="FY66" s="16"/>
      <c r="FZ66" s="16"/>
      <c r="GA66" s="16"/>
      <c r="GB66" s="16"/>
      <c r="GC66" s="16"/>
      <c r="GD66" s="16"/>
      <c r="GE66" s="16"/>
      <c r="GF66" s="16"/>
      <c r="GG66" s="16"/>
      <c r="GH66" s="16"/>
      <c r="GI66" s="16"/>
      <c r="GJ66" s="16"/>
      <c r="GK66" s="16"/>
      <c r="GL66" s="16"/>
      <c r="GM66" s="16"/>
      <c r="GN66" s="16"/>
      <c r="GO66" s="16"/>
      <c r="GP66" s="16"/>
      <c r="GQ66" s="16"/>
      <c r="GR66" s="16"/>
      <c r="GS66" s="16"/>
      <c r="GT66" s="16"/>
      <c r="GU66" s="16"/>
      <c r="GV66" s="16"/>
      <c r="GW66" s="16"/>
      <c r="GX66" s="16"/>
      <c r="GY66" s="16"/>
      <c r="GZ66" s="16"/>
      <c r="HA66" s="16"/>
      <c r="HB66" s="16"/>
      <c r="HC66" s="16"/>
      <c r="HD66" s="16"/>
      <c r="HE66" s="16"/>
      <c r="HF66" s="16"/>
      <c r="HG66" s="16"/>
      <c r="HH66" s="16"/>
      <c r="HI66" s="16"/>
      <c r="HJ66" s="16"/>
      <c r="HK66" s="16"/>
      <c r="HL66" s="16"/>
      <c r="HM66" s="16"/>
      <c r="HN66" s="16"/>
      <c r="HO66" s="16"/>
      <c r="HP66" s="16"/>
      <c r="HQ66" s="16"/>
      <c r="HR66" s="16"/>
      <c r="HS66" s="16"/>
      <c r="HT66" s="16"/>
      <c r="HU66" s="16"/>
      <c r="HV66" s="16"/>
      <c r="HW66" s="16"/>
      <c r="HX66" s="16"/>
      <c r="HY66" s="16"/>
      <c r="HZ66" s="16"/>
      <c r="IA66" s="16"/>
      <c r="IB66" s="16"/>
      <c r="IC66" s="16"/>
      <c r="ID66" s="16"/>
      <c r="IE66" s="16"/>
      <c r="IF66" s="16"/>
      <c r="IG66" s="16"/>
      <c r="IH66" s="16"/>
      <c r="II66" s="16"/>
      <c r="IJ66" s="16"/>
      <c r="IK66" s="16"/>
      <c r="IL66" s="16"/>
      <c r="IM66" s="16"/>
      <c r="IN66" s="16"/>
      <c r="IO66" s="16"/>
      <c r="IP66" s="16"/>
      <c r="IQ66" s="16"/>
      <c r="IR66" s="16"/>
      <c r="IS66" s="16"/>
      <c r="IT66" s="16"/>
      <c r="IU66" s="16"/>
      <c r="IV66" s="16"/>
      <c r="IW66" s="16"/>
      <c r="IX66" s="16"/>
      <c r="IY66" s="16"/>
      <c r="IZ66" s="16"/>
      <c r="JA66" s="16"/>
      <c r="JB66" s="16"/>
      <c r="JC66" s="16"/>
      <c r="JD66" s="16"/>
    </row>
    <row r="67" spans="1:264" ht="70.5" hidden="1" customHeight="1" x14ac:dyDescent="0.3">
      <c r="A67" s="15" t="s">
        <v>25</v>
      </c>
      <c r="B67" s="15" t="s">
        <v>37</v>
      </c>
      <c r="C67" s="15" t="s">
        <v>153</v>
      </c>
      <c r="D67" s="15" t="s">
        <v>19</v>
      </c>
      <c r="E67" s="70" t="s">
        <v>19</v>
      </c>
      <c r="F67" s="70" t="s">
        <v>19</v>
      </c>
      <c r="G67" s="15" t="s">
        <v>109</v>
      </c>
      <c r="H67" s="15" t="s">
        <v>109</v>
      </c>
      <c r="I67" s="18" t="s">
        <v>109</v>
      </c>
      <c r="J67" s="18" t="s">
        <v>109</v>
      </c>
      <c r="K67" s="18" t="s">
        <v>109</v>
      </c>
      <c r="L67" s="18" t="s">
        <v>109</v>
      </c>
      <c r="M67" s="15" t="s">
        <v>1862</v>
      </c>
      <c r="N67" s="4" t="s">
        <v>1688</v>
      </c>
      <c r="O67" s="15"/>
      <c r="P67" s="4" t="s">
        <v>154</v>
      </c>
      <c r="S67" s="15" t="e" cm="1">
        <f t="array" aca="1" ref="S67" ca="1">COMMONMARKETCOUNT(H67:AV67)</f>
        <v>#NAME?</v>
      </c>
      <c r="T67" s="6" t="e" cm="1">
        <f t="array" aca="1" ref="T67" ca="1">AUTOMATEDCOUNT(H67:AV67)</f>
        <v>#NAME?</v>
      </c>
      <c r="V67" s="15" t="s">
        <v>109</v>
      </c>
      <c r="W67" s="15" t="s">
        <v>109</v>
      </c>
      <c r="X67" s="70" t="s">
        <v>19</v>
      </c>
      <c r="Y67" s="70" t="s">
        <v>19</v>
      </c>
      <c r="Z67" s="70" t="s">
        <v>19</v>
      </c>
      <c r="AA67" s="18" t="s">
        <v>109</v>
      </c>
      <c r="AB67" s="18" t="s">
        <v>109</v>
      </c>
      <c r="AC67" s="18" t="s">
        <v>109</v>
      </c>
      <c r="AD67" s="18" t="s">
        <v>109</v>
      </c>
      <c r="AE67" s="18" t="s">
        <v>109</v>
      </c>
      <c r="AF67" s="18" t="s">
        <v>109</v>
      </c>
      <c r="AG67" s="18" t="s">
        <v>109</v>
      </c>
      <c r="AH67" s="18" t="s">
        <v>109</v>
      </c>
      <c r="AI67" s="18" t="s">
        <v>109</v>
      </c>
      <c r="AJ67" s="18" t="s">
        <v>109</v>
      </c>
      <c r="AK67" s="18" t="s">
        <v>109</v>
      </c>
      <c r="AL67" s="18" t="s">
        <v>109</v>
      </c>
      <c r="AM67" s="18" t="s">
        <v>109</v>
      </c>
      <c r="AN67" s="18" t="s">
        <v>109</v>
      </c>
      <c r="AO67" s="18" t="s">
        <v>109</v>
      </c>
      <c r="AP67" s="18" t="s">
        <v>19</v>
      </c>
      <c r="AQ67" s="18" t="s">
        <v>19</v>
      </c>
      <c r="AR67" s="18" t="s">
        <v>19</v>
      </c>
      <c r="AS67" s="18" t="s">
        <v>19</v>
      </c>
      <c r="AT67" s="18" t="s">
        <v>19</v>
      </c>
      <c r="AU67" s="18" t="s">
        <v>109</v>
      </c>
      <c r="AV67" s="36" t="s">
        <v>19</v>
      </c>
    </row>
    <row r="68" spans="1:264" ht="70.5" hidden="1" customHeight="1" x14ac:dyDescent="0.3">
      <c r="A68" s="15" t="s">
        <v>25</v>
      </c>
      <c r="B68" s="15" t="s">
        <v>37</v>
      </c>
      <c r="C68" s="15" t="s">
        <v>155</v>
      </c>
      <c r="D68" s="15" t="s">
        <v>19</v>
      </c>
      <c r="E68" s="70" t="s">
        <v>19</v>
      </c>
      <c r="F68" s="70" t="s">
        <v>19</v>
      </c>
      <c r="G68" s="15" t="s">
        <v>109</v>
      </c>
      <c r="H68" s="15" t="s">
        <v>109</v>
      </c>
      <c r="I68" s="18" t="s">
        <v>109</v>
      </c>
      <c r="J68" s="18" t="s">
        <v>109</v>
      </c>
      <c r="K68" s="18" t="s">
        <v>109</v>
      </c>
      <c r="L68" s="18" t="s">
        <v>109</v>
      </c>
      <c r="M68" s="15" t="s">
        <v>1863</v>
      </c>
      <c r="N68" s="4" t="s">
        <v>1689</v>
      </c>
      <c r="O68" s="15"/>
      <c r="P68" s="4" t="s">
        <v>976</v>
      </c>
      <c r="S68" s="15" t="e" cm="1">
        <f t="array" aca="1" ref="S68" ca="1">COMMONMARKETCOUNT(H68:AV68)</f>
        <v>#NAME?</v>
      </c>
      <c r="T68" s="6" t="e" cm="1">
        <f t="array" aca="1" ref="T68" ca="1">AUTOMATEDCOUNT(H68:AV68)</f>
        <v>#NAME?</v>
      </c>
      <c r="V68" s="15" t="s">
        <v>109</v>
      </c>
      <c r="W68" s="15" t="s">
        <v>109</v>
      </c>
      <c r="X68" s="15" t="s">
        <v>109</v>
      </c>
      <c r="Y68" s="15" t="s">
        <v>109</v>
      </c>
      <c r="Z68" s="70" t="s">
        <v>19</v>
      </c>
      <c r="AA68" s="18" t="s">
        <v>109</v>
      </c>
      <c r="AB68" s="18" t="s">
        <v>109</v>
      </c>
      <c r="AC68" s="18" t="s">
        <v>109</v>
      </c>
      <c r="AD68" s="18" t="s">
        <v>109</v>
      </c>
      <c r="AE68" s="18" t="s">
        <v>109</v>
      </c>
      <c r="AF68" s="18" t="s">
        <v>109</v>
      </c>
      <c r="AG68" s="18" t="s">
        <v>109</v>
      </c>
      <c r="AH68" s="18" t="s">
        <v>109</v>
      </c>
      <c r="AI68" s="18" t="s">
        <v>109</v>
      </c>
      <c r="AJ68" s="18" t="s">
        <v>109</v>
      </c>
      <c r="AK68" s="18" t="s">
        <v>109</v>
      </c>
      <c r="AL68" s="18" t="s">
        <v>109</v>
      </c>
      <c r="AM68" s="18" t="s">
        <v>109</v>
      </c>
      <c r="AN68" s="18" t="s">
        <v>109</v>
      </c>
      <c r="AO68" s="18" t="s">
        <v>109</v>
      </c>
      <c r="AP68" s="18" t="s">
        <v>109</v>
      </c>
      <c r="AQ68" s="18" t="s">
        <v>109</v>
      </c>
      <c r="AR68" s="18" t="s">
        <v>109</v>
      </c>
      <c r="AS68" s="18" t="s">
        <v>109</v>
      </c>
      <c r="AT68" s="18" t="s">
        <v>109</v>
      </c>
      <c r="AU68" s="18" t="s">
        <v>109</v>
      </c>
      <c r="AV68" s="36" t="s">
        <v>109</v>
      </c>
    </row>
    <row r="69" spans="1:264" ht="70.5" hidden="1" customHeight="1" x14ac:dyDescent="0.3">
      <c r="A69" s="15" t="s">
        <v>25</v>
      </c>
      <c r="B69" s="15" t="s">
        <v>37</v>
      </c>
      <c r="C69" s="15" t="s">
        <v>156</v>
      </c>
      <c r="D69" s="15" t="s">
        <v>19</v>
      </c>
      <c r="E69" s="70" t="s">
        <v>19</v>
      </c>
      <c r="F69" s="70" t="s">
        <v>19</v>
      </c>
      <c r="G69" s="15" t="s">
        <v>109</v>
      </c>
      <c r="H69" s="15" t="s">
        <v>109</v>
      </c>
      <c r="I69" s="18" t="s">
        <v>109</v>
      </c>
      <c r="J69" s="18" t="s">
        <v>109</v>
      </c>
      <c r="K69" s="18" t="s">
        <v>109</v>
      </c>
      <c r="L69" s="18" t="s">
        <v>109</v>
      </c>
      <c r="M69" s="15" t="s">
        <v>1864</v>
      </c>
      <c r="N69" s="4" t="s">
        <v>1690</v>
      </c>
      <c r="O69" s="15"/>
      <c r="P69" s="4" t="s">
        <v>1691</v>
      </c>
      <c r="S69" s="15" t="e" cm="1">
        <f t="array" aca="1" ref="S69" ca="1">COMMONMARKETCOUNT(H69:AV69)</f>
        <v>#NAME?</v>
      </c>
      <c r="T69" s="6" t="e" cm="1">
        <f t="array" aca="1" ref="T69" ca="1">AUTOMATEDCOUNT(H69:AV69)</f>
        <v>#NAME?</v>
      </c>
      <c r="V69" s="15" t="s">
        <v>109</v>
      </c>
      <c r="W69" s="15" t="s">
        <v>109</v>
      </c>
      <c r="X69" s="70" t="s">
        <v>19</v>
      </c>
      <c r="Y69" s="70" t="s">
        <v>19</v>
      </c>
      <c r="Z69" s="70" t="s">
        <v>19</v>
      </c>
      <c r="AA69" s="18" t="s">
        <v>109</v>
      </c>
      <c r="AB69" s="18" t="s">
        <v>109</v>
      </c>
      <c r="AC69" s="18" t="s">
        <v>109</v>
      </c>
      <c r="AD69" s="18" t="s">
        <v>109</v>
      </c>
      <c r="AE69" s="18" t="s">
        <v>109</v>
      </c>
      <c r="AF69" s="18" t="s">
        <v>109</v>
      </c>
      <c r="AG69" s="18" t="s">
        <v>109</v>
      </c>
      <c r="AH69" s="18" t="s">
        <v>109</v>
      </c>
      <c r="AI69" s="18" t="s">
        <v>109</v>
      </c>
      <c r="AJ69" s="18" t="s">
        <v>109</v>
      </c>
      <c r="AK69" s="18" t="s">
        <v>109</v>
      </c>
      <c r="AL69" s="18" t="s">
        <v>109</v>
      </c>
      <c r="AM69" s="18" t="s">
        <v>109</v>
      </c>
      <c r="AN69" s="18" t="s">
        <v>109</v>
      </c>
      <c r="AO69" s="18" t="s">
        <v>109</v>
      </c>
      <c r="AP69" s="18" t="s">
        <v>109</v>
      </c>
      <c r="AQ69" s="18" t="s">
        <v>109</v>
      </c>
      <c r="AR69" s="18" t="s">
        <v>109</v>
      </c>
      <c r="AS69" s="18" t="s">
        <v>109</v>
      </c>
      <c r="AT69" s="18" t="s">
        <v>109</v>
      </c>
      <c r="AU69" s="18" t="s">
        <v>109</v>
      </c>
      <c r="AV69" s="36" t="s">
        <v>109</v>
      </c>
    </row>
    <row r="70" spans="1:264" ht="70.5" hidden="1" customHeight="1" x14ac:dyDescent="0.3">
      <c r="A70" s="15" t="s">
        <v>25</v>
      </c>
      <c r="B70" s="15" t="s">
        <v>37</v>
      </c>
      <c r="C70" s="15" t="s">
        <v>157</v>
      </c>
      <c r="D70" s="15" t="s">
        <v>19</v>
      </c>
      <c r="E70" s="70" t="s">
        <v>19</v>
      </c>
      <c r="F70" s="70" t="s">
        <v>19</v>
      </c>
      <c r="G70" s="15" t="s">
        <v>109</v>
      </c>
      <c r="H70" s="15" t="s">
        <v>109</v>
      </c>
      <c r="I70" s="18" t="s">
        <v>109</v>
      </c>
      <c r="J70" s="18" t="s">
        <v>109</v>
      </c>
      <c r="K70" s="18" t="s">
        <v>109</v>
      </c>
      <c r="L70" s="18" t="s">
        <v>109</v>
      </c>
      <c r="M70" s="15" t="s">
        <v>1865</v>
      </c>
      <c r="N70" s="4" t="s">
        <v>158</v>
      </c>
      <c r="O70" s="15"/>
      <c r="P70" s="4" t="s">
        <v>1692</v>
      </c>
      <c r="S70" s="15" t="e" cm="1">
        <f t="array" aca="1" ref="S70" ca="1">COMMONMARKETCOUNT(H70:AV70)</f>
        <v>#NAME?</v>
      </c>
      <c r="T70" s="6" t="e" cm="1">
        <f t="array" aca="1" ref="T70" ca="1">AUTOMATEDCOUNT(H70:AV70)</f>
        <v>#NAME?</v>
      </c>
      <c r="V70" s="15" t="s">
        <v>109</v>
      </c>
      <c r="W70" s="15" t="s">
        <v>109</v>
      </c>
      <c r="X70" s="70" t="s">
        <v>19</v>
      </c>
      <c r="Y70" s="70" t="s">
        <v>19</v>
      </c>
      <c r="Z70" s="70" t="s">
        <v>19</v>
      </c>
      <c r="AA70" s="18" t="s">
        <v>109</v>
      </c>
      <c r="AB70" s="18" t="s">
        <v>109</v>
      </c>
      <c r="AC70" s="18" t="s">
        <v>109</v>
      </c>
      <c r="AD70" s="18" t="s">
        <v>109</v>
      </c>
      <c r="AE70" s="18" t="s">
        <v>109</v>
      </c>
      <c r="AF70" s="18" t="s">
        <v>109</v>
      </c>
      <c r="AG70" s="18" t="s">
        <v>109</v>
      </c>
      <c r="AH70" s="18" t="s">
        <v>109</v>
      </c>
      <c r="AI70" s="18" t="s">
        <v>109</v>
      </c>
      <c r="AJ70" s="18" t="s">
        <v>109</v>
      </c>
      <c r="AK70" s="18" t="s">
        <v>109</v>
      </c>
      <c r="AL70" s="18" t="s">
        <v>109</v>
      </c>
      <c r="AM70" s="18" t="s">
        <v>109</v>
      </c>
      <c r="AN70" s="18" t="s">
        <v>109</v>
      </c>
      <c r="AO70" s="18" t="s">
        <v>109</v>
      </c>
      <c r="AP70" s="18" t="s">
        <v>109</v>
      </c>
      <c r="AQ70" s="18" t="s">
        <v>109</v>
      </c>
      <c r="AR70" s="18" t="s">
        <v>109</v>
      </c>
      <c r="AS70" s="18" t="s">
        <v>109</v>
      </c>
      <c r="AT70" s="18" t="s">
        <v>109</v>
      </c>
      <c r="AU70" s="18" t="s">
        <v>109</v>
      </c>
      <c r="AV70" s="36" t="s">
        <v>109</v>
      </c>
    </row>
    <row r="71" spans="1:264" s="5" customFormat="1" ht="70.5" hidden="1" customHeight="1" x14ac:dyDescent="0.3">
      <c r="A71" s="15" t="s">
        <v>25</v>
      </c>
      <c r="B71" s="15" t="s">
        <v>1821</v>
      </c>
      <c r="C71" s="15" t="s">
        <v>159</v>
      </c>
      <c r="D71" s="15" t="s">
        <v>19</v>
      </c>
      <c r="E71" s="70" t="s">
        <v>19</v>
      </c>
      <c r="F71" s="70" t="s">
        <v>19</v>
      </c>
      <c r="G71" s="15" t="s">
        <v>109</v>
      </c>
      <c r="H71" s="15" t="s">
        <v>109</v>
      </c>
      <c r="I71" s="18" t="s">
        <v>109</v>
      </c>
      <c r="J71" s="18" t="s">
        <v>109</v>
      </c>
      <c r="K71" s="18" t="s">
        <v>109</v>
      </c>
      <c r="L71" s="18" t="s">
        <v>109</v>
      </c>
      <c r="M71" s="15" t="s">
        <v>1866</v>
      </c>
      <c r="N71" s="4" t="s">
        <v>1693</v>
      </c>
      <c r="O71" s="15"/>
      <c r="P71" s="4" t="s">
        <v>999</v>
      </c>
      <c r="S71" s="15" t="e" cm="1">
        <f t="array" aca="1" ref="S71" ca="1">COMMONMARKETCOUNT(H71:AV71)</f>
        <v>#NAME?</v>
      </c>
      <c r="T71" s="6" t="e" cm="1">
        <f t="array" aca="1" ref="T71" ca="1">AUTOMATEDCOUNT(H71:AV71)</f>
        <v>#NAME?</v>
      </c>
      <c r="V71" s="15" t="s">
        <v>109</v>
      </c>
      <c r="W71" s="15" t="s">
        <v>109</v>
      </c>
      <c r="X71" s="70" t="s">
        <v>19</v>
      </c>
      <c r="Y71" s="70" t="s">
        <v>19</v>
      </c>
      <c r="Z71" s="70" t="s">
        <v>19</v>
      </c>
      <c r="AA71" s="18" t="s">
        <v>109</v>
      </c>
      <c r="AB71" s="18" t="s">
        <v>109</v>
      </c>
      <c r="AC71" s="18" t="s">
        <v>109</v>
      </c>
      <c r="AD71" s="18" t="s">
        <v>109</v>
      </c>
      <c r="AE71" s="18" t="s">
        <v>109</v>
      </c>
      <c r="AF71" s="18" t="s">
        <v>109</v>
      </c>
      <c r="AG71" s="18" t="s">
        <v>109</v>
      </c>
      <c r="AH71" s="18" t="s">
        <v>109</v>
      </c>
      <c r="AI71" s="18" t="s">
        <v>109</v>
      </c>
      <c r="AJ71" s="18" t="s">
        <v>109</v>
      </c>
      <c r="AK71" s="18" t="s">
        <v>109</v>
      </c>
      <c r="AL71" s="18" t="s">
        <v>109</v>
      </c>
      <c r="AM71" s="18" t="s">
        <v>109</v>
      </c>
      <c r="AN71" s="18" t="s">
        <v>109</v>
      </c>
      <c r="AO71" s="18" t="s">
        <v>109</v>
      </c>
      <c r="AP71" s="18" t="s">
        <v>109</v>
      </c>
      <c r="AQ71" s="18" t="s">
        <v>109</v>
      </c>
      <c r="AR71" s="18" t="s">
        <v>109</v>
      </c>
      <c r="AS71" s="18" t="s">
        <v>109</v>
      </c>
      <c r="AT71" s="18" t="s">
        <v>109</v>
      </c>
      <c r="AU71" s="18" t="s">
        <v>109</v>
      </c>
      <c r="AV71" s="36" t="s">
        <v>109</v>
      </c>
    </row>
    <row r="72" spans="1:264" s="5" customFormat="1" ht="70.5" hidden="1" customHeight="1" x14ac:dyDescent="0.3">
      <c r="A72" s="15" t="s">
        <v>25</v>
      </c>
      <c r="B72" s="15" t="s">
        <v>37</v>
      </c>
      <c r="C72" s="15" t="s">
        <v>160</v>
      </c>
      <c r="D72" s="15" t="s">
        <v>19</v>
      </c>
      <c r="E72" s="70" t="s">
        <v>19</v>
      </c>
      <c r="F72" s="70" t="s">
        <v>19</v>
      </c>
      <c r="G72" s="15" t="s">
        <v>109</v>
      </c>
      <c r="H72" s="15" t="s">
        <v>109</v>
      </c>
      <c r="I72" s="18" t="s">
        <v>109</v>
      </c>
      <c r="J72" s="18" t="s">
        <v>109</v>
      </c>
      <c r="K72" s="18" t="s">
        <v>109</v>
      </c>
      <c r="L72" s="18" t="s">
        <v>109</v>
      </c>
      <c r="M72" s="15" t="s">
        <v>1867</v>
      </c>
      <c r="N72" s="4" t="s">
        <v>1694</v>
      </c>
      <c r="O72" s="15"/>
      <c r="P72" s="4" t="s">
        <v>1496</v>
      </c>
      <c r="S72" s="15" t="e" cm="1">
        <f t="array" aca="1" ref="S72" ca="1">COMMONMARKETCOUNT(H72:AV72)</f>
        <v>#NAME?</v>
      </c>
      <c r="T72" s="6" t="e" cm="1">
        <f t="array" aca="1" ref="T72" ca="1">AUTOMATEDCOUNT(H72:AV72)</f>
        <v>#NAME?</v>
      </c>
      <c r="V72" s="15" t="s">
        <v>109</v>
      </c>
      <c r="W72" s="15" t="s">
        <v>109</v>
      </c>
      <c r="X72" s="70" t="s">
        <v>19</v>
      </c>
      <c r="Y72" s="70" t="s">
        <v>19</v>
      </c>
      <c r="Z72" s="70" t="s">
        <v>19</v>
      </c>
      <c r="AA72" s="18" t="s">
        <v>109</v>
      </c>
      <c r="AB72" s="18" t="s">
        <v>109</v>
      </c>
      <c r="AC72" s="18" t="s">
        <v>109</v>
      </c>
      <c r="AD72" s="18" t="s">
        <v>109</v>
      </c>
      <c r="AE72" s="18" t="s">
        <v>109</v>
      </c>
      <c r="AF72" s="18" t="s">
        <v>109</v>
      </c>
      <c r="AG72" s="18" t="s">
        <v>109</v>
      </c>
      <c r="AH72" s="18" t="s">
        <v>109</v>
      </c>
      <c r="AI72" s="18" t="s">
        <v>109</v>
      </c>
      <c r="AJ72" s="18" t="s">
        <v>109</v>
      </c>
      <c r="AK72" s="18" t="s">
        <v>109</v>
      </c>
      <c r="AL72" s="18" t="s">
        <v>109</v>
      </c>
      <c r="AM72" s="18" t="s">
        <v>109</v>
      </c>
      <c r="AN72" s="18" t="s">
        <v>109</v>
      </c>
      <c r="AO72" s="18" t="s">
        <v>109</v>
      </c>
      <c r="AP72" s="18" t="s">
        <v>109</v>
      </c>
      <c r="AQ72" s="18" t="s">
        <v>109</v>
      </c>
      <c r="AR72" s="18" t="s">
        <v>109</v>
      </c>
      <c r="AS72" s="18" t="s">
        <v>109</v>
      </c>
      <c r="AT72" s="18" t="s">
        <v>109</v>
      </c>
      <c r="AU72" s="18" t="s">
        <v>109</v>
      </c>
      <c r="AV72" s="36" t="s">
        <v>109</v>
      </c>
      <c r="AW72" s="16"/>
      <c r="AX72" s="16"/>
      <c r="AY72" s="16"/>
      <c r="AZ72" s="16"/>
      <c r="BA72" s="16"/>
      <c r="BB72" s="16"/>
      <c r="BC72" s="16"/>
      <c r="BD72" s="16"/>
      <c r="BE72" s="16"/>
      <c r="BF72" s="16"/>
      <c r="BG72" s="16"/>
      <c r="BH72" s="16"/>
      <c r="BI72" s="16"/>
      <c r="BJ72" s="16"/>
      <c r="BK72" s="16"/>
      <c r="BL72" s="16"/>
      <c r="BM72" s="16"/>
      <c r="BN72" s="16"/>
      <c r="BO72" s="16"/>
      <c r="BP72" s="16"/>
      <c r="BQ72" s="16"/>
      <c r="BR72" s="16"/>
      <c r="BS72" s="16"/>
      <c r="BT72" s="16"/>
      <c r="BU72" s="16"/>
      <c r="BV72" s="16"/>
      <c r="BW72" s="16"/>
      <c r="BX72" s="16"/>
      <c r="BY72" s="16"/>
      <c r="BZ72" s="16"/>
      <c r="CA72" s="16"/>
      <c r="CB72" s="16"/>
      <c r="CC72" s="16"/>
      <c r="CD72" s="16"/>
      <c r="CE72" s="16"/>
      <c r="CF72" s="16"/>
      <c r="CG72" s="16"/>
      <c r="CH72" s="16"/>
      <c r="CI72" s="16"/>
      <c r="CJ72" s="16"/>
      <c r="CK72" s="16"/>
      <c r="CL72" s="16"/>
      <c r="CM72" s="16"/>
      <c r="CN72" s="16"/>
      <c r="CO72" s="16"/>
      <c r="CP72" s="16"/>
      <c r="CQ72" s="16"/>
      <c r="CR72" s="16"/>
      <c r="CS72" s="16"/>
      <c r="CT72" s="16"/>
      <c r="CU72" s="16"/>
      <c r="CV72" s="16"/>
      <c r="CW72" s="16"/>
      <c r="CX72" s="16"/>
      <c r="CY72" s="16"/>
      <c r="CZ72" s="16"/>
      <c r="DA72" s="16"/>
      <c r="DB72" s="16"/>
      <c r="DC72" s="16"/>
      <c r="DD72" s="16"/>
      <c r="DE72" s="16"/>
      <c r="DF72" s="16"/>
      <c r="DG72" s="16"/>
      <c r="DH72" s="16"/>
      <c r="DI72" s="16"/>
      <c r="DJ72" s="16"/>
      <c r="DK72" s="16"/>
      <c r="DL72" s="16"/>
      <c r="DM72" s="16"/>
      <c r="DN72" s="16"/>
      <c r="DO72" s="16"/>
      <c r="DP72" s="16"/>
      <c r="DQ72" s="16"/>
      <c r="DR72" s="16"/>
      <c r="DS72" s="16"/>
      <c r="DT72" s="16"/>
      <c r="DU72" s="16"/>
      <c r="DV72" s="16"/>
      <c r="DW72" s="16"/>
      <c r="DX72" s="16"/>
      <c r="DY72" s="16"/>
      <c r="DZ72" s="16"/>
      <c r="EA72" s="16"/>
      <c r="EB72" s="16"/>
      <c r="EC72" s="16"/>
      <c r="ED72" s="16"/>
      <c r="EE72" s="16"/>
      <c r="EF72" s="16"/>
      <c r="EG72" s="16"/>
      <c r="EH72" s="16"/>
      <c r="EI72" s="16"/>
      <c r="EJ72" s="16"/>
      <c r="EK72" s="16"/>
      <c r="EL72" s="16"/>
      <c r="EM72" s="16"/>
      <c r="EN72" s="16"/>
      <c r="EO72" s="16"/>
      <c r="EP72" s="16"/>
      <c r="EQ72" s="16"/>
      <c r="ER72" s="16"/>
      <c r="ES72" s="16"/>
      <c r="ET72" s="16"/>
      <c r="EU72" s="16"/>
      <c r="EV72" s="16"/>
      <c r="EW72" s="16"/>
      <c r="EX72" s="16"/>
      <c r="EY72" s="16"/>
      <c r="EZ72" s="16"/>
      <c r="FA72" s="16"/>
      <c r="FB72" s="16"/>
      <c r="FC72" s="16"/>
      <c r="FD72" s="16"/>
      <c r="FE72" s="16"/>
      <c r="FF72" s="16"/>
      <c r="FG72" s="16"/>
      <c r="FH72" s="16"/>
      <c r="FI72" s="16"/>
      <c r="FJ72" s="16"/>
      <c r="FK72" s="16"/>
      <c r="FL72" s="16"/>
      <c r="FM72" s="16"/>
      <c r="FN72" s="16"/>
      <c r="FO72" s="16"/>
      <c r="FP72" s="16"/>
      <c r="FQ72" s="16"/>
      <c r="FR72" s="16"/>
      <c r="FS72" s="16"/>
      <c r="FT72" s="16"/>
      <c r="FU72" s="16"/>
      <c r="FV72" s="16"/>
      <c r="FW72" s="16"/>
      <c r="FX72" s="16"/>
      <c r="FY72" s="16"/>
      <c r="FZ72" s="16"/>
      <c r="GA72" s="16"/>
      <c r="GB72" s="16"/>
      <c r="GC72" s="16"/>
      <c r="GD72" s="16"/>
      <c r="GE72" s="16"/>
      <c r="GF72" s="16"/>
      <c r="GG72" s="16"/>
      <c r="GH72" s="16"/>
      <c r="GI72" s="16"/>
      <c r="GJ72" s="16"/>
      <c r="GK72" s="16"/>
      <c r="GL72" s="16"/>
      <c r="GM72" s="16"/>
      <c r="GN72" s="16"/>
      <c r="GO72" s="16"/>
      <c r="GP72" s="16"/>
      <c r="GQ72" s="16"/>
      <c r="GR72" s="16"/>
      <c r="GS72" s="16"/>
      <c r="GT72" s="16"/>
      <c r="GU72" s="16"/>
      <c r="GV72" s="16"/>
      <c r="GW72" s="16"/>
      <c r="GX72" s="16"/>
      <c r="GY72" s="16"/>
      <c r="GZ72" s="16"/>
      <c r="HA72" s="16"/>
      <c r="HB72" s="16"/>
      <c r="HC72" s="16"/>
      <c r="HD72" s="16"/>
      <c r="HE72" s="16"/>
      <c r="HF72" s="16"/>
      <c r="HG72" s="16"/>
      <c r="HH72" s="16"/>
      <c r="HI72" s="16"/>
      <c r="HJ72" s="16"/>
      <c r="HK72" s="16"/>
      <c r="HL72" s="16"/>
      <c r="HM72" s="16"/>
      <c r="HN72" s="16"/>
      <c r="HO72" s="16"/>
      <c r="HP72" s="16"/>
      <c r="HQ72" s="16"/>
      <c r="HR72" s="16"/>
      <c r="HS72" s="16"/>
      <c r="HT72" s="16"/>
      <c r="HU72" s="16"/>
      <c r="HV72" s="16"/>
      <c r="HW72" s="16"/>
      <c r="HX72" s="16"/>
      <c r="HY72" s="16"/>
      <c r="HZ72" s="16"/>
      <c r="IA72" s="16"/>
      <c r="IB72" s="16"/>
      <c r="IC72" s="16"/>
      <c r="ID72" s="16"/>
      <c r="IE72" s="16"/>
      <c r="IF72" s="16"/>
      <c r="IG72" s="16"/>
      <c r="IH72" s="16"/>
      <c r="II72" s="16"/>
      <c r="IJ72" s="16"/>
      <c r="IK72" s="16"/>
      <c r="IL72" s="16"/>
      <c r="IM72" s="16"/>
      <c r="IN72" s="16"/>
      <c r="IO72" s="16"/>
      <c r="IP72" s="16"/>
      <c r="IQ72" s="16"/>
      <c r="IR72" s="16"/>
      <c r="IS72" s="16"/>
      <c r="IT72" s="16"/>
      <c r="IU72" s="16"/>
      <c r="IV72" s="16"/>
      <c r="IW72" s="16"/>
      <c r="IX72" s="16"/>
      <c r="IY72" s="16"/>
      <c r="IZ72" s="16"/>
      <c r="JA72" s="16"/>
      <c r="JB72" s="16"/>
      <c r="JC72" s="16"/>
      <c r="JD72" s="16"/>
    </row>
    <row r="73" spans="1:264" s="5" customFormat="1" ht="70.5" hidden="1" customHeight="1" x14ac:dyDescent="0.3">
      <c r="A73" s="15" t="s">
        <v>25</v>
      </c>
      <c r="B73" s="15" t="s">
        <v>37</v>
      </c>
      <c r="C73" s="15" t="s">
        <v>161</v>
      </c>
      <c r="D73" s="15" t="s">
        <v>19</v>
      </c>
      <c r="E73" s="70" t="s">
        <v>19</v>
      </c>
      <c r="F73" s="70" t="s">
        <v>19</v>
      </c>
      <c r="G73" s="70" t="s">
        <v>19</v>
      </c>
      <c r="H73" s="121" t="s">
        <v>3179</v>
      </c>
      <c r="I73" s="72" t="s">
        <v>19</v>
      </c>
      <c r="J73" s="72" t="s">
        <v>19</v>
      </c>
      <c r="K73" s="72" t="s">
        <v>19</v>
      </c>
      <c r="L73" s="72" t="s">
        <v>19</v>
      </c>
      <c r="M73" s="15" t="s">
        <v>162</v>
      </c>
      <c r="N73" s="4" t="s">
        <v>1497</v>
      </c>
      <c r="O73" s="15"/>
      <c r="P73" s="4" t="s">
        <v>163</v>
      </c>
      <c r="S73" s="15" t="e" cm="1">
        <f t="array" aca="1" ref="S73" ca="1">COMMONMARKETCOUNT(H73:AV73)</f>
        <v>#NAME?</v>
      </c>
      <c r="T73" s="6" t="e" cm="1">
        <f t="array" aca="1" ref="T73" ca="1">AUTOMATEDCOUNT(H73:AV73)</f>
        <v>#NAME?</v>
      </c>
      <c r="V73" s="70" t="s">
        <v>19</v>
      </c>
      <c r="W73" s="70" t="s">
        <v>19</v>
      </c>
      <c r="X73" s="70" t="s">
        <v>19</v>
      </c>
      <c r="Y73" s="70" t="s">
        <v>19</v>
      </c>
      <c r="Z73" s="70" t="s">
        <v>19</v>
      </c>
      <c r="AA73" s="72" t="s">
        <v>19</v>
      </c>
      <c r="AB73" s="72" t="s">
        <v>19</v>
      </c>
      <c r="AC73" s="72" t="s">
        <v>19</v>
      </c>
      <c r="AD73" s="18" t="s">
        <v>109</v>
      </c>
      <c r="AE73" s="18" t="s">
        <v>109</v>
      </c>
      <c r="AF73" s="18" t="s">
        <v>19</v>
      </c>
      <c r="AG73" s="29" t="s">
        <v>19</v>
      </c>
      <c r="AH73" s="18" t="s">
        <v>19</v>
      </c>
      <c r="AI73" s="18" t="s">
        <v>19</v>
      </c>
      <c r="AJ73" s="18" t="s">
        <v>19</v>
      </c>
      <c r="AK73" s="18" t="s">
        <v>19</v>
      </c>
      <c r="AL73" s="18" t="s">
        <v>19</v>
      </c>
      <c r="AM73" s="18" t="s">
        <v>19</v>
      </c>
      <c r="AN73" s="18" t="s">
        <v>19</v>
      </c>
      <c r="AO73" s="18" t="s">
        <v>19</v>
      </c>
      <c r="AP73" s="18" t="s">
        <v>19</v>
      </c>
      <c r="AQ73" s="18" t="s">
        <v>19</v>
      </c>
      <c r="AR73" s="18" t="s">
        <v>19</v>
      </c>
      <c r="AS73" s="70" t="s">
        <v>19</v>
      </c>
      <c r="AT73" s="72" t="s">
        <v>19</v>
      </c>
      <c r="AU73" s="18" t="s">
        <v>3153</v>
      </c>
      <c r="AV73" s="36" t="s">
        <v>19</v>
      </c>
      <c r="AW73" s="16"/>
      <c r="AX73" s="16"/>
      <c r="AY73" s="16"/>
      <c r="AZ73" s="16"/>
      <c r="BA73" s="16"/>
      <c r="BB73" s="16"/>
      <c r="BC73" s="16"/>
      <c r="BD73" s="16"/>
      <c r="BE73" s="16"/>
      <c r="BF73" s="16"/>
      <c r="BG73" s="16"/>
      <c r="BH73" s="16"/>
      <c r="BI73" s="16"/>
      <c r="BJ73" s="16"/>
      <c r="BK73" s="16"/>
      <c r="BL73" s="16"/>
      <c r="BM73" s="16"/>
      <c r="BN73" s="16"/>
      <c r="BO73" s="16"/>
      <c r="BP73" s="16"/>
      <c r="BQ73" s="16"/>
      <c r="BR73" s="16"/>
      <c r="BS73" s="16"/>
      <c r="BT73" s="16"/>
      <c r="BU73" s="16"/>
      <c r="BV73" s="16"/>
      <c r="BW73" s="16"/>
      <c r="BX73" s="16"/>
      <c r="BY73" s="16"/>
      <c r="BZ73" s="16"/>
      <c r="CA73" s="16"/>
      <c r="CB73" s="16"/>
      <c r="CC73" s="16"/>
      <c r="CD73" s="16"/>
      <c r="CE73" s="16"/>
      <c r="CF73" s="16"/>
      <c r="CG73" s="16"/>
      <c r="CH73" s="16"/>
      <c r="CI73" s="16"/>
      <c r="CJ73" s="16"/>
      <c r="CK73" s="16"/>
      <c r="CL73" s="16"/>
      <c r="CM73" s="16"/>
      <c r="CN73" s="16"/>
      <c r="CO73" s="16"/>
      <c r="CP73" s="16"/>
      <c r="CQ73" s="16"/>
      <c r="CR73" s="16"/>
      <c r="CS73" s="16"/>
      <c r="CT73" s="16"/>
      <c r="CU73" s="16"/>
      <c r="CV73" s="16"/>
      <c r="CW73" s="16"/>
      <c r="CX73" s="16"/>
      <c r="CY73" s="16"/>
      <c r="CZ73" s="16"/>
      <c r="DA73" s="16"/>
      <c r="DB73" s="16"/>
      <c r="DC73" s="16"/>
      <c r="DD73" s="16"/>
      <c r="DE73" s="16"/>
      <c r="DF73" s="16"/>
      <c r="DG73" s="16"/>
      <c r="DH73" s="16"/>
      <c r="DI73" s="16"/>
      <c r="DJ73" s="16"/>
      <c r="DK73" s="16"/>
      <c r="DL73" s="16"/>
      <c r="DM73" s="16"/>
      <c r="DN73" s="16"/>
      <c r="DO73" s="16"/>
      <c r="DP73" s="16"/>
      <c r="DQ73" s="16"/>
      <c r="DR73" s="16"/>
      <c r="DS73" s="16"/>
      <c r="DT73" s="16"/>
      <c r="DU73" s="16"/>
      <c r="DV73" s="16"/>
      <c r="DW73" s="16"/>
      <c r="DX73" s="16"/>
      <c r="DY73" s="16"/>
      <c r="DZ73" s="16"/>
      <c r="EA73" s="16"/>
      <c r="EB73" s="16"/>
      <c r="EC73" s="16"/>
      <c r="ED73" s="16"/>
      <c r="EE73" s="16"/>
      <c r="EF73" s="16"/>
      <c r="EG73" s="16"/>
      <c r="EH73" s="16"/>
      <c r="EI73" s="16"/>
      <c r="EJ73" s="16"/>
      <c r="EK73" s="16"/>
      <c r="EL73" s="16"/>
      <c r="EM73" s="16"/>
      <c r="EN73" s="16"/>
      <c r="EO73" s="16"/>
      <c r="EP73" s="16"/>
      <c r="EQ73" s="16"/>
      <c r="ER73" s="16"/>
      <c r="ES73" s="16"/>
      <c r="ET73" s="16"/>
      <c r="EU73" s="16"/>
      <c r="EV73" s="16"/>
      <c r="EW73" s="16"/>
      <c r="EX73" s="16"/>
      <c r="EY73" s="16"/>
      <c r="EZ73" s="16"/>
      <c r="FA73" s="16"/>
      <c r="FB73" s="16"/>
      <c r="FC73" s="16"/>
      <c r="FD73" s="16"/>
      <c r="FE73" s="16"/>
      <c r="FF73" s="16"/>
      <c r="FG73" s="16"/>
      <c r="FH73" s="16"/>
      <c r="FI73" s="16"/>
      <c r="FJ73" s="16"/>
      <c r="FK73" s="16"/>
      <c r="FL73" s="16"/>
      <c r="FM73" s="16"/>
      <c r="FN73" s="16"/>
      <c r="FO73" s="16"/>
      <c r="FP73" s="16"/>
      <c r="FQ73" s="16"/>
      <c r="FR73" s="16"/>
      <c r="FS73" s="16"/>
      <c r="FT73" s="16"/>
      <c r="FU73" s="16"/>
      <c r="FV73" s="16"/>
      <c r="FW73" s="16"/>
      <c r="FX73" s="16"/>
      <c r="FY73" s="16"/>
      <c r="FZ73" s="16"/>
      <c r="GA73" s="16"/>
      <c r="GB73" s="16"/>
      <c r="GC73" s="16"/>
      <c r="GD73" s="16"/>
      <c r="GE73" s="16"/>
      <c r="GF73" s="16"/>
      <c r="GG73" s="16"/>
      <c r="GH73" s="16"/>
      <c r="GI73" s="16"/>
      <c r="GJ73" s="16"/>
      <c r="GK73" s="16"/>
      <c r="GL73" s="16"/>
      <c r="GM73" s="16"/>
      <c r="GN73" s="16"/>
      <c r="GO73" s="16"/>
      <c r="GP73" s="16"/>
      <c r="GQ73" s="16"/>
      <c r="GR73" s="16"/>
      <c r="GS73" s="16"/>
      <c r="GT73" s="16"/>
      <c r="GU73" s="16"/>
      <c r="GV73" s="16"/>
      <c r="GW73" s="16"/>
      <c r="GX73" s="16"/>
      <c r="GY73" s="16"/>
      <c r="GZ73" s="16"/>
      <c r="HA73" s="16"/>
      <c r="HB73" s="16"/>
      <c r="HC73" s="16"/>
      <c r="HD73" s="16"/>
      <c r="HE73" s="16"/>
      <c r="HF73" s="16"/>
      <c r="HG73" s="16"/>
      <c r="HH73" s="16"/>
      <c r="HI73" s="16"/>
      <c r="HJ73" s="16"/>
      <c r="HK73" s="16"/>
      <c r="HL73" s="16"/>
      <c r="HM73" s="16"/>
      <c r="HN73" s="16"/>
      <c r="HO73" s="16"/>
      <c r="HP73" s="16"/>
      <c r="HQ73" s="16"/>
      <c r="HR73" s="16"/>
      <c r="HS73" s="16"/>
      <c r="HT73" s="16"/>
      <c r="HU73" s="16"/>
      <c r="HV73" s="16"/>
      <c r="HW73" s="16"/>
      <c r="HX73" s="16"/>
      <c r="HY73" s="16"/>
      <c r="HZ73" s="16"/>
      <c r="IA73" s="16"/>
      <c r="IB73" s="16"/>
      <c r="IC73" s="16"/>
      <c r="ID73" s="16"/>
      <c r="IE73" s="16"/>
      <c r="IF73" s="16"/>
      <c r="IG73" s="16"/>
      <c r="IH73" s="16"/>
      <c r="II73" s="16"/>
      <c r="IJ73" s="16"/>
      <c r="IK73" s="16"/>
      <c r="IL73" s="16"/>
      <c r="IM73" s="16"/>
      <c r="IN73" s="16"/>
      <c r="IO73" s="16"/>
      <c r="IP73" s="16"/>
      <c r="IQ73" s="16"/>
      <c r="IR73" s="16"/>
      <c r="IS73" s="16"/>
      <c r="IT73" s="16"/>
      <c r="IU73" s="16"/>
      <c r="IV73" s="16"/>
      <c r="IW73" s="16"/>
      <c r="IX73" s="16"/>
      <c r="IY73" s="16"/>
      <c r="IZ73" s="16"/>
      <c r="JA73" s="16"/>
      <c r="JB73" s="16"/>
      <c r="JC73" s="16"/>
      <c r="JD73" s="16"/>
    </row>
    <row r="74" spans="1:264" s="5" customFormat="1" ht="70.5" hidden="1" customHeight="1" x14ac:dyDescent="0.3">
      <c r="A74" s="15" t="s">
        <v>18</v>
      </c>
      <c r="B74" s="15" t="s">
        <v>17</v>
      </c>
      <c r="C74" s="15" t="s">
        <v>164</v>
      </c>
      <c r="D74" s="15" t="s">
        <v>19</v>
      </c>
      <c r="E74" s="70" t="s">
        <v>19</v>
      </c>
      <c r="F74" s="70" t="s">
        <v>3178</v>
      </c>
      <c r="G74" s="70" t="s">
        <v>19</v>
      </c>
      <c r="H74" s="70" t="s">
        <v>3178</v>
      </c>
      <c r="I74" s="72" t="s">
        <v>19</v>
      </c>
      <c r="J74" s="72" t="s">
        <v>19</v>
      </c>
      <c r="K74" s="72" t="s">
        <v>19</v>
      </c>
      <c r="L74" s="72" t="s">
        <v>19</v>
      </c>
      <c r="M74" s="15" t="s">
        <v>165</v>
      </c>
      <c r="N74" s="4" t="s">
        <v>2250</v>
      </c>
      <c r="O74" s="15"/>
      <c r="P74" s="4" t="s">
        <v>166</v>
      </c>
      <c r="S74" s="15" t="e" cm="1">
        <f t="array" aca="1" ref="S74" ca="1">COMMONMARKETCOUNT(H74:AV74)</f>
        <v>#NAME?</v>
      </c>
      <c r="T74" s="6" t="e" cm="1">
        <f t="array" aca="1" ref="T74" ca="1">AUTOMATEDCOUNT(H74:AV74)</f>
        <v>#NAME?</v>
      </c>
      <c r="V74" s="70" t="s">
        <v>19</v>
      </c>
      <c r="W74" s="70" t="s">
        <v>19</v>
      </c>
      <c r="X74" s="70" t="s">
        <v>19</v>
      </c>
      <c r="Y74" s="70" t="s">
        <v>19</v>
      </c>
      <c r="Z74" s="70" t="s">
        <v>19</v>
      </c>
      <c r="AA74" s="72" t="s">
        <v>19</v>
      </c>
      <c r="AB74" s="72" t="s">
        <v>19</v>
      </c>
      <c r="AC74" s="72" t="s">
        <v>19</v>
      </c>
      <c r="AD74" s="72" t="s">
        <v>19</v>
      </c>
      <c r="AE74" s="18" t="s">
        <v>19</v>
      </c>
      <c r="AF74" s="18" t="s">
        <v>19</v>
      </c>
      <c r="AG74" s="29" t="s">
        <v>19</v>
      </c>
      <c r="AH74" s="18" t="s">
        <v>19</v>
      </c>
      <c r="AI74" s="18" t="s">
        <v>19</v>
      </c>
      <c r="AJ74" s="18" t="s">
        <v>19</v>
      </c>
      <c r="AK74" s="18" t="s">
        <v>19</v>
      </c>
      <c r="AL74" s="18" t="s">
        <v>19</v>
      </c>
      <c r="AM74" s="18" t="s">
        <v>19</v>
      </c>
      <c r="AN74" s="18" t="s">
        <v>19</v>
      </c>
      <c r="AO74" s="18" t="s">
        <v>19</v>
      </c>
      <c r="AP74" s="18" t="s">
        <v>19</v>
      </c>
      <c r="AQ74" s="18" t="s">
        <v>19</v>
      </c>
      <c r="AR74" s="18" t="s">
        <v>19</v>
      </c>
      <c r="AS74" s="70" t="s">
        <v>19</v>
      </c>
      <c r="AT74" s="72" t="s">
        <v>19</v>
      </c>
      <c r="AU74" s="18" t="s">
        <v>3153</v>
      </c>
      <c r="AV74" s="36" t="s">
        <v>19</v>
      </c>
      <c r="AW74" s="16"/>
      <c r="AX74" s="16"/>
      <c r="AY74" s="16"/>
      <c r="AZ74" s="16"/>
      <c r="BA74" s="16"/>
      <c r="BB74" s="16"/>
      <c r="BC74" s="16"/>
      <c r="BD74" s="16"/>
      <c r="BE74" s="16"/>
      <c r="BF74" s="16"/>
      <c r="BG74" s="16"/>
      <c r="BH74" s="16"/>
      <c r="BI74" s="16"/>
      <c r="BJ74" s="16"/>
      <c r="BK74" s="16"/>
      <c r="BL74" s="16"/>
      <c r="BM74" s="16"/>
      <c r="BN74" s="16"/>
      <c r="BO74" s="16"/>
      <c r="BP74" s="16"/>
      <c r="BQ74" s="16"/>
      <c r="BR74" s="16"/>
      <c r="BS74" s="16"/>
      <c r="BT74" s="16"/>
      <c r="BU74" s="16"/>
      <c r="BV74" s="16"/>
      <c r="BW74" s="16"/>
      <c r="BX74" s="16"/>
      <c r="BY74" s="16"/>
      <c r="BZ74" s="16"/>
      <c r="CA74" s="16"/>
      <c r="CB74" s="16"/>
      <c r="CC74" s="16"/>
      <c r="CD74" s="16"/>
      <c r="CE74" s="16"/>
      <c r="CF74" s="16"/>
      <c r="CG74" s="16"/>
      <c r="CH74" s="16"/>
      <c r="CI74" s="16"/>
      <c r="CJ74" s="16"/>
      <c r="CK74" s="16"/>
      <c r="CL74" s="16"/>
      <c r="CM74" s="16"/>
      <c r="CN74" s="16"/>
      <c r="CO74" s="16"/>
      <c r="CP74" s="16"/>
      <c r="CQ74" s="16"/>
      <c r="CR74" s="16"/>
      <c r="CS74" s="16"/>
      <c r="CT74" s="16"/>
      <c r="CU74" s="16"/>
      <c r="CV74" s="16"/>
      <c r="CW74" s="16"/>
      <c r="CX74" s="16"/>
      <c r="CY74" s="16"/>
      <c r="CZ74" s="16"/>
      <c r="DA74" s="16"/>
      <c r="DB74" s="16"/>
      <c r="DC74" s="16"/>
      <c r="DD74" s="16"/>
      <c r="DE74" s="16"/>
      <c r="DF74" s="16"/>
      <c r="DG74" s="16"/>
      <c r="DH74" s="16"/>
      <c r="DI74" s="16"/>
      <c r="DJ74" s="16"/>
      <c r="DK74" s="16"/>
      <c r="DL74" s="16"/>
      <c r="DM74" s="16"/>
      <c r="DN74" s="16"/>
      <c r="DO74" s="16"/>
      <c r="DP74" s="16"/>
      <c r="DQ74" s="16"/>
      <c r="DR74" s="16"/>
      <c r="DS74" s="16"/>
      <c r="DT74" s="16"/>
      <c r="DU74" s="16"/>
      <c r="DV74" s="16"/>
      <c r="DW74" s="16"/>
      <c r="DX74" s="16"/>
      <c r="DY74" s="16"/>
      <c r="DZ74" s="16"/>
      <c r="EA74" s="16"/>
      <c r="EB74" s="16"/>
      <c r="EC74" s="16"/>
      <c r="ED74" s="16"/>
      <c r="EE74" s="16"/>
      <c r="EF74" s="16"/>
      <c r="EG74" s="16"/>
      <c r="EH74" s="16"/>
      <c r="EI74" s="16"/>
      <c r="EJ74" s="16"/>
      <c r="EK74" s="16"/>
      <c r="EL74" s="16"/>
      <c r="EM74" s="16"/>
      <c r="EN74" s="16"/>
      <c r="EO74" s="16"/>
      <c r="EP74" s="16"/>
      <c r="EQ74" s="16"/>
      <c r="ER74" s="16"/>
      <c r="ES74" s="16"/>
      <c r="ET74" s="16"/>
      <c r="EU74" s="16"/>
      <c r="EV74" s="16"/>
      <c r="EW74" s="16"/>
      <c r="EX74" s="16"/>
      <c r="EY74" s="16"/>
      <c r="EZ74" s="16"/>
      <c r="FA74" s="16"/>
      <c r="FB74" s="16"/>
      <c r="FC74" s="16"/>
      <c r="FD74" s="16"/>
      <c r="FE74" s="16"/>
      <c r="FF74" s="16"/>
      <c r="FG74" s="16"/>
      <c r="FH74" s="16"/>
      <c r="FI74" s="16"/>
      <c r="FJ74" s="16"/>
      <c r="FK74" s="16"/>
      <c r="FL74" s="16"/>
      <c r="FM74" s="16"/>
      <c r="FN74" s="16"/>
      <c r="FO74" s="16"/>
      <c r="FP74" s="16"/>
      <c r="FQ74" s="16"/>
      <c r="FR74" s="16"/>
      <c r="FS74" s="16"/>
      <c r="FT74" s="16"/>
      <c r="FU74" s="16"/>
      <c r="FV74" s="16"/>
      <c r="FW74" s="16"/>
      <c r="FX74" s="16"/>
      <c r="FY74" s="16"/>
      <c r="FZ74" s="16"/>
      <c r="GA74" s="16"/>
      <c r="GB74" s="16"/>
      <c r="GC74" s="16"/>
      <c r="GD74" s="16"/>
      <c r="GE74" s="16"/>
      <c r="GF74" s="16"/>
      <c r="GG74" s="16"/>
      <c r="GH74" s="16"/>
      <c r="GI74" s="16"/>
      <c r="GJ74" s="16"/>
      <c r="GK74" s="16"/>
      <c r="GL74" s="16"/>
      <c r="GM74" s="16"/>
      <c r="GN74" s="16"/>
      <c r="GO74" s="16"/>
      <c r="GP74" s="16"/>
      <c r="GQ74" s="16"/>
      <c r="GR74" s="16"/>
      <c r="GS74" s="16"/>
      <c r="GT74" s="16"/>
      <c r="GU74" s="16"/>
      <c r="GV74" s="16"/>
      <c r="GW74" s="16"/>
      <c r="GX74" s="16"/>
      <c r="GY74" s="16"/>
      <c r="GZ74" s="16"/>
      <c r="HA74" s="16"/>
      <c r="HB74" s="16"/>
      <c r="HC74" s="16"/>
      <c r="HD74" s="16"/>
      <c r="HE74" s="16"/>
      <c r="HF74" s="16"/>
      <c r="HG74" s="16"/>
      <c r="HH74" s="16"/>
      <c r="HI74" s="16"/>
      <c r="HJ74" s="16"/>
      <c r="HK74" s="16"/>
      <c r="HL74" s="16"/>
      <c r="HM74" s="16"/>
      <c r="HN74" s="16"/>
      <c r="HO74" s="16"/>
      <c r="HP74" s="16"/>
      <c r="HQ74" s="16"/>
      <c r="HR74" s="16"/>
      <c r="HS74" s="16"/>
      <c r="HT74" s="16"/>
      <c r="HU74" s="16"/>
      <c r="HV74" s="16"/>
      <c r="HW74" s="16"/>
      <c r="HX74" s="16"/>
      <c r="HY74" s="16"/>
      <c r="HZ74" s="16"/>
      <c r="IA74" s="16"/>
      <c r="IB74" s="16"/>
      <c r="IC74" s="16"/>
      <c r="ID74" s="16"/>
      <c r="IE74" s="16"/>
      <c r="IF74" s="16"/>
      <c r="IG74" s="16"/>
      <c r="IH74" s="16"/>
      <c r="II74" s="16"/>
      <c r="IJ74" s="16"/>
      <c r="IK74" s="16"/>
      <c r="IL74" s="16"/>
      <c r="IM74" s="16"/>
      <c r="IN74" s="16"/>
      <c r="IO74" s="16"/>
      <c r="IP74" s="16"/>
      <c r="IQ74" s="16"/>
      <c r="IR74" s="16"/>
      <c r="IS74" s="16"/>
      <c r="IT74" s="16"/>
      <c r="IU74" s="16"/>
      <c r="IV74" s="16"/>
      <c r="IW74" s="16"/>
      <c r="IX74" s="16"/>
      <c r="IY74" s="16"/>
      <c r="IZ74" s="16"/>
      <c r="JA74" s="16"/>
      <c r="JB74" s="16"/>
      <c r="JC74" s="16"/>
      <c r="JD74" s="16"/>
    </row>
    <row r="75" spans="1:264" s="5" customFormat="1" ht="70.5" hidden="1" customHeight="1" x14ac:dyDescent="0.3">
      <c r="A75" s="15" t="s">
        <v>18</v>
      </c>
      <c r="B75" s="15" t="s">
        <v>17</v>
      </c>
      <c r="C75" s="15" t="s">
        <v>167</v>
      </c>
      <c r="D75" s="15" t="s">
        <v>19</v>
      </c>
      <c r="E75" s="70" t="s">
        <v>19</v>
      </c>
      <c r="F75" s="70" t="s">
        <v>3178</v>
      </c>
      <c r="G75" s="70" t="s">
        <v>19</v>
      </c>
      <c r="H75" s="70" t="s">
        <v>3178</v>
      </c>
      <c r="I75" s="72" t="s">
        <v>19</v>
      </c>
      <c r="J75" s="72" t="s">
        <v>19</v>
      </c>
      <c r="K75" s="70" t="s">
        <v>19</v>
      </c>
      <c r="L75" s="70" t="s">
        <v>19</v>
      </c>
      <c r="M75" s="15" t="s">
        <v>168</v>
      </c>
      <c r="N75" s="4" t="s">
        <v>2251</v>
      </c>
      <c r="O75" s="15"/>
      <c r="P75" s="4" t="s">
        <v>2252</v>
      </c>
      <c r="S75" s="15" t="e" cm="1">
        <f t="array" aca="1" ref="S75" ca="1">COMMONMARKETCOUNT(H75:AV75)</f>
        <v>#NAME?</v>
      </c>
      <c r="T75" s="6" t="e" cm="1">
        <f t="array" aca="1" ref="T75" ca="1">AUTOMATEDCOUNT(H75:AV75)</f>
        <v>#NAME?</v>
      </c>
      <c r="V75" s="70" t="s">
        <v>19</v>
      </c>
      <c r="W75" s="70" t="s">
        <v>19</v>
      </c>
      <c r="X75" s="70" t="s">
        <v>19</v>
      </c>
      <c r="Y75" s="70" t="s">
        <v>19</v>
      </c>
      <c r="Z75" s="70" t="s">
        <v>19</v>
      </c>
      <c r="AA75" s="72" t="s">
        <v>19</v>
      </c>
      <c r="AB75" s="72" t="s">
        <v>19</v>
      </c>
      <c r="AC75" s="72" t="s">
        <v>19</v>
      </c>
      <c r="AD75" s="72" t="s">
        <v>19</v>
      </c>
      <c r="AE75" s="18" t="s">
        <v>19</v>
      </c>
      <c r="AF75" s="15" t="s">
        <v>19</v>
      </c>
      <c r="AG75" s="20" t="s">
        <v>19</v>
      </c>
      <c r="AH75" s="15" t="s">
        <v>19</v>
      </c>
      <c r="AI75" s="15" t="s">
        <v>19</v>
      </c>
      <c r="AJ75" s="15" t="s">
        <v>19</v>
      </c>
      <c r="AK75" s="15" t="s">
        <v>19</v>
      </c>
      <c r="AL75" s="18" t="s">
        <v>19</v>
      </c>
      <c r="AM75" s="18" t="s">
        <v>19</v>
      </c>
      <c r="AN75" s="18" t="s">
        <v>19</v>
      </c>
      <c r="AO75" s="18" t="s">
        <v>19</v>
      </c>
      <c r="AP75" s="15" t="s">
        <v>19</v>
      </c>
      <c r="AQ75" s="15" t="s">
        <v>19</v>
      </c>
      <c r="AR75" s="15" t="s">
        <v>19</v>
      </c>
      <c r="AS75" s="70" t="s">
        <v>19</v>
      </c>
      <c r="AT75" s="70" t="s">
        <v>19</v>
      </c>
      <c r="AU75" s="15" t="s">
        <v>3153</v>
      </c>
      <c r="AV75" s="36" t="s">
        <v>19</v>
      </c>
      <c r="AW75" s="16"/>
      <c r="AX75" s="16"/>
      <c r="AY75" s="16"/>
      <c r="AZ75" s="16"/>
      <c r="BA75" s="16"/>
      <c r="BB75" s="16"/>
      <c r="BC75" s="16"/>
      <c r="BD75" s="16"/>
      <c r="BE75" s="16"/>
      <c r="BF75" s="16"/>
      <c r="BG75" s="16"/>
      <c r="BH75" s="16"/>
      <c r="BI75" s="16"/>
      <c r="BJ75" s="16"/>
      <c r="BK75" s="16"/>
      <c r="BL75" s="16"/>
      <c r="BM75" s="16"/>
      <c r="BN75" s="16"/>
      <c r="BO75" s="16"/>
      <c r="BP75" s="16"/>
      <c r="BQ75" s="16"/>
      <c r="BR75" s="16"/>
      <c r="BS75" s="16"/>
      <c r="BT75" s="16"/>
      <c r="BU75" s="16"/>
      <c r="BV75" s="16"/>
      <c r="BW75" s="16"/>
      <c r="BX75" s="16"/>
      <c r="BY75" s="16"/>
      <c r="BZ75" s="16"/>
      <c r="CA75" s="16"/>
      <c r="CB75" s="16"/>
      <c r="CC75" s="16"/>
      <c r="CD75" s="16"/>
      <c r="CE75" s="16"/>
      <c r="CF75" s="16"/>
      <c r="CG75" s="16"/>
      <c r="CH75" s="16"/>
      <c r="CI75" s="16"/>
      <c r="CJ75" s="16"/>
      <c r="CK75" s="16"/>
      <c r="CL75" s="16"/>
      <c r="CM75" s="16"/>
      <c r="CN75" s="16"/>
      <c r="CO75" s="16"/>
      <c r="CP75" s="16"/>
      <c r="CQ75" s="16"/>
      <c r="CR75" s="16"/>
      <c r="CS75" s="16"/>
      <c r="CT75" s="16"/>
      <c r="CU75" s="16"/>
      <c r="CV75" s="16"/>
      <c r="CW75" s="16"/>
      <c r="CX75" s="16"/>
      <c r="CY75" s="16"/>
      <c r="CZ75" s="16"/>
      <c r="DA75" s="16"/>
      <c r="DB75" s="16"/>
      <c r="DC75" s="16"/>
      <c r="DD75" s="16"/>
      <c r="DE75" s="16"/>
      <c r="DF75" s="16"/>
      <c r="DG75" s="16"/>
      <c r="DH75" s="16"/>
      <c r="DI75" s="16"/>
      <c r="DJ75" s="16"/>
      <c r="DK75" s="16"/>
      <c r="DL75" s="16"/>
      <c r="DM75" s="16"/>
      <c r="DN75" s="16"/>
      <c r="DO75" s="16"/>
      <c r="DP75" s="16"/>
      <c r="DQ75" s="16"/>
      <c r="DR75" s="16"/>
      <c r="DS75" s="16"/>
      <c r="DT75" s="16"/>
      <c r="DU75" s="16"/>
      <c r="DV75" s="16"/>
      <c r="DW75" s="16"/>
      <c r="DX75" s="16"/>
      <c r="DY75" s="16"/>
      <c r="DZ75" s="16"/>
      <c r="EA75" s="16"/>
      <c r="EB75" s="16"/>
      <c r="EC75" s="16"/>
      <c r="ED75" s="16"/>
      <c r="EE75" s="16"/>
      <c r="EF75" s="16"/>
      <c r="EG75" s="16"/>
      <c r="EH75" s="16"/>
      <c r="EI75" s="16"/>
      <c r="EJ75" s="16"/>
      <c r="EK75" s="16"/>
      <c r="EL75" s="16"/>
      <c r="EM75" s="16"/>
      <c r="EN75" s="16"/>
      <c r="EO75" s="16"/>
      <c r="EP75" s="16"/>
      <c r="EQ75" s="16"/>
      <c r="ER75" s="16"/>
      <c r="ES75" s="16"/>
      <c r="ET75" s="16"/>
      <c r="EU75" s="16"/>
      <c r="EV75" s="16"/>
      <c r="EW75" s="16"/>
      <c r="EX75" s="16"/>
      <c r="EY75" s="16"/>
      <c r="EZ75" s="16"/>
      <c r="FA75" s="16"/>
      <c r="FB75" s="16"/>
      <c r="FC75" s="16"/>
      <c r="FD75" s="16"/>
      <c r="FE75" s="16"/>
      <c r="FF75" s="16"/>
      <c r="FG75" s="16"/>
      <c r="FH75" s="16"/>
      <c r="FI75" s="16"/>
      <c r="FJ75" s="16"/>
      <c r="FK75" s="16"/>
      <c r="FL75" s="16"/>
      <c r="FM75" s="16"/>
      <c r="FN75" s="16"/>
      <c r="FO75" s="16"/>
      <c r="FP75" s="16"/>
      <c r="FQ75" s="16"/>
      <c r="FR75" s="16"/>
      <c r="FS75" s="16"/>
      <c r="FT75" s="16"/>
      <c r="FU75" s="16"/>
      <c r="FV75" s="16"/>
      <c r="FW75" s="16"/>
      <c r="FX75" s="16"/>
      <c r="FY75" s="16"/>
      <c r="FZ75" s="16"/>
      <c r="GA75" s="16"/>
      <c r="GB75" s="16"/>
      <c r="GC75" s="16"/>
      <c r="GD75" s="16"/>
      <c r="GE75" s="16"/>
      <c r="GF75" s="16"/>
      <c r="GG75" s="16"/>
      <c r="GH75" s="16"/>
      <c r="GI75" s="16"/>
      <c r="GJ75" s="16"/>
      <c r="GK75" s="16"/>
      <c r="GL75" s="16"/>
      <c r="GM75" s="16"/>
      <c r="GN75" s="16"/>
      <c r="GO75" s="16"/>
      <c r="GP75" s="16"/>
      <c r="GQ75" s="16"/>
      <c r="GR75" s="16"/>
      <c r="GS75" s="16"/>
      <c r="GT75" s="16"/>
      <c r="GU75" s="16"/>
      <c r="GV75" s="16"/>
      <c r="GW75" s="16"/>
      <c r="GX75" s="16"/>
      <c r="GY75" s="16"/>
      <c r="GZ75" s="16"/>
      <c r="HA75" s="16"/>
      <c r="HB75" s="16"/>
      <c r="HC75" s="16"/>
      <c r="HD75" s="16"/>
      <c r="HE75" s="16"/>
      <c r="HF75" s="16"/>
      <c r="HG75" s="16"/>
      <c r="HH75" s="16"/>
      <c r="HI75" s="16"/>
      <c r="HJ75" s="16"/>
      <c r="HK75" s="16"/>
      <c r="HL75" s="16"/>
      <c r="HM75" s="16"/>
      <c r="HN75" s="16"/>
      <c r="HO75" s="16"/>
      <c r="HP75" s="16"/>
      <c r="HQ75" s="16"/>
      <c r="HR75" s="16"/>
      <c r="HS75" s="16"/>
      <c r="HT75" s="16"/>
      <c r="HU75" s="16"/>
      <c r="HV75" s="16"/>
      <c r="HW75" s="16"/>
      <c r="HX75" s="16"/>
      <c r="HY75" s="16"/>
      <c r="HZ75" s="16"/>
      <c r="IA75" s="16"/>
      <c r="IB75" s="16"/>
      <c r="IC75" s="16"/>
      <c r="ID75" s="16"/>
      <c r="IE75" s="16"/>
      <c r="IF75" s="16"/>
      <c r="IG75" s="16"/>
      <c r="IH75" s="16"/>
      <c r="II75" s="16"/>
      <c r="IJ75" s="16"/>
      <c r="IK75" s="16"/>
      <c r="IL75" s="16"/>
      <c r="IM75" s="16"/>
      <c r="IN75" s="16"/>
      <c r="IO75" s="16"/>
      <c r="IP75" s="16"/>
      <c r="IQ75" s="16"/>
      <c r="IR75" s="16"/>
      <c r="IS75" s="16"/>
      <c r="IT75" s="16"/>
      <c r="IU75" s="16"/>
      <c r="IV75" s="16"/>
      <c r="IW75" s="16"/>
      <c r="IX75" s="16"/>
      <c r="IY75" s="16"/>
      <c r="IZ75" s="16"/>
      <c r="JA75" s="16"/>
      <c r="JB75" s="16"/>
      <c r="JC75" s="16"/>
      <c r="JD75" s="16"/>
    </row>
    <row r="76" spans="1:264" ht="70.5" hidden="1" customHeight="1" x14ac:dyDescent="0.3">
      <c r="A76" s="15" t="s">
        <v>56</v>
      </c>
      <c r="B76" s="15" t="s">
        <v>919</v>
      </c>
      <c r="C76" s="15" t="s">
        <v>937</v>
      </c>
      <c r="D76" s="15" t="s">
        <v>32</v>
      </c>
      <c r="E76" s="15" t="s">
        <v>19</v>
      </c>
      <c r="F76" s="15" t="s">
        <v>19</v>
      </c>
      <c r="G76" s="15" t="s">
        <v>19</v>
      </c>
      <c r="H76" s="15" t="s">
        <v>19</v>
      </c>
      <c r="I76" s="15" t="s">
        <v>19</v>
      </c>
      <c r="J76" s="15" t="s">
        <v>19</v>
      </c>
      <c r="K76" s="15" t="s">
        <v>19</v>
      </c>
      <c r="L76" s="15" t="s">
        <v>19</v>
      </c>
      <c r="M76" s="15" t="s">
        <v>886</v>
      </c>
      <c r="N76" s="4" t="s">
        <v>888</v>
      </c>
      <c r="O76" s="33" t="s">
        <v>1652</v>
      </c>
      <c r="P76" s="4" t="s">
        <v>3024</v>
      </c>
      <c r="S76" s="15" t="e" cm="1">
        <f t="array" aca="1" ref="S76" ca="1">COMMONMARKETCOUNT(H76:AV76)</f>
        <v>#NAME?</v>
      </c>
      <c r="T76" s="6" t="e" cm="1">
        <f t="array" aca="1" ref="T76" ca="1">AUTOMATEDCOUNT(H76:AV76)</f>
        <v>#NAME?</v>
      </c>
      <c r="V76" s="15" t="s">
        <v>19</v>
      </c>
      <c r="W76" s="15" t="s">
        <v>19</v>
      </c>
      <c r="X76" s="15" t="s">
        <v>19</v>
      </c>
      <c r="Y76" s="15" t="s">
        <v>19</v>
      </c>
      <c r="Z76" s="15" t="s">
        <v>19</v>
      </c>
      <c r="AA76" s="15" t="s">
        <v>19</v>
      </c>
      <c r="AB76" s="15" t="s">
        <v>19</v>
      </c>
      <c r="AC76" s="15" t="s">
        <v>19</v>
      </c>
      <c r="AD76" s="18" t="s">
        <v>19</v>
      </c>
      <c r="AE76" s="18" t="s">
        <v>19</v>
      </c>
      <c r="AF76" s="15" t="s">
        <v>19</v>
      </c>
      <c r="AG76" s="15" t="s">
        <v>19</v>
      </c>
      <c r="AH76" s="15" t="s">
        <v>19</v>
      </c>
      <c r="AI76" s="15" t="s">
        <v>19</v>
      </c>
      <c r="AJ76" s="15" t="s">
        <v>19</v>
      </c>
      <c r="AK76" s="15" t="s">
        <v>19</v>
      </c>
      <c r="AL76" s="15" t="s">
        <v>19</v>
      </c>
      <c r="AM76" s="15" t="s">
        <v>19</v>
      </c>
      <c r="AN76" s="15" t="s">
        <v>19</v>
      </c>
      <c r="AO76" s="15" t="s">
        <v>19</v>
      </c>
      <c r="AP76" s="15" t="s">
        <v>19</v>
      </c>
      <c r="AQ76" s="15" t="s">
        <v>19</v>
      </c>
      <c r="AR76" s="15" t="s">
        <v>19</v>
      </c>
      <c r="AS76" s="15" t="s">
        <v>19</v>
      </c>
      <c r="AT76" s="15" t="s">
        <v>19</v>
      </c>
      <c r="AU76" s="15" t="s">
        <v>109</v>
      </c>
      <c r="AV76" s="36" t="s">
        <v>19</v>
      </c>
    </row>
    <row r="77" spans="1:264" ht="70.5" hidden="1" customHeight="1" x14ac:dyDescent="0.3">
      <c r="A77" s="15" t="s">
        <v>56</v>
      </c>
      <c r="B77" s="15" t="s">
        <v>1302</v>
      </c>
      <c r="C77" s="15" t="s">
        <v>938</v>
      </c>
      <c r="D77" s="15" t="s">
        <v>32</v>
      </c>
      <c r="E77" s="15" t="s">
        <v>19</v>
      </c>
      <c r="F77" s="15" t="s">
        <v>19</v>
      </c>
      <c r="G77" s="15" t="s">
        <v>19</v>
      </c>
      <c r="H77" s="15" t="s">
        <v>19</v>
      </c>
      <c r="I77" s="15" t="s">
        <v>19</v>
      </c>
      <c r="J77" s="15" t="s">
        <v>19</v>
      </c>
      <c r="K77" s="15" t="s">
        <v>19</v>
      </c>
      <c r="L77" s="15" t="s">
        <v>19</v>
      </c>
      <c r="M77" s="15" t="s">
        <v>885</v>
      </c>
      <c r="N77" s="4" t="s">
        <v>1337</v>
      </c>
      <c r="O77" s="33" t="s">
        <v>1645</v>
      </c>
      <c r="P77" s="4" t="s">
        <v>1067</v>
      </c>
      <c r="S77" s="15" t="e" cm="1">
        <f t="array" aca="1" ref="S77" ca="1">COMMONMARKETCOUNT(H77:AV77)</f>
        <v>#NAME?</v>
      </c>
      <c r="T77" s="6" t="e" cm="1">
        <f t="array" aca="1" ref="T77" ca="1">AUTOMATEDCOUNT(H77:AV77)</f>
        <v>#NAME?</v>
      </c>
      <c r="V77" s="15" t="s">
        <v>19</v>
      </c>
      <c r="W77" s="15" t="s">
        <v>19</v>
      </c>
      <c r="X77" s="15" t="s">
        <v>19</v>
      </c>
      <c r="Y77" s="15" t="s">
        <v>19</v>
      </c>
      <c r="Z77" s="15" t="s">
        <v>19</v>
      </c>
      <c r="AA77" s="15" t="s">
        <v>19</v>
      </c>
      <c r="AB77" s="15" t="s">
        <v>19</v>
      </c>
      <c r="AC77" s="15" t="s">
        <v>19</v>
      </c>
      <c r="AD77" s="15" t="s">
        <v>19</v>
      </c>
      <c r="AE77" s="15" t="s">
        <v>19</v>
      </c>
      <c r="AF77" s="15" t="s">
        <v>19</v>
      </c>
      <c r="AG77" s="15" t="s">
        <v>19</v>
      </c>
      <c r="AH77" s="15" t="s">
        <v>19</v>
      </c>
      <c r="AI77" s="15" t="s">
        <v>19</v>
      </c>
      <c r="AJ77" s="15" t="s">
        <v>19</v>
      </c>
      <c r="AK77" s="15" t="s">
        <v>19</v>
      </c>
      <c r="AL77" s="15" t="s">
        <v>19</v>
      </c>
      <c r="AM77" s="15" t="s">
        <v>19</v>
      </c>
      <c r="AN77" s="15" t="s">
        <v>19</v>
      </c>
      <c r="AO77" s="15" t="s">
        <v>19</v>
      </c>
      <c r="AP77" s="15" t="s">
        <v>19</v>
      </c>
      <c r="AQ77" s="15" t="s">
        <v>19</v>
      </c>
      <c r="AR77" s="15" t="s">
        <v>19</v>
      </c>
      <c r="AS77" s="15" t="s">
        <v>19</v>
      </c>
      <c r="AT77" s="15" t="s">
        <v>19</v>
      </c>
      <c r="AU77" s="15" t="s">
        <v>3153</v>
      </c>
      <c r="AV77" s="36" t="s">
        <v>19</v>
      </c>
    </row>
    <row r="78" spans="1:264" ht="70.5" hidden="1" customHeight="1" x14ac:dyDescent="0.3">
      <c r="A78" s="15" t="s">
        <v>56</v>
      </c>
      <c r="B78" s="15" t="s">
        <v>24</v>
      </c>
      <c r="C78" s="15" t="s">
        <v>939</v>
      </c>
      <c r="D78" s="15" t="s">
        <v>32</v>
      </c>
      <c r="E78" s="15" t="s">
        <v>19</v>
      </c>
      <c r="F78" s="15" t="s">
        <v>19</v>
      </c>
      <c r="G78" s="15" t="s">
        <v>19</v>
      </c>
      <c r="H78" s="15" t="s">
        <v>19</v>
      </c>
      <c r="I78" s="15" t="s">
        <v>19</v>
      </c>
      <c r="J78" s="15" t="s">
        <v>19</v>
      </c>
      <c r="K78" s="15" t="s">
        <v>19</v>
      </c>
      <c r="L78" s="15" t="s">
        <v>19</v>
      </c>
      <c r="M78" s="15" t="s">
        <v>887</v>
      </c>
      <c r="N78" s="4" t="s">
        <v>1380</v>
      </c>
      <c r="O78" s="33" t="s">
        <v>1645</v>
      </c>
      <c r="P78" s="4" t="s">
        <v>1381</v>
      </c>
      <c r="S78" s="15" t="e" cm="1">
        <f t="array" aca="1" ref="S78" ca="1">COMMONMARKETCOUNT(H78:AV78)</f>
        <v>#NAME?</v>
      </c>
      <c r="T78" s="6" t="e" cm="1">
        <f t="array" aca="1" ref="T78" ca="1">AUTOMATEDCOUNT(H78:AV78)</f>
        <v>#NAME?</v>
      </c>
      <c r="V78" s="15" t="s">
        <v>19</v>
      </c>
      <c r="W78" s="15" t="s">
        <v>19</v>
      </c>
      <c r="X78" s="15" t="s">
        <v>19</v>
      </c>
      <c r="Y78" s="15" t="s">
        <v>19</v>
      </c>
      <c r="Z78" s="15" t="s">
        <v>19</v>
      </c>
      <c r="AA78" s="15" t="s">
        <v>19</v>
      </c>
      <c r="AB78" s="15" t="s">
        <v>19</v>
      </c>
      <c r="AC78" s="15" t="s">
        <v>19</v>
      </c>
      <c r="AD78" s="15" t="s">
        <v>19</v>
      </c>
      <c r="AE78" s="15" t="s">
        <v>19</v>
      </c>
      <c r="AF78" s="15" t="s">
        <v>19</v>
      </c>
      <c r="AG78" s="15" t="s">
        <v>19</v>
      </c>
      <c r="AH78" s="15" t="s">
        <v>19</v>
      </c>
      <c r="AI78" s="15" t="s">
        <v>19</v>
      </c>
      <c r="AJ78" s="15" t="s">
        <v>19</v>
      </c>
      <c r="AK78" s="15" t="s">
        <v>19</v>
      </c>
      <c r="AL78" s="15" t="s">
        <v>19</v>
      </c>
      <c r="AM78" s="15" t="s">
        <v>19</v>
      </c>
      <c r="AN78" s="15" t="s">
        <v>19</v>
      </c>
      <c r="AO78" s="15" t="s">
        <v>19</v>
      </c>
      <c r="AP78" s="15" t="s">
        <v>19</v>
      </c>
      <c r="AQ78" s="15" t="s">
        <v>19</v>
      </c>
      <c r="AR78" s="15" t="s">
        <v>19</v>
      </c>
      <c r="AS78" s="15" t="s">
        <v>19</v>
      </c>
      <c r="AT78" s="15" t="s">
        <v>19</v>
      </c>
      <c r="AU78" s="15" t="s">
        <v>3153</v>
      </c>
      <c r="AV78" s="36" t="s">
        <v>19</v>
      </c>
    </row>
    <row r="79" spans="1:264" ht="70.5" hidden="1" customHeight="1" x14ac:dyDescent="0.3">
      <c r="A79" s="15" t="s">
        <v>18</v>
      </c>
      <c r="B79" s="15" t="s">
        <v>17</v>
      </c>
      <c r="C79" s="15" t="s">
        <v>169</v>
      </c>
      <c r="D79" s="15" t="s">
        <v>19</v>
      </c>
      <c r="E79" s="70" t="s">
        <v>19</v>
      </c>
      <c r="F79" s="70" t="s">
        <v>3178</v>
      </c>
      <c r="G79" s="70" t="s">
        <v>19</v>
      </c>
      <c r="H79" s="70" t="s">
        <v>3178</v>
      </c>
      <c r="I79" s="72" t="s">
        <v>19</v>
      </c>
      <c r="J79" s="72" t="s">
        <v>19</v>
      </c>
      <c r="K79" s="72" t="s">
        <v>19</v>
      </c>
      <c r="L79" s="72" t="s">
        <v>19</v>
      </c>
      <c r="M79" s="15" t="s">
        <v>170</v>
      </c>
      <c r="N79" s="4" t="s">
        <v>171</v>
      </c>
      <c r="O79" s="15"/>
      <c r="P79" s="4" t="s">
        <v>1695</v>
      </c>
      <c r="S79" s="15" t="e" cm="1">
        <f t="array" aca="1" ref="S79" ca="1">COMMONMARKETCOUNT(H79:AV79)</f>
        <v>#NAME?</v>
      </c>
      <c r="T79" s="6" t="e" cm="1">
        <f t="array" aca="1" ref="T79" ca="1">AUTOMATEDCOUNT(H79:AV79)</f>
        <v>#NAME?</v>
      </c>
      <c r="V79" s="70" t="s">
        <v>19</v>
      </c>
      <c r="W79" s="70" t="s">
        <v>19</v>
      </c>
      <c r="X79" s="70" t="s">
        <v>19</v>
      </c>
      <c r="Y79" s="70" t="s">
        <v>19</v>
      </c>
      <c r="Z79" s="70" t="s">
        <v>19</v>
      </c>
      <c r="AA79" s="72" t="s">
        <v>19</v>
      </c>
      <c r="AB79" s="72" t="s">
        <v>19</v>
      </c>
      <c r="AC79" s="72" t="s">
        <v>19</v>
      </c>
      <c r="AD79" s="70" t="s">
        <v>19</v>
      </c>
      <c r="AE79" s="15" t="s">
        <v>19</v>
      </c>
      <c r="AF79" s="18" t="s">
        <v>19</v>
      </c>
      <c r="AG79" s="29" t="s">
        <v>19</v>
      </c>
      <c r="AH79" s="18" t="s">
        <v>19</v>
      </c>
      <c r="AI79" s="18" t="s">
        <v>19</v>
      </c>
      <c r="AJ79" s="18" t="s">
        <v>19</v>
      </c>
      <c r="AK79" s="18" t="s">
        <v>19</v>
      </c>
      <c r="AL79" s="18" t="s">
        <v>19</v>
      </c>
      <c r="AM79" s="18" t="s">
        <v>19</v>
      </c>
      <c r="AN79" s="18" t="s">
        <v>19</v>
      </c>
      <c r="AO79" s="18" t="s">
        <v>19</v>
      </c>
      <c r="AP79" s="18" t="s">
        <v>19</v>
      </c>
      <c r="AQ79" s="18" t="s">
        <v>19</v>
      </c>
      <c r="AR79" s="18" t="s">
        <v>19</v>
      </c>
      <c r="AS79" s="18" t="s">
        <v>19</v>
      </c>
      <c r="AT79" s="18" t="s">
        <v>19</v>
      </c>
      <c r="AU79" s="18" t="s">
        <v>3153</v>
      </c>
      <c r="AV79" s="36" t="s">
        <v>19</v>
      </c>
    </row>
    <row r="80" spans="1:264" ht="112.5" customHeight="1" x14ac:dyDescent="0.3">
      <c r="A80" s="15" t="s">
        <v>18</v>
      </c>
      <c r="B80" s="15" t="s">
        <v>1313</v>
      </c>
      <c r="C80" s="15" t="s">
        <v>172</v>
      </c>
      <c r="D80" s="15" t="s">
        <v>19</v>
      </c>
      <c r="E80" s="15" t="s">
        <v>19</v>
      </c>
      <c r="F80" s="15" t="s">
        <v>19</v>
      </c>
      <c r="G80" s="20" t="s">
        <v>19</v>
      </c>
      <c r="H80" s="20" t="s">
        <v>19</v>
      </c>
      <c r="I80" s="18" t="s">
        <v>19</v>
      </c>
      <c r="J80" s="18" t="s">
        <v>19</v>
      </c>
      <c r="K80" s="18" t="s">
        <v>19</v>
      </c>
      <c r="L80" s="18" t="s">
        <v>19</v>
      </c>
      <c r="M80" s="15" t="s">
        <v>1312</v>
      </c>
      <c r="N80" s="4" t="s">
        <v>2279</v>
      </c>
      <c r="O80" s="15"/>
      <c r="P80" s="4" t="s">
        <v>173</v>
      </c>
      <c r="S80" s="15" t="e" cm="1">
        <f t="array" aca="1" ref="S80" ca="1">COMMONMARKETCOUNT(H80:AV80)</f>
        <v>#NAME?</v>
      </c>
      <c r="T80" s="6" t="e" cm="1">
        <f t="array" aca="1" ref="T80" ca="1">AUTOMATEDCOUNT(H80:AV80)</f>
        <v>#NAME?</v>
      </c>
      <c r="V80" s="15" t="s">
        <v>19</v>
      </c>
      <c r="W80" s="15" t="s">
        <v>19</v>
      </c>
      <c r="X80" s="15" t="s">
        <v>19</v>
      </c>
      <c r="Y80" s="15" t="s">
        <v>19</v>
      </c>
      <c r="Z80" s="15" t="s">
        <v>19</v>
      </c>
      <c r="AA80" s="18" t="s">
        <v>19</v>
      </c>
      <c r="AB80" s="18" t="s">
        <v>19</v>
      </c>
      <c r="AC80" s="18" t="s">
        <v>19</v>
      </c>
      <c r="AD80" s="18" t="s">
        <v>19</v>
      </c>
      <c r="AE80" s="18" t="s">
        <v>19</v>
      </c>
      <c r="AF80" s="18" t="s">
        <v>19</v>
      </c>
      <c r="AG80" s="18" t="s">
        <v>19</v>
      </c>
      <c r="AH80" s="18" t="s">
        <v>19</v>
      </c>
      <c r="AI80" s="18" t="s">
        <v>19</v>
      </c>
      <c r="AJ80" s="18" t="s">
        <v>19</v>
      </c>
      <c r="AK80" s="18" t="s">
        <v>19</v>
      </c>
      <c r="AL80" s="18" t="s">
        <v>19</v>
      </c>
      <c r="AM80" s="18" t="s">
        <v>19</v>
      </c>
      <c r="AN80" s="18" t="s">
        <v>19</v>
      </c>
      <c r="AO80" s="18" t="s">
        <v>19</v>
      </c>
      <c r="AP80" s="18" t="s">
        <v>19</v>
      </c>
      <c r="AQ80" s="18" t="s">
        <v>19</v>
      </c>
      <c r="AR80" s="18" t="s">
        <v>19</v>
      </c>
      <c r="AS80" s="18" t="s">
        <v>19</v>
      </c>
      <c r="AT80" s="18" t="s">
        <v>19</v>
      </c>
      <c r="AU80" s="18" t="s">
        <v>3153</v>
      </c>
      <c r="AV80" s="36" t="s">
        <v>19</v>
      </c>
    </row>
    <row r="81" spans="1:264" ht="126" hidden="1" customHeight="1" x14ac:dyDescent="0.3">
      <c r="A81" s="15" t="s">
        <v>18</v>
      </c>
      <c r="B81" s="15" t="s">
        <v>1332</v>
      </c>
      <c r="C81" s="15" t="s">
        <v>175</v>
      </c>
      <c r="D81" s="15" t="s">
        <v>19</v>
      </c>
      <c r="E81" s="15" t="s">
        <v>19</v>
      </c>
      <c r="F81" s="15" t="s">
        <v>19</v>
      </c>
      <c r="G81" s="20" t="s">
        <v>19</v>
      </c>
      <c r="H81" s="119" t="s">
        <v>3176</v>
      </c>
      <c r="I81" s="18" t="s">
        <v>19</v>
      </c>
      <c r="J81" s="18" t="s">
        <v>19</v>
      </c>
      <c r="K81" s="18" t="s">
        <v>19</v>
      </c>
      <c r="L81" s="18" t="s">
        <v>19</v>
      </c>
      <c r="M81" s="15" t="s">
        <v>176</v>
      </c>
      <c r="N81" s="4" t="s">
        <v>177</v>
      </c>
      <c r="O81" s="15"/>
      <c r="P81" s="4" t="s">
        <v>178</v>
      </c>
      <c r="S81" s="15" t="e" cm="1">
        <f t="array" aca="1" ref="S81" ca="1">COMMONMARKETCOUNT(H81:AV81)</f>
        <v>#NAME?</v>
      </c>
      <c r="T81" s="6" t="e" cm="1">
        <f t="array" aca="1" ref="T81" ca="1">AUTOMATEDCOUNT(H81:AV81)</f>
        <v>#NAME?</v>
      </c>
      <c r="V81" s="15" t="s">
        <v>19</v>
      </c>
      <c r="W81" s="15" t="s">
        <v>19</v>
      </c>
      <c r="X81" s="15" t="s">
        <v>19</v>
      </c>
      <c r="Y81" s="15" t="s">
        <v>19</v>
      </c>
      <c r="Z81" s="15" t="s">
        <v>19</v>
      </c>
      <c r="AA81" s="18" t="s">
        <v>19</v>
      </c>
      <c r="AB81" s="18" t="s">
        <v>19</v>
      </c>
      <c r="AC81" s="18" t="s">
        <v>19</v>
      </c>
      <c r="AD81" s="18" t="s">
        <v>19</v>
      </c>
      <c r="AE81" s="18" t="s">
        <v>19</v>
      </c>
      <c r="AF81" s="18" t="s">
        <v>19</v>
      </c>
      <c r="AG81" s="18" t="s">
        <v>19</v>
      </c>
      <c r="AH81" s="18" t="s">
        <v>19</v>
      </c>
      <c r="AI81" s="18" t="s">
        <v>19</v>
      </c>
      <c r="AJ81" s="18" t="s">
        <v>19</v>
      </c>
      <c r="AK81" s="18" t="s">
        <v>19</v>
      </c>
      <c r="AL81" s="18" t="s">
        <v>19</v>
      </c>
      <c r="AM81" s="18" t="s">
        <v>19</v>
      </c>
      <c r="AN81" s="18" t="s">
        <v>19</v>
      </c>
      <c r="AO81" s="18" t="s">
        <v>19</v>
      </c>
      <c r="AP81" s="18" t="s">
        <v>19</v>
      </c>
      <c r="AQ81" s="18" t="s">
        <v>19</v>
      </c>
      <c r="AR81" s="18" t="s">
        <v>19</v>
      </c>
      <c r="AS81" s="18" t="s">
        <v>19</v>
      </c>
      <c r="AT81" s="18" t="s">
        <v>19</v>
      </c>
      <c r="AU81" s="18" t="s">
        <v>3153</v>
      </c>
      <c r="AV81" s="36" t="s">
        <v>19</v>
      </c>
    </row>
    <row r="82" spans="1:264" ht="70.5" customHeight="1" x14ac:dyDescent="0.3">
      <c r="A82" s="15" t="s">
        <v>25</v>
      </c>
      <c r="B82" s="15" t="s">
        <v>180</v>
      </c>
      <c r="C82" s="15" t="s">
        <v>179</v>
      </c>
      <c r="D82" s="15" t="s">
        <v>19</v>
      </c>
      <c r="E82" s="70" t="s">
        <v>19</v>
      </c>
      <c r="F82" s="70" t="s">
        <v>19</v>
      </c>
      <c r="G82" s="15" t="s">
        <v>19</v>
      </c>
      <c r="H82" s="15" t="s">
        <v>19</v>
      </c>
      <c r="I82" s="72" t="s">
        <v>19</v>
      </c>
      <c r="J82" s="72" t="s">
        <v>19</v>
      </c>
      <c r="K82" s="29" t="s">
        <v>19</v>
      </c>
      <c r="L82" s="29" t="s">
        <v>19</v>
      </c>
      <c r="M82" s="15" t="s">
        <v>1696</v>
      </c>
      <c r="N82" s="4" t="s">
        <v>1498</v>
      </c>
      <c r="O82" s="15"/>
      <c r="P82" s="4" t="s">
        <v>1499</v>
      </c>
      <c r="S82" s="15" t="e" cm="1">
        <f t="array" aca="1" ref="S82" ca="1">COMMONMARKETCOUNT(H82:AV82)</f>
        <v>#NAME?</v>
      </c>
      <c r="T82" s="6" t="e" cm="1">
        <f t="array" aca="1" ref="T82" ca="1">AUTOMATEDCOUNT(H82:AV82)</f>
        <v>#NAME?</v>
      </c>
      <c r="V82" s="15" t="s">
        <v>109</v>
      </c>
      <c r="W82" s="15" t="s">
        <v>109</v>
      </c>
      <c r="X82" s="70" t="s">
        <v>19</v>
      </c>
      <c r="Y82" s="70" t="s">
        <v>19</v>
      </c>
      <c r="Z82" s="70" t="s">
        <v>19</v>
      </c>
      <c r="AA82" s="72" t="s">
        <v>19</v>
      </c>
      <c r="AB82" s="72" t="s">
        <v>19</v>
      </c>
      <c r="AC82" s="72" t="s">
        <v>19</v>
      </c>
      <c r="AD82" s="72" t="s">
        <v>19</v>
      </c>
      <c r="AE82" s="18" t="s">
        <v>19</v>
      </c>
      <c r="AF82" s="18" t="s">
        <v>19</v>
      </c>
      <c r="AG82" s="29" t="s">
        <v>19</v>
      </c>
      <c r="AH82" s="18" t="s">
        <v>19</v>
      </c>
      <c r="AI82" s="18" t="s">
        <v>19</v>
      </c>
      <c r="AJ82" s="18" t="s">
        <v>19</v>
      </c>
      <c r="AK82" s="18" t="s">
        <v>19</v>
      </c>
      <c r="AL82" s="18" t="s">
        <v>19</v>
      </c>
      <c r="AM82" s="18" t="s">
        <v>19</v>
      </c>
      <c r="AN82" s="18" t="s">
        <v>19</v>
      </c>
      <c r="AO82" s="18" t="s">
        <v>19</v>
      </c>
      <c r="AP82" s="18" t="s">
        <v>19</v>
      </c>
      <c r="AQ82" s="18" t="s">
        <v>19</v>
      </c>
      <c r="AR82" s="18" t="s">
        <v>19</v>
      </c>
      <c r="AS82" s="18" t="s">
        <v>19</v>
      </c>
      <c r="AT82" s="18" t="s">
        <v>19</v>
      </c>
      <c r="AU82" s="18" t="s">
        <v>3153</v>
      </c>
      <c r="AV82" s="36" t="s">
        <v>19</v>
      </c>
    </row>
    <row r="83" spans="1:264" ht="70.5" customHeight="1" x14ac:dyDescent="0.3">
      <c r="A83" s="15" t="s">
        <v>25</v>
      </c>
      <c r="B83" s="15" t="s">
        <v>180</v>
      </c>
      <c r="C83" s="15" t="s">
        <v>181</v>
      </c>
      <c r="D83" s="15" t="s">
        <v>19</v>
      </c>
      <c r="E83" s="70" t="s">
        <v>19</v>
      </c>
      <c r="F83" s="70" t="s">
        <v>19</v>
      </c>
      <c r="G83" s="15" t="s">
        <v>19</v>
      </c>
      <c r="H83" s="15" t="s">
        <v>19</v>
      </c>
      <c r="I83" s="18" t="s">
        <v>19</v>
      </c>
      <c r="J83" s="18" t="s">
        <v>19</v>
      </c>
      <c r="K83" s="18" t="s">
        <v>19</v>
      </c>
      <c r="L83" s="18" t="s">
        <v>19</v>
      </c>
      <c r="M83" s="15" t="s">
        <v>182</v>
      </c>
      <c r="N83" s="4" t="s">
        <v>1500</v>
      </c>
      <c r="O83" s="15"/>
      <c r="P83" s="4" t="s">
        <v>1593</v>
      </c>
      <c r="S83" s="15" t="e" cm="1">
        <f t="array" aca="1" ref="S83" ca="1">COMMONMARKETCOUNT(H83:AV83)</f>
        <v>#NAME?</v>
      </c>
      <c r="T83" s="6" t="e" cm="1">
        <f t="array" aca="1" ref="T83" ca="1">AUTOMATEDCOUNT(H83:AV83)</f>
        <v>#NAME?</v>
      </c>
      <c r="V83" s="15" t="s">
        <v>109</v>
      </c>
      <c r="W83" s="15" t="s">
        <v>109</v>
      </c>
      <c r="X83" s="70" t="s">
        <v>19</v>
      </c>
      <c r="Y83" s="70" t="s">
        <v>19</v>
      </c>
      <c r="Z83" s="70" t="s">
        <v>19</v>
      </c>
      <c r="AA83" s="18" t="s">
        <v>19</v>
      </c>
      <c r="AB83" s="18" t="s">
        <v>19</v>
      </c>
      <c r="AC83" s="18" t="s">
        <v>19</v>
      </c>
      <c r="AD83" s="18" t="s">
        <v>19</v>
      </c>
      <c r="AE83" s="18" t="s">
        <v>19</v>
      </c>
      <c r="AF83" s="18" t="s">
        <v>19</v>
      </c>
      <c r="AG83" s="18" t="s">
        <v>19</v>
      </c>
      <c r="AH83" s="18" t="s">
        <v>19</v>
      </c>
      <c r="AI83" s="18" t="s">
        <v>19</v>
      </c>
      <c r="AJ83" s="18" t="s">
        <v>19</v>
      </c>
      <c r="AK83" s="18" t="s">
        <v>19</v>
      </c>
      <c r="AL83" s="18" t="s">
        <v>19</v>
      </c>
      <c r="AM83" s="18" t="s">
        <v>19</v>
      </c>
      <c r="AN83" s="18" t="s">
        <v>19</v>
      </c>
      <c r="AO83" s="18" t="s">
        <v>19</v>
      </c>
      <c r="AP83" s="18" t="s">
        <v>19</v>
      </c>
      <c r="AQ83" s="18" t="s">
        <v>19</v>
      </c>
      <c r="AR83" s="18" t="s">
        <v>19</v>
      </c>
      <c r="AS83" s="18" t="s">
        <v>19</v>
      </c>
      <c r="AT83" s="18" t="s">
        <v>19</v>
      </c>
      <c r="AU83" s="18" t="s">
        <v>3153</v>
      </c>
      <c r="AV83" s="36" t="s">
        <v>19</v>
      </c>
    </row>
    <row r="84" spans="1:264" s="5" customFormat="1" ht="70.5" customHeight="1" x14ac:dyDescent="0.3">
      <c r="A84" s="15" t="s">
        <v>25</v>
      </c>
      <c r="B84" s="15" t="s">
        <v>1823</v>
      </c>
      <c r="C84" s="15" t="s">
        <v>183</v>
      </c>
      <c r="D84" s="15" t="s">
        <v>19</v>
      </c>
      <c r="E84" s="70" t="s">
        <v>19</v>
      </c>
      <c r="F84" s="70" t="s">
        <v>19</v>
      </c>
      <c r="G84" s="70" t="s">
        <v>19</v>
      </c>
      <c r="H84" s="70" t="s">
        <v>19</v>
      </c>
      <c r="I84" s="72" t="s">
        <v>19</v>
      </c>
      <c r="J84" s="72" t="s">
        <v>19</v>
      </c>
      <c r="K84" s="72" t="s">
        <v>19</v>
      </c>
      <c r="L84" s="72" t="s">
        <v>19</v>
      </c>
      <c r="M84" s="15" t="s">
        <v>1697</v>
      </c>
      <c r="N84" s="4" t="s">
        <v>1501</v>
      </c>
      <c r="O84" s="15"/>
      <c r="P84" s="4" t="s">
        <v>1502</v>
      </c>
      <c r="S84" s="15" t="e" cm="1">
        <f t="array" aca="1" ref="S84" ca="1">COMMONMARKETCOUNT(H84:AV84)</f>
        <v>#NAME?</v>
      </c>
      <c r="T84" s="6" t="e" cm="1">
        <f t="array" aca="1" ref="T84" ca="1">AUTOMATEDCOUNT(H84:AV84)</f>
        <v>#NAME?</v>
      </c>
      <c r="V84" s="15" t="s">
        <v>109</v>
      </c>
      <c r="W84" s="70" t="s">
        <v>19</v>
      </c>
      <c r="X84" s="70" t="s">
        <v>19</v>
      </c>
      <c r="Y84" s="70" t="s">
        <v>19</v>
      </c>
      <c r="Z84" s="70" t="s">
        <v>19</v>
      </c>
      <c r="AA84" s="72" t="s">
        <v>19</v>
      </c>
      <c r="AB84" s="72" t="s">
        <v>19</v>
      </c>
      <c r="AC84" s="72" t="s">
        <v>19</v>
      </c>
      <c r="AD84" s="72" t="s">
        <v>19</v>
      </c>
      <c r="AE84" s="18" t="s">
        <v>19</v>
      </c>
      <c r="AF84" s="18" t="s">
        <v>19</v>
      </c>
      <c r="AG84" s="18" t="s">
        <v>19</v>
      </c>
      <c r="AH84" s="18" t="s">
        <v>19</v>
      </c>
      <c r="AI84" s="18" t="s">
        <v>19</v>
      </c>
      <c r="AJ84" s="18" t="s">
        <v>19</v>
      </c>
      <c r="AK84" s="18" t="s">
        <v>19</v>
      </c>
      <c r="AL84" s="18" t="s">
        <v>19</v>
      </c>
      <c r="AM84" s="18" t="s">
        <v>19</v>
      </c>
      <c r="AN84" s="18" t="s">
        <v>19</v>
      </c>
      <c r="AO84" s="18" t="s">
        <v>19</v>
      </c>
      <c r="AP84" s="18" t="s">
        <v>19</v>
      </c>
      <c r="AQ84" s="18" t="s">
        <v>19</v>
      </c>
      <c r="AR84" s="18" t="s">
        <v>19</v>
      </c>
      <c r="AS84" s="70" t="s">
        <v>19</v>
      </c>
      <c r="AT84" s="18" t="s">
        <v>19</v>
      </c>
      <c r="AU84" s="18" t="s">
        <v>3153</v>
      </c>
      <c r="AV84" s="36" t="s">
        <v>19</v>
      </c>
      <c r="AW84" s="16"/>
      <c r="AX84" s="16"/>
      <c r="AY84" s="16"/>
      <c r="AZ84" s="16"/>
      <c r="BA84" s="16"/>
      <c r="BB84" s="16"/>
      <c r="BC84" s="16"/>
      <c r="BD84" s="16"/>
      <c r="BE84" s="16"/>
      <c r="BF84" s="16"/>
      <c r="BG84" s="16"/>
      <c r="BH84" s="16"/>
      <c r="BI84" s="16"/>
      <c r="BJ84" s="16"/>
      <c r="BK84" s="16"/>
      <c r="BL84" s="16"/>
      <c r="BM84" s="16"/>
      <c r="BN84" s="16"/>
      <c r="BO84" s="16"/>
      <c r="BP84" s="16"/>
      <c r="BQ84" s="16"/>
      <c r="BR84" s="16"/>
      <c r="BS84" s="16"/>
      <c r="BT84" s="16"/>
      <c r="BU84" s="16"/>
      <c r="BV84" s="16"/>
      <c r="BW84" s="16"/>
      <c r="BX84" s="16"/>
      <c r="BY84" s="16"/>
      <c r="BZ84" s="16"/>
      <c r="CA84" s="16"/>
      <c r="CB84" s="16"/>
      <c r="CC84" s="16"/>
      <c r="CD84" s="16"/>
      <c r="CE84" s="16"/>
      <c r="CF84" s="16"/>
      <c r="CG84" s="16"/>
      <c r="CH84" s="16"/>
      <c r="CI84" s="16"/>
      <c r="CJ84" s="16"/>
      <c r="CK84" s="16"/>
      <c r="CL84" s="16"/>
      <c r="CM84" s="16"/>
      <c r="CN84" s="16"/>
      <c r="CO84" s="16"/>
      <c r="CP84" s="16"/>
      <c r="CQ84" s="16"/>
      <c r="CR84" s="16"/>
      <c r="CS84" s="16"/>
      <c r="CT84" s="16"/>
      <c r="CU84" s="16"/>
      <c r="CV84" s="16"/>
      <c r="CW84" s="16"/>
      <c r="CX84" s="16"/>
      <c r="CY84" s="16"/>
      <c r="CZ84" s="16"/>
      <c r="DA84" s="16"/>
      <c r="DB84" s="16"/>
      <c r="DC84" s="16"/>
      <c r="DD84" s="16"/>
      <c r="DE84" s="16"/>
      <c r="DF84" s="16"/>
      <c r="DG84" s="16"/>
      <c r="DH84" s="16"/>
      <c r="DI84" s="16"/>
      <c r="DJ84" s="16"/>
      <c r="DK84" s="16"/>
      <c r="DL84" s="16"/>
      <c r="DM84" s="16"/>
      <c r="DN84" s="16"/>
      <c r="DO84" s="16"/>
      <c r="DP84" s="16"/>
      <c r="DQ84" s="16"/>
      <c r="DR84" s="16"/>
      <c r="DS84" s="16"/>
      <c r="DT84" s="16"/>
      <c r="DU84" s="16"/>
      <c r="DV84" s="16"/>
      <c r="DW84" s="16"/>
      <c r="DX84" s="16"/>
      <c r="DY84" s="16"/>
      <c r="DZ84" s="16"/>
      <c r="EA84" s="16"/>
      <c r="EB84" s="16"/>
      <c r="EC84" s="16"/>
      <c r="ED84" s="16"/>
      <c r="EE84" s="16"/>
      <c r="EF84" s="16"/>
      <c r="EG84" s="16"/>
      <c r="EH84" s="16"/>
      <c r="EI84" s="16"/>
      <c r="EJ84" s="16"/>
      <c r="EK84" s="16"/>
      <c r="EL84" s="16"/>
      <c r="EM84" s="16"/>
      <c r="EN84" s="16"/>
      <c r="EO84" s="16"/>
      <c r="EP84" s="16"/>
      <c r="EQ84" s="16"/>
      <c r="ER84" s="16"/>
      <c r="ES84" s="16"/>
      <c r="ET84" s="16"/>
      <c r="EU84" s="16"/>
      <c r="EV84" s="16"/>
      <c r="EW84" s="16"/>
      <c r="EX84" s="16"/>
      <c r="EY84" s="16"/>
      <c r="EZ84" s="16"/>
      <c r="FA84" s="16"/>
      <c r="FB84" s="16"/>
      <c r="FC84" s="16"/>
      <c r="FD84" s="16"/>
      <c r="FE84" s="16"/>
      <c r="FF84" s="16"/>
      <c r="FG84" s="16"/>
      <c r="FH84" s="16"/>
      <c r="FI84" s="16"/>
      <c r="FJ84" s="16"/>
      <c r="FK84" s="16"/>
      <c r="FL84" s="16"/>
      <c r="FM84" s="16"/>
      <c r="FN84" s="16"/>
      <c r="FO84" s="16"/>
      <c r="FP84" s="16"/>
      <c r="FQ84" s="16"/>
      <c r="FR84" s="16"/>
      <c r="FS84" s="16"/>
      <c r="FT84" s="16"/>
      <c r="FU84" s="16"/>
      <c r="FV84" s="16"/>
      <c r="FW84" s="16"/>
      <c r="FX84" s="16"/>
      <c r="FY84" s="16"/>
      <c r="FZ84" s="16"/>
      <c r="GA84" s="16"/>
      <c r="GB84" s="16"/>
      <c r="GC84" s="16"/>
      <c r="GD84" s="16"/>
      <c r="GE84" s="16"/>
      <c r="GF84" s="16"/>
      <c r="GG84" s="16"/>
      <c r="GH84" s="16"/>
      <c r="GI84" s="16"/>
      <c r="GJ84" s="16"/>
      <c r="GK84" s="16"/>
      <c r="GL84" s="16"/>
      <c r="GM84" s="16"/>
      <c r="GN84" s="16"/>
      <c r="GO84" s="16"/>
      <c r="GP84" s="16"/>
      <c r="GQ84" s="16"/>
      <c r="GR84" s="16"/>
      <c r="GS84" s="16"/>
      <c r="GT84" s="16"/>
      <c r="GU84" s="16"/>
      <c r="GV84" s="16"/>
      <c r="GW84" s="16"/>
      <c r="GX84" s="16"/>
      <c r="GY84" s="16"/>
      <c r="GZ84" s="16"/>
      <c r="HA84" s="16"/>
      <c r="HB84" s="16"/>
      <c r="HC84" s="16"/>
      <c r="HD84" s="16"/>
      <c r="HE84" s="16"/>
      <c r="HF84" s="16"/>
      <c r="HG84" s="16"/>
      <c r="HH84" s="16"/>
      <c r="HI84" s="16"/>
      <c r="HJ84" s="16"/>
      <c r="HK84" s="16"/>
      <c r="HL84" s="16"/>
      <c r="HM84" s="16"/>
      <c r="HN84" s="16"/>
      <c r="HO84" s="16"/>
      <c r="HP84" s="16"/>
      <c r="HQ84" s="16"/>
      <c r="HR84" s="16"/>
      <c r="HS84" s="16"/>
      <c r="HT84" s="16"/>
      <c r="HU84" s="16"/>
      <c r="HV84" s="16"/>
      <c r="HW84" s="16"/>
      <c r="HX84" s="16"/>
      <c r="HY84" s="16"/>
      <c r="HZ84" s="16"/>
      <c r="IA84" s="16"/>
      <c r="IB84" s="16"/>
      <c r="IC84" s="16"/>
      <c r="ID84" s="16"/>
      <c r="IE84" s="16"/>
      <c r="IF84" s="16"/>
      <c r="IG84" s="16"/>
      <c r="IH84" s="16"/>
      <c r="II84" s="16"/>
      <c r="IJ84" s="16"/>
      <c r="IK84" s="16"/>
      <c r="IL84" s="16"/>
      <c r="IM84" s="16"/>
      <c r="IN84" s="16"/>
      <c r="IO84" s="16"/>
      <c r="IP84" s="16"/>
      <c r="IQ84" s="16"/>
      <c r="IR84" s="16"/>
      <c r="IS84" s="16"/>
      <c r="IT84" s="16"/>
      <c r="IU84" s="16"/>
      <c r="IV84" s="16"/>
      <c r="IW84" s="16"/>
      <c r="IX84" s="16"/>
      <c r="IY84" s="16"/>
      <c r="IZ84" s="16"/>
      <c r="JA84" s="16"/>
      <c r="JB84" s="16"/>
      <c r="JC84" s="16"/>
      <c r="JD84" s="16"/>
    </row>
    <row r="85" spans="1:264" s="5" customFormat="1" ht="70.5" customHeight="1" x14ac:dyDescent="0.3">
      <c r="A85" s="15" t="s">
        <v>25</v>
      </c>
      <c r="B85" s="15" t="s">
        <v>180</v>
      </c>
      <c r="C85" s="19" t="s">
        <v>184</v>
      </c>
      <c r="D85" s="15" t="s">
        <v>19</v>
      </c>
      <c r="E85" s="70" t="s">
        <v>19</v>
      </c>
      <c r="F85" s="70" t="s">
        <v>19</v>
      </c>
      <c r="G85" s="15" t="s">
        <v>19</v>
      </c>
      <c r="H85" s="15" t="s">
        <v>19</v>
      </c>
      <c r="I85" s="18" t="s">
        <v>19</v>
      </c>
      <c r="J85" s="18" t="s">
        <v>19</v>
      </c>
      <c r="K85" s="18" t="s">
        <v>19</v>
      </c>
      <c r="L85" s="18" t="s">
        <v>19</v>
      </c>
      <c r="M85" s="15" t="s">
        <v>1698</v>
      </c>
      <c r="N85" s="4" t="s">
        <v>1503</v>
      </c>
      <c r="O85" s="15"/>
      <c r="P85" s="4" t="s">
        <v>1699</v>
      </c>
      <c r="S85" s="15" t="e" cm="1">
        <f t="array" aca="1" ref="S85" ca="1">COMMONMARKETCOUNT(H85:AV85)</f>
        <v>#NAME?</v>
      </c>
      <c r="T85" s="6" t="e" cm="1">
        <f t="array" aca="1" ref="T85" ca="1">AUTOMATEDCOUNT(H85:AV85)</f>
        <v>#NAME?</v>
      </c>
      <c r="V85" s="15" t="s">
        <v>109</v>
      </c>
      <c r="W85" s="15" t="s">
        <v>109</v>
      </c>
      <c r="X85" s="70" t="s">
        <v>19</v>
      </c>
      <c r="Y85" s="70" t="s">
        <v>19</v>
      </c>
      <c r="Z85" s="70" t="s">
        <v>19</v>
      </c>
      <c r="AA85" s="18" t="s">
        <v>19</v>
      </c>
      <c r="AB85" s="18" t="s">
        <v>19</v>
      </c>
      <c r="AC85" s="18" t="s">
        <v>19</v>
      </c>
      <c r="AD85" s="18" t="s">
        <v>19</v>
      </c>
      <c r="AE85" s="18" t="s">
        <v>19</v>
      </c>
      <c r="AF85" s="18" t="s">
        <v>19</v>
      </c>
      <c r="AG85" s="18" t="s">
        <v>19</v>
      </c>
      <c r="AH85" s="18" t="s">
        <v>19</v>
      </c>
      <c r="AI85" s="18" t="s">
        <v>19</v>
      </c>
      <c r="AJ85" s="18" t="s">
        <v>19</v>
      </c>
      <c r="AK85" s="18" t="s">
        <v>19</v>
      </c>
      <c r="AL85" s="18" t="s">
        <v>19</v>
      </c>
      <c r="AM85" s="18" t="s">
        <v>19</v>
      </c>
      <c r="AN85" s="18" t="s">
        <v>19</v>
      </c>
      <c r="AO85" s="18" t="s">
        <v>19</v>
      </c>
      <c r="AP85" s="18" t="s">
        <v>19</v>
      </c>
      <c r="AQ85" s="18" t="s">
        <v>19</v>
      </c>
      <c r="AR85" s="18" t="s">
        <v>19</v>
      </c>
      <c r="AS85" s="18" t="s">
        <v>19</v>
      </c>
      <c r="AT85" s="18" t="s">
        <v>19</v>
      </c>
      <c r="AU85" s="18" t="s">
        <v>3153</v>
      </c>
      <c r="AV85" s="36" t="s">
        <v>19</v>
      </c>
      <c r="AW85" s="16"/>
      <c r="AX85" s="16"/>
      <c r="AY85" s="16"/>
      <c r="AZ85" s="16"/>
      <c r="BA85" s="16"/>
      <c r="BB85" s="16"/>
      <c r="BC85" s="16"/>
      <c r="BD85" s="16"/>
      <c r="BE85" s="16"/>
      <c r="BF85" s="16"/>
      <c r="BG85" s="16"/>
      <c r="BH85" s="16"/>
      <c r="BI85" s="16"/>
      <c r="BJ85" s="16"/>
      <c r="BK85" s="16"/>
      <c r="BL85" s="16"/>
      <c r="BM85" s="16"/>
      <c r="BN85" s="16"/>
      <c r="BO85" s="16"/>
      <c r="BP85" s="16"/>
      <c r="BQ85" s="16"/>
      <c r="BR85" s="16"/>
      <c r="BS85" s="16"/>
      <c r="BT85" s="16"/>
      <c r="BU85" s="16"/>
      <c r="BV85" s="16"/>
      <c r="BW85" s="16"/>
      <c r="BX85" s="16"/>
      <c r="BY85" s="16"/>
      <c r="BZ85" s="16"/>
      <c r="CA85" s="16"/>
      <c r="CB85" s="16"/>
      <c r="CC85" s="16"/>
      <c r="CD85" s="16"/>
      <c r="CE85" s="16"/>
      <c r="CF85" s="16"/>
      <c r="CG85" s="16"/>
      <c r="CH85" s="16"/>
      <c r="CI85" s="16"/>
      <c r="CJ85" s="16"/>
      <c r="CK85" s="16"/>
      <c r="CL85" s="16"/>
      <c r="CM85" s="16"/>
      <c r="CN85" s="16"/>
      <c r="CO85" s="16"/>
      <c r="CP85" s="16"/>
      <c r="CQ85" s="16"/>
      <c r="CR85" s="16"/>
      <c r="CS85" s="16"/>
      <c r="CT85" s="16"/>
      <c r="CU85" s="16"/>
      <c r="CV85" s="16"/>
      <c r="CW85" s="16"/>
      <c r="CX85" s="16"/>
      <c r="CY85" s="16"/>
      <c r="CZ85" s="16"/>
      <c r="DA85" s="16"/>
      <c r="DB85" s="16"/>
      <c r="DC85" s="16"/>
      <c r="DD85" s="16"/>
      <c r="DE85" s="16"/>
      <c r="DF85" s="16"/>
      <c r="DG85" s="16"/>
      <c r="DH85" s="16"/>
      <c r="DI85" s="16"/>
      <c r="DJ85" s="16"/>
      <c r="DK85" s="16"/>
      <c r="DL85" s="16"/>
      <c r="DM85" s="16"/>
      <c r="DN85" s="16"/>
      <c r="DO85" s="16"/>
      <c r="DP85" s="16"/>
      <c r="DQ85" s="16"/>
      <c r="DR85" s="16"/>
      <c r="DS85" s="16"/>
      <c r="DT85" s="16"/>
      <c r="DU85" s="16"/>
      <c r="DV85" s="16"/>
      <c r="DW85" s="16"/>
      <c r="DX85" s="16"/>
      <c r="DY85" s="16"/>
      <c r="DZ85" s="16"/>
      <c r="EA85" s="16"/>
      <c r="EB85" s="16"/>
      <c r="EC85" s="16"/>
      <c r="ED85" s="16"/>
      <c r="EE85" s="16"/>
      <c r="EF85" s="16"/>
      <c r="EG85" s="16"/>
      <c r="EH85" s="16"/>
      <c r="EI85" s="16"/>
      <c r="EJ85" s="16"/>
      <c r="EK85" s="16"/>
      <c r="EL85" s="16"/>
      <c r="EM85" s="16"/>
      <c r="EN85" s="16"/>
      <c r="EO85" s="16"/>
      <c r="EP85" s="16"/>
      <c r="EQ85" s="16"/>
      <c r="ER85" s="16"/>
      <c r="ES85" s="16"/>
      <c r="ET85" s="16"/>
      <c r="EU85" s="16"/>
      <c r="EV85" s="16"/>
      <c r="EW85" s="16"/>
      <c r="EX85" s="16"/>
      <c r="EY85" s="16"/>
      <c r="EZ85" s="16"/>
      <c r="FA85" s="16"/>
      <c r="FB85" s="16"/>
      <c r="FC85" s="16"/>
      <c r="FD85" s="16"/>
      <c r="FE85" s="16"/>
      <c r="FF85" s="16"/>
      <c r="FG85" s="16"/>
      <c r="FH85" s="16"/>
      <c r="FI85" s="16"/>
      <c r="FJ85" s="16"/>
      <c r="FK85" s="16"/>
      <c r="FL85" s="16"/>
      <c r="FM85" s="16"/>
      <c r="FN85" s="16"/>
      <c r="FO85" s="16"/>
      <c r="FP85" s="16"/>
      <c r="FQ85" s="16"/>
      <c r="FR85" s="16"/>
      <c r="FS85" s="16"/>
      <c r="FT85" s="16"/>
      <c r="FU85" s="16"/>
      <c r="FV85" s="16"/>
      <c r="FW85" s="16"/>
      <c r="FX85" s="16"/>
      <c r="FY85" s="16"/>
      <c r="FZ85" s="16"/>
      <c r="GA85" s="16"/>
      <c r="GB85" s="16"/>
      <c r="GC85" s="16"/>
      <c r="GD85" s="16"/>
      <c r="GE85" s="16"/>
      <c r="GF85" s="16"/>
      <c r="GG85" s="16"/>
      <c r="GH85" s="16"/>
      <c r="GI85" s="16"/>
      <c r="GJ85" s="16"/>
      <c r="GK85" s="16"/>
      <c r="GL85" s="16"/>
      <c r="GM85" s="16"/>
      <c r="GN85" s="16"/>
      <c r="GO85" s="16"/>
      <c r="GP85" s="16"/>
      <c r="GQ85" s="16"/>
      <c r="GR85" s="16"/>
      <c r="GS85" s="16"/>
      <c r="GT85" s="16"/>
      <c r="GU85" s="16"/>
      <c r="GV85" s="16"/>
      <c r="GW85" s="16"/>
      <c r="GX85" s="16"/>
      <c r="GY85" s="16"/>
      <c r="GZ85" s="16"/>
      <c r="HA85" s="16"/>
      <c r="HB85" s="16"/>
      <c r="HC85" s="16"/>
      <c r="HD85" s="16"/>
      <c r="HE85" s="16"/>
      <c r="HF85" s="16"/>
      <c r="HG85" s="16"/>
      <c r="HH85" s="16"/>
      <c r="HI85" s="16"/>
      <c r="HJ85" s="16"/>
      <c r="HK85" s="16"/>
      <c r="HL85" s="16"/>
      <c r="HM85" s="16"/>
      <c r="HN85" s="16"/>
      <c r="HO85" s="16"/>
      <c r="HP85" s="16"/>
      <c r="HQ85" s="16"/>
      <c r="HR85" s="16"/>
      <c r="HS85" s="16"/>
      <c r="HT85" s="16"/>
      <c r="HU85" s="16"/>
      <c r="HV85" s="16"/>
      <c r="HW85" s="16"/>
      <c r="HX85" s="16"/>
      <c r="HY85" s="16"/>
      <c r="HZ85" s="16"/>
      <c r="IA85" s="16"/>
      <c r="IB85" s="16"/>
      <c r="IC85" s="16"/>
      <c r="ID85" s="16"/>
      <c r="IE85" s="16"/>
      <c r="IF85" s="16"/>
      <c r="IG85" s="16"/>
      <c r="IH85" s="16"/>
      <c r="II85" s="16"/>
      <c r="IJ85" s="16"/>
      <c r="IK85" s="16"/>
      <c r="IL85" s="16"/>
      <c r="IM85" s="16"/>
      <c r="IN85" s="16"/>
      <c r="IO85" s="16"/>
      <c r="IP85" s="16"/>
      <c r="IQ85" s="16"/>
      <c r="IR85" s="16"/>
      <c r="IS85" s="16"/>
      <c r="IT85" s="16"/>
      <c r="IU85" s="16"/>
      <c r="IV85" s="16"/>
      <c r="IW85" s="16"/>
      <c r="IX85" s="16"/>
      <c r="IY85" s="16"/>
      <c r="IZ85" s="16"/>
      <c r="JA85" s="16"/>
      <c r="JB85" s="16"/>
      <c r="JC85" s="16"/>
      <c r="JD85" s="16"/>
    </row>
    <row r="86" spans="1:264" ht="70.5" customHeight="1" x14ac:dyDescent="0.3">
      <c r="A86" s="15" t="s">
        <v>25</v>
      </c>
      <c r="B86" s="15" t="s">
        <v>24</v>
      </c>
      <c r="C86" s="19" t="s">
        <v>185</v>
      </c>
      <c r="D86" s="15" t="s">
        <v>19</v>
      </c>
      <c r="E86" s="70" t="s">
        <v>19</v>
      </c>
      <c r="F86" s="70" t="s">
        <v>19</v>
      </c>
      <c r="G86" s="15" t="s">
        <v>19</v>
      </c>
      <c r="H86" s="15" t="s">
        <v>19</v>
      </c>
      <c r="I86" s="18" t="s">
        <v>19</v>
      </c>
      <c r="J86" s="18" t="s">
        <v>19</v>
      </c>
      <c r="K86" s="18" t="s">
        <v>19</v>
      </c>
      <c r="L86" s="18" t="s">
        <v>19</v>
      </c>
      <c r="M86" s="15" t="s">
        <v>1700</v>
      </c>
      <c r="N86" s="4" t="s">
        <v>1504</v>
      </c>
      <c r="O86" s="15"/>
      <c r="P86" s="4" t="s">
        <v>186</v>
      </c>
      <c r="S86" s="15" t="e" cm="1">
        <f t="array" aca="1" ref="S86" ca="1">COMMONMARKETCOUNT(H86:AV86)</f>
        <v>#NAME?</v>
      </c>
      <c r="T86" s="6" t="e" cm="1">
        <f t="array" aca="1" ref="T86" ca="1">AUTOMATEDCOUNT(H86:AV86)</f>
        <v>#NAME?</v>
      </c>
      <c r="V86" s="15" t="s">
        <v>109</v>
      </c>
      <c r="W86" s="15" t="s">
        <v>109</v>
      </c>
      <c r="X86" s="70" t="s">
        <v>19</v>
      </c>
      <c r="Y86" s="70" t="s">
        <v>19</v>
      </c>
      <c r="Z86" s="70" t="s">
        <v>19</v>
      </c>
      <c r="AA86" s="18" t="s">
        <v>19</v>
      </c>
      <c r="AB86" s="18" t="s">
        <v>19</v>
      </c>
      <c r="AC86" s="18" t="s">
        <v>19</v>
      </c>
      <c r="AD86" s="18" t="s">
        <v>19</v>
      </c>
      <c r="AE86" s="18" t="s">
        <v>19</v>
      </c>
      <c r="AF86" s="18" t="s">
        <v>19</v>
      </c>
      <c r="AG86" s="18" t="s">
        <v>19</v>
      </c>
      <c r="AH86" s="18" t="s">
        <v>19</v>
      </c>
      <c r="AI86" s="18" t="s">
        <v>19</v>
      </c>
      <c r="AJ86" s="18" t="s">
        <v>19</v>
      </c>
      <c r="AK86" s="18" t="s">
        <v>19</v>
      </c>
      <c r="AL86" s="18" t="s">
        <v>19</v>
      </c>
      <c r="AM86" s="18" t="s">
        <v>19</v>
      </c>
      <c r="AN86" s="18" t="s">
        <v>19</v>
      </c>
      <c r="AO86" s="18" t="s">
        <v>19</v>
      </c>
      <c r="AP86" s="18" t="s">
        <v>19</v>
      </c>
      <c r="AQ86" s="18" t="s">
        <v>19</v>
      </c>
      <c r="AR86" s="18" t="s">
        <v>19</v>
      </c>
      <c r="AS86" s="18" t="s">
        <v>19</v>
      </c>
      <c r="AT86" s="18" t="s">
        <v>19</v>
      </c>
      <c r="AU86" s="18" t="s">
        <v>3153</v>
      </c>
      <c r="AV86" s="36" t="s">
        <v>19</v>
      </c>
    </row>
    <row r="87" spans="1:264" ht="70.5" customHeight="1" x14ac:dyDescent="0.3">
      <c r="A87" s="15" t="s">
        <v>25</v>
      </c>
      <c r="B87" s="15" t="s">
        <v>180</v>
      </c>
      <c r="C87" s="19" t="s">
        <v>187</v>
      </c>
      <c r="D87" s="15" t="s">
        <v>19</v>
      </c>
      <c r="E87" s="70" t="s">
        <v>19</v>
      </c>
      <c r="F87" s="70" t="s">
        <v>19</v>
      </c>
      <c r="G87" s="15" t="s">
        <v>19</v>
      </c>
      <c r="H87" s="15" t="s">
        <v>19</v>
      </c>
      <c r="I87" s="18" t="s">
        <v>19</v>
      </c>
      <c r="J87" s="18" t="s">
        <v>19</v>
      </c>
      <c r="K87" s="18" t="s">
        <v>19</v>
      </c>
      <c r="L87" s="18" t="s">
        <v>19</v>
      </c>
      <c r="M87" s="15" t="s">
        <v>1701</v>
      </c>
      <c r="N87" s="4" t="s">
        <v>1505</v>
      </c>
      <c r="O87" s="15"/>
      <c r="P87" s="4" t="s">
        <v>1702</v>
      </c>
      <c r="S87" s="15" t="e" cm="1">
        <f t="array" aca="1" ref="S87" ca="1">COMMONMARKETCOUNT(H87:AV87)</f>
        <v>#NAME?</v>
      </c>
      <c r="T87" s="6" t="e" cm="1">
        <f t="array" aca="1" ref="T87" ca="1">AUTOMATEDCOUNT(H87:AV87)</f>
        <v>#NAME?</v>
      </c>
      <c r="V87" s="15" t="s">
        <v>109</v>
      </c>
      <c r="W87" s="15" t="s">
        <v>109</v>
      </c>
      <c r="X87" s="70" t="s">
        <v>19</v>
      </c>
      <c r="Y87" s="70" t="s">
        <v>19</v>
      </c>
      <c r="Z87" s="70" t="s">
        <v>19</v>
      </c>
      <c r="AA87" s="18" t="s">
        <v>19</v>
      </c>
      <c r="AB87" s="18" t="s">
        <v>19</v>
      </c>
      <c r="AC87" s="18" t="s">
        <v>19</v>
      </c>
      <c r="AD87" s="18" t="s">
        <v>19</v>
      </c>
      <c r="AE87" s="18" t="s">
        <v>19</v>
      </c>
      <c r="AF87" s="18" t="s">
        <v>19</v>
      </c>
      <c r="AG87" s="18" t="s">
        <v>19</v>
      </c>
      <c r="AH87" s="18" t="s">
        <v>19</v>
      </c>
      <c r="AI87" s="18" t="s">
        <v>19</v>
      </c>
      <c r="AJ87" s="18" t="s">
        <v>19</v>
      </c>
      <c r="AK87" s="18" t="s">
        <v>19</v>
      </c>
      <c r="AL87" s="18" t="s">
        <v>19</v>
      </c>
      <c r="AM87" s="18" t="s">
        <v>19</v>
      </c>
      <c r="AN87" s="18" t="s">
        <v>19</v>
      </c>
      <c r="AO87" s="18" t="s">
        <v>19</v>
      </c>
      <c r="AP87" s="18" t="s">
        <v>19</v>
      </c>
      <c r="AQ87" s="18" t="s">
        <v>19</v>
      </c>
      <c r="AR87" s="18" t="s">
        <v>19</v>
      </c>
      <c r="AS87" s="18" t="s">
        <v>19</v>
      </c>
      <c r="AT87" s="18" t="s">
        <v>19</v>
      </c>
      <c r="AU87" s="18" t="s">
        <v>3153</v>
      </c>
      <c r="AV87" s="36" t="s">
        <v>19</v>
      </c>
    </row>
    <row r="88" spans="1:264" s="5" customFormat="1" ht="70.5" customHeight="1" x14ac:dyDescent="0.3">
      <c r="A88" s="15" t="s">
        <v>25</v>
      </c>
      <c r="B88" s="15" t="s">
        <v>24</v>
      </c>
      <c r="C88" s="15" t="s">
        <v>188</v>
      </c>
      <c r="D88" s="15" t="s">
        <v>19</v>
      </c>
      <c r="E88" s="15" t="s">
        <v>19</v>
      </c>
      <c r="F88" s="15" t="s">
        <v>19</v>
      </c>
      <c r="G88" s="15" t="s">
        <v>19</v>
      </c>
      <c r="H88" s="15" t="s">
        <v>19</v>
      </c>
      <c r="I88" s="72" t="s">
        <v>19</v>
      </c>
      <c r="J88" s="72" t="s">
        <v>19</v>
      </c>
      <c r="K88" s="70" t="s">
        <v>19</v>
      </c>
      <c r="L88" s="70" t="s">
        <v>19</v>
      </c>
      <c r="M88" s="15" t="s">
        <v>1703</v>
      </c>
      <c r="N88" s="4" t="s">
        <v>1506</v>
      </c>
      <c r="O88" s="15"/>
      <c r="P88" s="4" t="s">
        <v>1507</v>
      </c>
      <c r="S88" s="15" t="e" cm="1">
        <f t="array" aca="1" ref="S88" ca="1">COMMONMARKETCOUNT(H88:AV88)</f>
        <v>#NAME?</v>
      </c>
      <c r="T88" s="6" t="e" cm="1">
        <f t="array" aca="1" ref="T88" ca="1">AUTOMATEDCOUNT(H88:AV88)</f>
        <v>#NAME?</v>
      </c>
      <c r="V88" s="15" t="s">
        <v>109</v>
      </c>
      <c r="W88" s="15" t="s">
        <v>19</v>
      </c>
      <c r="X88" s="15" t="s">
        <v>19</v>
      </c>
      <c r="Y88" s="15" t="s">
        <v>19</v>
      </c>
      <c r="Z88" s="15" t="s">
        <v>19</v>
      </c>
      <c r="AA88" s="72" t="s">
        <v>19</v>
      </c>
      <c r="AB88" s="72" t="s">
        <v>19</v>
      </c>
      <c r="AC88" s="72" t="s">
        <v>19</v>
      </c>
      <c r="AD88" s="72" t="s">
        <v>19</v>
      </c>
      <c r="AE88" s="18" t="s">
        <v>19</v>
      </c>
      <c r="AF88" s="15" t="s">
        <v>19</v>
      </c>
      <c r="AG88" s="15" t="s">
        <v>19</v>
      </c>
      <c r="AH88" s="15" t="s">
        <v>19</v>
      </c>
      <c r="AI88" s="15" t="s">
        <v>19</v>
      </c>
      <c r="AJ88" s="15" t="s">
        <v>19</v>
      </c>
      <c r="AK88" s="15" t="s">
        <v>19</v>
      </c>
      <c r="AL88" s="15" t="s">
        <v>19</v>
      </c>
      <c r="AM88" s="18" t="s">
        <v>19</v>
      </c>
      <c r="AN88" s="18" t="s">
        <v>19</v>
      </c>
      <c r="AO88" s="18" t="s">
        <v>19</v>
      </c>
      <c r="AP88" s="15" t="s">
        <v>19</v>
      </c>
      <c r="AQ88" s="15" t="s">
        <v>19</v>
      </c>
      <c r="AR88" s="15" t="s">
        <v>19</v>
      </c>
      <c r="AS88" s="15" t="s">
        <v>19</v>
      </c>
      <c r="AT88" s="15" t="s">
        <v>19</v>
      </c>
      <c r="AU88" s="15" t="s">
        <v>3153</v>
      </c>
      <c r="AV88" s="36" t="s">
        <v>19</v>
      </c>
      <c r="AW88" s="16"/>
      <c r="AX88" s="16"/>
      <c r="AY88" s="16"/>
      <c r="AZ88" s="16"/>
      <c r="BA88" s="16"/>
      <c r="BB88" s="16"/>
      <c r="BC88" s="16"/>
      <c r="BD88" s="16"/>
      <c r="BE88" s="16"/>
      <c r="BF88" s="16"/>
      <c r="BG88" s="16"/>
      <c r="BH88" s="16"/>
      <c r="BI88" s="16"/>
      <c r="BJ88" s="16"/>
      <c r="BK88" s="16"/>
      <c r="BL88" s="16"/>
      <c r="BM88" s="16"/>
      <c r="BN88" s="16"/>
      <c r="BO88" s="16"/>
      <c r="BP88" s="16"/>
      <c r="BQ88" s="16"/>
      <c r="BR88" s="16"/>
      <c r="BS88" s="16"/>
      <c r="BT88" s="16"/>
      <c r="BU88" s="16"/>
      <c r="BV88" s="16"/>
      <c r="BW88" s="16"/>
      <c r="BX88" s="16"/>
      <c r="BY88" s="16"/>
      <c r="BZ88" s="16"/>
      <c r="CA88" s="16"/>
      <c r="CB88" s="16"/>
      <c r="CC88" s="16"/>
      <c r="CD88" s="16"/>
      <c r="CE88" s="16"/>
      <c r="CF88" s="16"/>
      <c r="CG88" s="16"/>
      <c r="CH88" s="16"/>
      <c r="CI88" s="16"/>
      <c r="CJ88" s="16"/>
      <c r="CK88" s="16"/>
      <c r="CL88" s="16"/>
      <c r="CM88" s="16"/>
      <c r="CN88" s="16"/>
      <c r="CO88" s="16"/>
      <c r="CP88" s="16"/>
      <c r="CQ88" s="16"/>
      <c r="CR88" s="16"/>
      <c r="CS88" s="16"/>
      <c r="CT88" s="16"/>
      <c r="CU88" s="16"/>
      <c r="CV88" s="16"/>
      <c r="CW88" s="16"/>
      <c r="CX88" s="16"/>
      <c r="CY88" s="16"/>
      <c r="CZ88" s="16"/>
      <c r="DA88" s="16"/>
      <c r="DB88" s="16"/>
      <c r="DC88" s="16"/>
      <c r="DD88" s="16"/>
      <c r="DE88" s="16"/>
      <c r="DF88" s="16"/>
      <c r="DG88" s="16"/>
      <c r="DH88" s="16"/>
      <c r="DI88" s="16"/>
      <c r="DJ88" s="16"/>
      <c r="DK88" s="16"/>
      <c r="DL88" s="16"/>
      <c r="DM88" s="16"/>
      <c r="DN88" s="16"/>
      <c r="DO88" s="16"/>
      <c r="DP88" s="16"/>
      <c r="DQ88" s="16"/>
      <c r="DR88" s="16"/>
      <c r="DS88" s="16"/>
      <c r="DT88" s="16"/>
      <c r="DU88" s="16"/>
      <c r="DV88" s="16"/>
      <c r="DW88" s="16"/>
      <c r="DX88" s="16"/>
      <c r="DY88" s="16"/>
      <c r="DZ88" s="16"/>
      <c r="EA88" s="16"/>
      <c r="EB88" s="16"/>
      <c r="EC88" s="16"/>
      <c r="ED88" s="16"/>
      <c r="EE88" s="16"/>
      <c r="EF88" s="16"/>
      <c r="EG88" s="16"/>
      <c r="EH88" s="16"/>
      <c r="EI88" s="16"/>
      <c r="EJ88" s="16"/>
      <c r="EK88" s="16"/>
      <c r="EL88" s="16"/>
      <c r="EM88" s="16"/>
      <c r="EN88" s="16"/>
      <c r="EO88" s="16"/>
      <c r="EP88" s="16"/>
      <c r="EQ88" s="16"/>
      <c r="ER88" s="16"/>
      <c r="ES88" s="16"/>
      <c r="ET88" s="16"/>
      <c r="EU88" s="16"/>
      <c r="EV88" s="16"/>
      <c r="EW88" s="16"/>
      <c r="EX88" s="16"/>
      <c r="EY88" s="16"/>
      <c r="EZ88" s="16"/>
      <c r="FA88" s="16"/>
      <c r="FB88" s="16"/>
      <c r="FC88" s="16"/>
      <c r="FD88" s="16"/>
      <c r="FE88" s="16"/>
      <c r="FF88" s="16"/>
      <c r="FG88" s="16"/>
      <c r="FH88" s="16"/>
      <c r="FI88" s="16"/>
      <c r="FJ88" s="16"/>
      <c r="FK88" s="16"/>
      <c r="FL88" s="16"/>
      <c r="FM88" s="16"/>
      <c r="FN88" s="16"/>
      <c r="FO88" s="16"/>
      <c r="FP88" s="16"/>
      <c r="FQ88" s="16"/>
      <c r="FR88" s="16"/>
      <c r="FS88" s="16"/>
      <c r="FT88" s="16"/>
      <c r="FU88" s="16"/>
      <c r="FV88" s="16"/>
      <c r="FW88" s="16"/>
      <c r="FX88" s="16"/>
      <c r="FY88" s="16"/>
      <c r="FZ88" s="16"/>
      <c r="GA88" s="16"/>
      <c r="GB88" s="16"/>
      <c r="GC88" s="16"/>
      <c r="GD88" s="16"/>
      <c r="GE88" s="16"/>
      <c r="GF88" s="16"/>
      <c r="GG88" s="16"/>
      <c r="GH88" s="16"/>
      <c r="GI88" s="16"/>
      <c r="GJ88" s="16"/>
      <c r="GK88" s="16"/>
      <c r="GL88" s="16"/>
      <c r="GM88" s="16"/>
      <c r="GN88" s="16"/>
      <c r="GO88" s="16"/>
      <c r="GP88" s="16"/>
      <c r="GQ88" s="16"/>
      <c r="GR88" s="16"/>
      <c r="GS88" s="16"/>
      <c r="GT88" s="16"/>
      <c r="GU88" s="16"/>
      <c r="GV88" s="16"/>
      <c r="GW88" s="16"/>
      <c r="GX88" s="16"/>
      <c r="GY88" s="16"/>
      <c r="GZ88" s="16"/>
      <c r="HA88" s="16"/>
      <c r="HB88" s="16"/>
      <c r="HC88" s="16"/>
      <c r="HD88" s="16"/>
      <c r="HE88" s="16"/>
      <c r="HF88" s="16"/>
      <c r="HG88" s="16"/>
      <c r="HH88" s="16"/>
      <c r="HI88" s="16"/>
      <c r="HJ88" s="16"/>
      <c r="HK88" s="16"/>
      <c r="HL88" s="16"/>
      <c r="HM88" s="16"/>
      <c r="HN88" s="16"/>
      <c r="HO88" s="16"/>
      <c r="HP88" s="16"/>
      <c r="HQ88" s="16"/>
      <c r="HR88" s="16"/>
      <c r="HS88" s="16"/>
      <c r="HT88" s="16"/>
      <c r="HU88" s="16"/>
      <c r="HV88" s="16"/>
      <c r="HW88" s="16"/>
      <c r="HX88" s="16"/>
      <c r="HY88" s="16"/>
      <c r="HZ88" s="16"/>
      <c r="IA88" s="16"/>
      <c r="IB88" s="16"/>
      <c r="IC88" s="16"/>
      <c r="ID88" s="16"/>
      <c r="IE88" s="16"/>
      <c r="IF88" s="16"/>
      <c r="IG88" s="16"/>
      <c r="IH88" s="16"/>
      <c r="II88" s="16"/>
      <c r="IJ88" s="16"/>
      <c r="IK88" s="16"/>
      <c r="IL88" s="16"/>
      <c r="IM88" s="16"/>
      <c r="IN88" s="16"/>
      <c r="IO88" s="16"/>
      <c r="IP88" s="16"/>
      <c r="IQ88" s="16"/>
      <c r="IR88" s="16"/>
      <c r="IS88" s="16"/>
      <c r="IT88" s="16"/>
      <c r="IU88" s="16"/>
      <c r="IV88" s="16"/>
      <c r="IW88" s="16"/>
      <c r="IX88" s="16"/>
      <c r="IY88" s="16"/>
      <c r="IZ88" s="16"/>
      <c r="JA88" s="16"/>
      <c r="JB88" s="16"/>
      <c r="JC88" s="16"/>
      <c r="JD88" s="16"/>
    </row>
    <row r="89" spans="1:264" ht="70.5" hidden="1" customHeight="1" x14ac:dyDescent="0.3">
      <c r="A89" s="15" t="s">
        <v>25</v>
      </c>
      <c r="B89" s="15" t="s">
        <v>1278</v>
      </c>
      <c r="C89" s="15" t="s">
        <v>189</v>
      </c>
      <c r="D89" s="15" t="s">
        <v>32</v>
      </c>
      <c r="E89" s="15" t="s">
        <v>19</v>
      </c>
      <c r="F89" s="15" t="s">
        <v>19</v>
      </c>
      <c r="G89" s="15" t="s">
        <v>109</v>
      </c>
      <c r="H89" s="15" t="s">
        <v>109</v>
      </c>
      <c r="I89" s="18" t="s">
        <v>109</v>
      </c>
      <c r="J89" s="18" t="s">
        <v>109</v>
      </c>
      <c r="K89" s="18" t="s">
        <v>109</v>
      </c>
      <c r="L89" s="18" t="s">
        <v>109</v>
      </c>
      <c r="M89" s="15" t="s">
        <v>1860</v>
      </c>
      <c r="N89" s="4" t="s">
        <v>1859</v>
      </c>
      <c r="O89" s="15"/>
      <c r="P89" s="4" t="s">
        <v>1704</v>
      </c>
      <c r="S89" s="15" t="e" cm="1">
        <f t="array" aca="1" ref="S89" ca="1">COMMONMARKETCOUNT(H89:AV89)</f>
        <v>#NAME?</v>
      </c>
      <c r="T89" s="6" t="e" cm="1">
        <f t="array" aca="1" ref="T89" ca="1">AUTOMATEDCOUNT(H89:AV89)</f>
        <v>#NAME?</v>
      </c>
      <c r="V89" s="15" t="s">
        <v>109</v>
      </c>
      <c r="W89" s="15" t="s">
        <v>109</v>
      </c>
      <c r="X89" s="15" t="s">
        <v>109</v>
      </c>
      <c r="Y89" s="15" t="s">
        <v>109</v>
      </c>
      <c r="Z89" s="15" t="s">
        <v>109</v>
      </c>
      <c r="AA89" s="18" t="s">
        <v>109</v>
      </c>
      <c r="AB89" s="18" t="s">
        <v>109</v>
      </c>
      <c r="AC89" s="18" t="s">
        <v>109</v>
      </c>
      <c r="AD89" s="18" t="s">
        <v>19</v>
      </c>
      <c r="AE89" s="18" t="s">
        <v>19</v>
      </c>
      <c r="AF89" s="18" t="s">
        <v>109</v>
      </c>
      <c r="AG89" s="18" t="s">
        <v>109</v>
      </c>
      <c r="AH89" s="18" t="s">
        <v>109</v>
      </c>
      <c r="AI89" s="18" t="s">
        <v>109</v>
      </c>
      <c r="AJ89" s="18" t="s">
        <v>109</v>
      </c>
      <c r="AK89" s="18" t="s">
        <v>109</v>
      </c>
      <c r="AL89" s="18" t="s">
        <v>109</v>
      </c>
      <c r="AM89" s="18" t="s">
        <v>109</v>
      </c>
      <c r="AN89" s="18" t="s">
        <v>109</v>
      </c>
      <c r="AO89" s="18" t="s">
        <v>109</v>
      </c>
      <c r="AP89" s="18" t="s">
        <v>109</v>
      </c>
      <c r="AQ89" s="18" t="s">
        <v>109</v>
      </c>
      <c r="AR89" s="18" t="s">
        <v>109</v>
      </c>
      <c r="AS89" s="18" t="s">
        <v>109</v>
      </c>
      <c r="AT89" s="18" t="s">
        <v>109</v>
      </c>
      <c r="AU89" s="18" t="s">
        <v>109</v>
      </c>
      <c r="AV89" s="36" t="s">
        <v>109</v>
      </c>
    </row>
    <row r="90" spans="1:264" ht="70.5" hidden="1" customHeight="1" x14ac:dyDescent="0.3">
      <c r="A90" s="15" t="s">
        <v>25</v>
      </c>
      <c r="B90" s="15" t="s">
        <v>1823</v>
      </c>
      <c r="C90" s="15" t="s">
        <v>191</v>
      </c>
      <c r="D90" s="15" t="s">
        <v>19</v>
      </c>
      <c r="E90" s="70" t="s">
        <v>19</v>
      </c>
      <c r="F90" s="70" t="s">
        <v>19</v>
      </c>
      <c r="G90" s="15" t="s">
        <v>109</v>
      </c>
      <c r="H90" s="15" t="s">
        <v>109</v>
      </c>
      <c r="I90" s="18" t="s">
        <v>109</v>
      </c>
      <c r="J90" s="18" t="s">
        <v>109</v>
      </c>
      <c r="K90" s="18" t="s">
        <v>109</v>
      </c>
      <c r="L90" s="18" t="s">
        <v>109</v>
      </c>
      <c r="M90" s="15" t="s">
        <v>1868</v>
      </c>
      <c r="N90" s="4" t="s">
        <v>192</v>
      </c>
      <c r="O90" s="15"/>
      <c r="P90" s="4" t="s">
        <v>1705</v>
      </c>
      <c r="S90" s="15" t="e" cm="1">
        <f t="array" aca="1" ref="S90" ca="1">COMMONMARKETCOUNT(H90:AV90)</f>
        <v>#NAME?</v>
      </c>
      <c r="T90" s="6" t="e" cm="1">
        <f t="array" aca="1" ref="T90" ca="1">AUTOMATEDCOUNT(H90:AV90)</f>
        <v>#NAME?</v>
      </c>
      <c r="V90" s="15" t="s">
        <v>109</v>
      </c>
      <c r="W90" s="15" t="s">
        <v>109</v>
      </c>
      <c r="X90" s="15" t="s">
        <v>109</v>
      </c>
      <c r="Y90" s="15" t="s">
        <v>109</v>
      </c>
      <c r="Z90" s="15" t="s">
        <v>109</v>
      </c>
      <c r="AA90" s="18" t="s">
        <v>109</v>
      </c>
      <c r="AB90" s="18" t="s">
        <v>109</v>
      </c>
      <c r="AC90" s="18" t="s">
        <v>109</v>
      </c>
      <c r="AD90" s="18" t="s">
        <v>109</v>
      </c>
      <c r="AE90" s="18" t="s">
        <v>109</v>
      </c>
      <c r="AF90" s="18" t="s">
        <v>109</v>
      </c>
      <c r="AG90" s="18" t="s">
        <v>109</v>
      </c>
      <c r="AH90" s="18" t="s">
        <v>109</v>
      </c>
      <c r="AI90" s="18" t="s">
        <v>109</v>
      </c>
      <c r="AJ90" s="18" t="s">
        <v>109</v>
      </c>
      <c r="AK90" s="18" t="s">
        <v>109</v>
      </c>
      <c r="AL90" s="18" t="s">
        <v>109</v>
      </c>
      <c r="AM90" s="18" t="s">
        <v>109</v>
      </c>
      <c r="AN90" s="18" t="s">
        <v>109</v>
      </c>
      <c r="AO90" s="18" t="s">
        <v>109</v>
      </c>
      <c r="AP90" s="18" t="s">
        <v>109</v>
      </c>
      <c r="AQ90" s="18" t="s">
        <v>109</v>
      </c>
      <c r="AR90" s="18" t="s">
        <v>109</v>
      </c>
      <c r="AS90" s="18" t="s">
        <v>109</v>
      </c>
      <c r="AT90" s="18" t="s">
        <v>109</v>
      </c>
      <c r="AU90" s="18" t="s">
        <v>109</v>
      </c>
      <c r="AV90" s="36" t="s">
        <v>109</v>
      </c>
    </row>
    <row r="91" spans="1:264" ht="70.5" hidden="1" customHeight="1" x14ac:dyDescent="0.3">
      <c r="A91" s="15" t="s">
        <v>25</v>
      </c>
      <c r="B91" s="15" t="s">
        <v>1823</v>
      </c>
      <c r="C91" s="15" t="s">
        <v>193</v>
      </c>
      <c r="D91" s="15" t="s">
        <v>19</v>
      </c>
      <c r="E91" s="70" t="s">
        <v>19</v>
      </c>
      <c r="F91" s="70" t="s">
        <v>19</v>
      </c>
      <c r="G91" s="15" t="s">
        <v>109</v>
      </c>
      <c r="H91" s="15" t="s">
        <v>109</v>
      </c>
      <c r="I91" s="18" t="s">
        <v>109</v>
      </c>
      <c r="J91" s="18" t="s">
        <v>109</v>
      </c>
      <c r="K91" s="18" t="s">
        <v>109</v>
      </c>
      <c r="L91" s="18" t="s">
        <v>109</v>
      </c>
      <c r="M91" s="15" t="s">
        <v>1869</v>
      </c>
      <c r="N91" s="4" t="s">
        <v>194</v>
      </c>
      <c r="O91" s="15"/>
      <c r="P91" s="4" t="s">
        <v>2368</v>
      </c>
      <c r="S91" s="15" t="e" cm="1">
        <f t="array" aca="1" ref="S91" ca="1">COMMONMARKETCOUNT(H91:AV91)</f>
        <v>#NAME?</v>
      </c>
      <c r="T91" s="6" t="e" cm="1">
        <f t="array" aca="1" ref="T91" ca="1">AUTOMATEDCOUNT(H91:AV91)</f>
        <v>#NAME?</v>
      </c>
      <c r="V91" s="15" t="s">
        <v>109</v>
      </c>
      <c r="W91" s="15" t="s">
        <v>109</v>
      </c>
      <c r="X91" s="15" t="s">
        <v>109</v>
      </c>
      <c r="Y91" s="15" t="s">
        <v>109</v>
      </c>
      <c r="Z91" s="15" t="s">
        <v>109</v>
      </c>
      <c r="AA91" s="18" t="s">
        <v>109</v>
      </c>
      <c r="AB91" s="18" t="s">
        <v>109</v>
      </c>
      <c r="AC91" s="18" t="s">
        <v>109</v>
      </c>
      <c r="AD91" s="18" t="s">
        <v>109</v>
      </c>
      <c r="AE91" s="18" t="s">
        <v>109</v>
      </c>
      <c r="AF91" s="18" t="s">
        <v>109</v>
      </c>
      <c r="AG91" s="18" t="s">
        <v>109</v>
      </c>
      <c r="AH91" s="18" t="s">
        <v>109</v>
      </c>
      <c r="AI91" s="18" t="s">
        <v>109</v>
      </c>
      <c r="AJ91" s="18" t="s">
        <v>109</v>
      </c>
      <c r="AK91" s="18" t="s">
        <v>109</v>
      </c>
      <c r="AL91" s="18" t="s">
        <v>109</v>
      </c>
      <c r="AM91" s="18" t="s">
        <v>109</v>
      </c>
      <c r="AN91" s="18" t="s">
        <v>109</v>
      </c>
      <c r="AO91" s="18" t="s">
        <v>109</v>
      </c>
      <c r="AP91" s="18" t="s">
        <v>109</v>
      </c>
      <c r="AQ91" s="18" t="s">
        <v>109</v>
      </c>
      <c r="AR91" s="18" t="s">
        <v>109</v>
      </c>
      <c r="AS91" s="18" t="s">
        <v>109</v>
      </c>
      <c r="AT91" s="18" t="s">
        <v>109</v>
      </c>
      <c r="AU91" s="18" t="s">
        <v>109</v>
      </c>
      <c r="AV91" s="36" t="s">
        <v>109</v>
      </c>
    </row>
    <row r="92" spans="1:264" ht="70.5" hidden="1" customHeight="1" x14ac:dyDescent="0.3">
      <c r="A92" s="15" t="s">
        <v>25</v>
      </c>
      <c r="B92" s="15" t="s">
        <v>37</v>
      </c>
      <c r="C92" s="15" t="s">
        <v>2312</v>
      </c>
      <c r="D92" s="15" t="s">
        <v>19</v>
      </c>
      <c r="E92" s="70" t="s">
        <v>19</v>
      </c>
      <c r="F92" s="70" t="s">
        <v>19</v>
      </c>
      <c r="G92" s="70" t="s">
        <v>19</v>
      </c>
      <c r="H92" s="20" t="s">
        <v>3198</v>
      </c>
      <c r="I92" s="72" t="s">
        <v>19</v>
      </c>
      <c r="J92" s="72" t="s">
        <v>19</v>
      </c>
      <c r="K92" s="15" t="s">
        <v>19</v>
      </c>
      <c r="L92" s="15" t="s">
        <v>19</v>
      </c>
      <c r="M92" s="15" t="s">
        <v>195</v>
      </c>
      <c r="N92" s="4" t="s">
        <v>1508</v>
      </c>
      <c r="O92" s="15"/>
      <c r="P92" s="4" t="s">
        <v>1509</v>
      </c>
      <c r="S92" s="15" t="e" cm="1">
        <f t="array" aca="1" ref="S92" ca="1">COMMONMARKETCOUNT(H92:AV92)</f>
        <v>#NAME?</v>
      </c>
      <c r="T92" s="6" t="e" cm="1">
        <f t="array" aca="1" ref="T92" ca="1">AUTOMATEDCOUNT(H92:AV92)</f>
        <v>#NAME?</v>
      </c>
      <c r="V92" s="70" t="s">
        <v>19</v>
      </c>
      <c r="W92" s="15" t="s">
        <v>19</v>
      </c>
      <c r="X92" s="70" t="s">
        <v>19</v>
      </c>
      <c r="Y92" s="70" t="s">
        <v>19</v>
      </c>
      <c r="Z92" s="70" t="s">
        <v>19</v>
      </c>
      <c r="AA92" s="72" t="s">
        <v>19</v>
      </c>
      <c r="AB92" s="72" t="s">
        <v>19</v>
      </c>
      <c r="AC92" s="72" t="s">
        <v>19</v>
      </c>
      <c r="AD92" s="18" t="s">
        <v>109</v>
      </c>
      <c r="AE92" s="18" t="s">
        <v>109</v>
      </c>
      <c r="AF92" s="15" t="s">
        <v>19</v>
      </c>
      <c r="AG92" s="15" t="s">
        <v>19</v>
      </c>
      <c r="AH92" s="15" t="s">
        <v>19</v>
      </c>
      <c r="AI92" s="15" t="s">
        <v>19</v>
      </c>
      <c r="AJ92" s="15" t="s">
        <v>19</v>
      </c>
      <c r="AK92" s="15" t="s">
        <v>19</v>
      </c>
      <c r="AL92" s="15" t="s">
        <v>19</v>
      </c>
      <c r="AM92" s="18" t="s">
        <v>19</v>
      </c>
      <c r="AN92" s="18" t="s">
        <v>19</v>
      </c>
      <c r="AO92" s="18" t="s">
        <v>19</v>
      </c>
      <c r="AP92" s="15" t="s">
        <v>19</v>
      </c>
      <c r="AQ92" s="15" t="s">
        <v>19</v>
      </c>
      <c r="AR92" s="15" t="s">
        <v>19</v>
      </c>
      <c r="AS92" s="15" t="s">
        <v>19</v>
      </c>
      <c r="AT92" s="15" t="s">
        <v>19</v>
      </c>
      <c r="AU92" s="15" t="s">
        <v>3153</v>
      </c>
      <c r="AV92" s="36" t="s">
        <v>19</v>
      </c>
    </row>
    <row r="93" spans="1:264" ht="70.5" hidden="1" customHeight="1" x14ac:dyDescent="0.3">
      <c r="A93" s="15" t="s">
        <v>25</v>
      </c>
      <c r="B93" s="15" t="s">
        <v>180</v>
      </c>
      <c r="C93" s="15" t="s">
        <v>196</v>
      </c>
      <c r="D93" s="15" t="s">
        <v>109</v>
      </c>
      <c r="E93" s="15" t="s">
        <v>19</v>
      </c>
      <c r="F93" s="15" t="s">
        <v>19</v>
      </c>
      <c r="G93" s="15" t="s">
        <v>19</v>
      </c>
      <c r="H93" s="15" t="s">
        <v>19</v>
      </c>
      <c r="I93" s="15" t="s">
        <v>19</v>
      </c>
      <c r="J93" s="15" t="s">
        <v>19</v>
      </c>
      <c r="K93" s="15" t="s">
        <v>19</v>
      </c>
      <c r="L93" s="15" t="s">
        <v>19</v>
      </c>
      <c r="M93" s="15" t="s">
        <v>197</v>
      </c>
      <c r="N93" s="4" t="s">
        <v>1510</v>
      </c>
      <c r="O93" s="15"/>
      <c r="P93" s="4" t="s">
        <v>1706</v>
      </c>
      <c r="S93" s="15" t="e" cm="1">
        <f t="array" aca="1" ref="S93" ca="1">COMMONMARKETCOUNT(H93:AV93)</f>
        <v>#NAME?</v>
      </c>
      <c r="T93" s="6" t="e" cm="1">
        <f t="array" aca="1" ref="T93" ca="1">AUTOMATEDCOUNT(H93:AV93)</f>
        <v>#NAME?</v>
      </c>
      <c r="V93" s="15" t="s">
        <v>109</v>
      </c>
      <c r="W93" s="15" t="s">
        <v>109</v>
      </c>
      <c r="X93" s="15" t="s">
        <v>19</v>
      </c>
      <c r="Y93" s="15" t="s">
        <v>19</v>
      </c>
      <c r="Z93" s="15" t="s">
        <v>19</v>
      </c>
      <c r="AA93" s="15" t="s">
        <v>19</v>
      </c>
      <c r="AB93" s="15" t="s">
        <v>19</v>
      </c>
      <c r="AC93" s="15" t="s">
        <v>19</v>
      </c>
      <c r="AD93" s="18" t="s">
        <v>19</v>
      </c>
      <c r="AE93" s="18" t="s">
        <v>19</v>
      </c>
      <c r="AF93" s="15" t="s">
        <v>19</v>
      </c>
      <c r="AG93" s="15" t="s">
        <v>19</v>
      </c>
      <c r="AH93" s="15" t="s">
        <v>19</v>
      </c>
      <c r="AI93" s="15" t="s">
        <v>19</v>
      </c>
      <c r="AJ93" s="15" t="s">
        <v>19</v>
      </c>
      <c r="AK93" s="15" t="s">
        <v>19</v>
      </c>
      <c r="AL93" s="15" t="s">
        <v>19</v>
      </c>
      <c r="AM93" s="18" t="s">
        <v>19</v>
      </c>
      <c r="AN93" s="18" t="s">
        <v>19</v>
      </c>
      <c r="AO93" s="18" t="s">
        <v>19</v>
      </c>
      <c r="AP93" s="15" t="s">
        <v>19</v>
      </c>
      <c r="AQ93" s="15" t="s">
        <v>19</v>
      </c>
      <c r="AR93" s="15" t="s">
        <v>19</v>
      </c>
      <c r="AS93" s="15" t="s">
        <v>19</v>
      </c>
      <c r="AT93" s="15" t="s">
        <v>19</v>
      </c>
      <c r="AU93" s="15" t="s">
        <v>3153</v>
      </c>
      <c r="AV93" s="36" t="s">
        <v>19</v>
      </c>
    </row>
    <row r="94" spans="1:264" ht="70.5" hidden="1" customHeight="1" x14ac:dyDescent="0.3">
      <c r="A94" s="15" t="s">
        <v>18</v>
      </c>
      <c r="B94" s="15" t="s">
        <v>201</v>
      </c>
      <c r="C94" s="15" t="s">
        <v>198</v>
      </c>
      <c r="D94" s="15" t="s">
        <v>32</v>
      </c>
      <c r="E94" s="15" t="s">
        <v>19</v>
      </c>
      <c r="F94" s="15" t="s">
        <v>19</v>
      </c>
      <c r="G94" s="15" t="s">
        <v>109</v>
      </c>
      <c r="H94" s="15" t="s">
        <v>109</v>
      </c>
      <c r="I94" s="18" t="s">
        <v>109</v>
      </c>
      <c r="J94" s="18" t="s">
        <v>109</v>
      </c>
      <c r="K94" s="18" t="s">
        <v>109</v>
      </c>
      <c r="L94" s="18" t="s">
        <v>109</v>
      </c>
      <c r="M94" s="15" t="s">
        <v>199</v>
      </c>
      <c r="N94" s="4" t="s">
        <v>200</v>
      </c>
      <c r="O94" s="15"/>
      <c r="P94" s="4" t="s">
        <v>2154</v>
      </c>
      <c r="S94" s="15" t="e" cm="1">
        <f t="array" aca="1" ref="S94" ca="1">COMMONMARKETCOUNT(H94:AV94)</f>
        <v>#NAME?</v>
      </c>
      <c r="T94" s="6" t="e" cm="1">
        <f t="array" aca="1" ref="T94" ca="1">AUTOMATEDCOUNT(H94:AV94)</f>
        <v>#NAME?</v>
      </c>
      <c r="V94" s="15" t="s">
        <v>109</v>
      </c>
      <c r="W94" s="15" t="s">
        <v>109</v>
      </c>
      <c r="X94" s="15" t="s">
        <v>109</v>
      </c>
      <c r="Y94" s="15" t="s">
        <v>109</v>
      </c>
      <c r="Z94" s="15" t="s">
        <v>19</v>
      </c>
      <c r="AA94" s="18" t="s">
        <v>109</v>
      </c>
      <c r="AB94" s="18" t="s">
        <v>109</v>
      </c>
      <c r="AC94" s="18" t="s">
        <v>109</v>
      </c>
      <c r="AD94" s="15" t="s">
        <v>19</v>
      </c>
      <c r="AE94" s="15" t="s">
        <v>19</v>
      </c>
      <c r="AF94" s="18" t="s">
        <v>109</v>
      </c>
      <c r="AG94" s="18" t="s">
        <v>109</v>
      </c>
      <c r="AH94" s="18" t="s">
        <v>109</v>
      </c>
      <c r="AI94" s="18" t="s">
        <v>109</v>
      </c>
      <c r="AJ94" s="18" t="s">
        <v>109</v>
      </c>
      <c r="AK94" s="18" t="s">
        <v>109</v>
      </c>
      <c r="AL94" s="18" t="s">
        <v>109</v>
      </c>
      <c r="AM94" s="18" t="s">
        <v>109</v>
      </c>
      <c r="AN94" s="18" t="s">
        <v>109</v>
      </c>
      <c r="AO94" s="18" t="s">
        <v>109</v>
      </c>
      <c r="AP94" s="18" t="s">
        <v>109</v>
      </c>
      <c r="AQ94" s="18" t="s">
        <v>109</v>
      </c>
      <c r="AR94" s="18" t="s">
        <v>109</v>
      </c>
      <c r="AS94" s="18" t="s">
        <v>109</v>
      </c>
      <c r="AT94" s="18" t="s">
        <v>109</v>
      </c>
      <c r="AU94" s="18" t="s">
        <v>109</v>
      </c>
      <c r="AV94" s="36" t="s">
        <v>109</v>
      </c>
    </row>
    <row r="95" spans="1:264" ht="70.5" hidden="1" customHeight="1" x14ac:dyDescent="0.3">
      <c r="A95" s="15" t="s">
        <v>56</v>
      </c>
      <c r="B95" s="15" t="s">
        <v>201</v>
      </c>
      <c r="C95" s="15" t="s">
        <v>202</v>
      </c>
      <c r="D95" s="15" t="s">
        <v>32</v>
      </c>
      <c r="E95" s="15" t="s">
        <v>19</v>
      </c>
      <c r="F95" s="15" t="s">
        <v>19</v>
      </c>
      <c r="G95" s="15" t="s">
        <v>109</v>
      </c>
      <c r="H95" s="15" t="s">
        <v>109</v>
      </c>
      <c r="I95" s="18" t="s">
        <v>109</v>
      </c>
      <c r="J95" s="18" t="s">
        <v>109</v>
      </c>
      <c r="K95" s="18" t="s">
        <v>109</v>
      </c>
      <c r="L95" s="18" t="s">
        <v>109</v>
      </c>
      <c r="M95" s="15" t="s">
        <v>203</v>
      </c>
      <c r="N95" s="4" t="s">
        <v>204</v>
      </c>
      <c r="O95" s="15"/>
      <c r="P95" s="4" t="s">
        <v>2155</v>
      </c>
      <c r="S95" s="15" t="e" cm="1">
        <f t="array" aca="1" ref="S95" ca="1">COMMONMARKETCOUNT(H95:AV95)</f>
        <v>#NAME?</v>
      </c>
      <c r="T95" s="6" t="e" cm="1">
        <f t="array" aca="1" ref="T95" ca="1">AUTOMATEDCOUNT(H95:AV95)</f>
        <v>#NAME?</v>
      </c>
      <c r="V95" s="15" t="s">
        <v>109</v>
      </c>
      <c r="W95" s="15" t="s">
        <v>109</v>
      </c>
      <c r="X95" s="15" t="s">
        <v>109</v>
      </c>
      <c r="Y95" s="15" t="s">
        <v>109</v>
      </c>
      <c r="Z95" s="15" t="s">
        <v>19</v>
      </c>
      <c r="AA95" s="18" t="s">
        <v>109</v>
      </c>
      <c r="AB95" s="18" t="s">
        <v>109</v>
      </c>
      <c r="AC95" s="18" t="s">
        <v>109</v>
      </c>
      <c r="AD95" s="18" t="s">
        <v>109</v>
      </c>
      <c r="AE95" s="18" t="s">
        <v>109</v>
      </c>
      <c r="AF95" s="18" t="s">
        <v>109</v>
      </c>
      <c r="AG95" s="18" t="s">
        <v>109</v>
      </c>
      <c r="AH95" s="18" t="s">
        <v>109</v>
      </c>
      <c r="AI95" s="18" t="s">
        <v>109</v>
      </c>
      <c r="AJ95" s="18" t="s">
        <v>109</v>
      </c>
      <c r="AK95" s="18" t="s">
        <v>109</v>
      </c>
      <c r="AL95" s="18" t="s">
        <v>109</v>
      </c>
      <c r="AM95" s="18" t="s">
        <v>109</v>
      </c>
      <c r="AN95" s="18" t="s">
        <v>109</v>
      </c>
      <c r="AO95" s="18" t="s">
        <v>109</v>
      </c>
      <c r="AP95" s="18" t="s">
        <v>109</v>
      </c>
      <c r="AQ95" s="18" t="s">
        <v>109</v>
      </c>
      <c r="AR95" s="18" t="s">
        <v>109</v>
      </c>
      <c r="AS95" s="18" t="s">
        <v>109</v>
      </c>
      <c r="AT95" s="18" t="s">
        <v>109</v>
      </c>
      <c r="AU95" s="18" t="s">
        <v>109</v>
      </c>
      <c r="AV95" s="36" t="s">
        <v>109</v>
      </c>
    </row>
    <row r="96" spans="1:264" ht="70.5" hidden="1" customHeight="1" x14ac:dyDescent="0.3">
      <c r="A96" s="15" t="s">
        <v>56</v>
      </c>
      <c r="B96" s="15" t="s">
        <v>201</v>
      </c>
      <c r="C96" s="15" t="s">
        <v>205</v>
      </c>
      <c r="D96" s="15" t="s">
        <v>32</v>
      </c>
      <c r="E96" s="15" t="s">
        <v>19</v>
      </c>
      <c r="F96" s="15" t="s">
        <v>19</v>
      </c>
      <c r="G96" s="15" t="s">
        <v>109</v>
      </c>
      <c r="H96" s="15" t="s">
        <v>109</v>
      </c>
      <c r="I96" s="18" t="s">
        <v>109</v>
      </c>
      <c r="J96" s="18" t="s">
        <v>109</v>
      </c>
      <c r="K96" s="18" t="s">
        <v>109</v>
      </c>
      <c r="L96" s="18" t="s">
        <v>109</v>
      </c>
      <c r="M96" s="15" t="s">
        <v>206</v>
      </c>
      <c r="N96" s="4" t="s">
        <v>207</v>
      </c>
      <c r="O96" s="15"/>
      <c r="P96" s="4" t="s">
        <v>2156</v>
      </c>
      <c r="S96" s="15" t="e" cm="1">
        <f t="array" aca="1" ref="S96" ca="1">COMMONMARKETCOUNT(H96:AV96)</f>
        <v>#NAME?</v>
      </c>
      <c r="T96" s="6" t="e" cm="1">
        <f t="array" aca="1" ref="T96" ca="1">AUTOMATEDCOUNT(H96:AV96)</f>
        <v>#NAME?</v>
      </c>
      <c r="V96" s="15" t="s">
        <v>109</v>
      </c>
      <c r="W96" s="15" t="s">
        <v>109</v>
      </c>
      <c r="X96" s="15" t="s">
        <v>109</v>
      </c>
      <c r="Y96" s="15" t="s">
        <v>109</v>
      </c>
      <c r="Z96" s="15" t="s">
        <v>19</v>
      </c>
      <c r="AA96" s="18" t="s">
        <v>109</v>
      </c>
      <c r="AB96" s="18" t="s">
        <v>109</v>
      </c>
      <c r="AC96" s="18" t="s">
        <v>109</v>
      </c>
      <c r="AD96" s="18" t="s">
        <v>109</v>
      </c>
      <c r="AE96" s="18" t="s">
        <v>109</v>
      </c>
      <c r="AF96" s="18" t="s">
        <v>109</v>
      </c>
      <c r="AG96" s="18" t="s">
        <v>109</v>
      </c>
      <c r="AH96" s="18" t="s">
        <v>109</v>
      </c>
      <c r="AI96" s="18" t="s">
        <v>109</v>
      </c>
      <c r="AJ96" s="18" t="s">
        <v>109</v>
      </c>
      <c r="AK96" s="18" t="s">
        <v>109</v>
      </c>
      <c r="AL96" s="18" t="s">
        <v>109</v>
      </c>
      <c r="AM96" s="18" t="s">
        <v>109</v>
      </c>
      <c r="AN96" s="18" t="s">
        <v>109</v>
      </c>
      <c r="AO96" s="18" t="s">
        <v>109</v>
      </c>
      <c r="AP96" s="18" t="s">
        <v>109</v>
      </c>
      <c r="AQ96" s="18" t="s">
        <v>109</v>
      </c>
      <c r="AR96" s="18" t="s">
        <v>109</v>
      </c>
      <c r="AS96" s="18" t="s">
        <v>109</v>
      </c>
      <c r="AT96" s="18" t="s">
        <v>109</v>
      </c>
      <c r="AU96" s="18" t="s">
        <v>109</v>
      </c>
      <c r="AV96" s="36" t="s">
        <v>109</v>
      </c>
      <c r="AW96" s="5"/>
      <c r="AX96" s="5"/>
      <c r="AY96" s="5"/>
      <c r="AZ96" s="5"/>
      <c r="BA96" s="5"/>
      <c r="BB96" s="5"/>
      <c r="BC96" s="5"/>
      <c r="BD96" s="5"/>
      <c r="BE96" s="5"/>
      <c r="BF96" s="5"/>
      <c r="BG96" s="5"/>
      <c r="BH96" s="5"/>
      <c r="BI96" s="5"/>
      <c r="BJ96" s="5"/>
      <c r="BK96" s="5"/>
      <c r="BL96" s="5"/>
      <c r="BM96" s="5"/>
      <c r="BN96" s="5"/>
      <c r="BO96" s="5"/>
      <c r="BP96" s="5"/>
      <c r="BQ96" s="5"/>
      <c r="BR96" s="5"/>
      <c r="BS96" s="5"/>
      <c r="BT96" s="5"/>
      <c r="BU96" s="5"/>
      <c r="BV96" s="5"/>
      <c r="BW96" s="5"/>
      <c r="BX96" s="5"/>
      <c r="BY96" s="5"/>
      <c r="BZ96" s="5"/>
      <c r="CA96" s="5"/>
      <c r="CB96" s="5"/>
      <c r="CC96" s="5"/>
      <c r="CD96" s="5"/>
      <c r="CE96" s="5"/>
      <c r="CF96" s="5"/>
      <c r="CG96" s="5"/>
      <c r="CH96" s="5"/>
      <c r="CI96" s="5"/>
      <c r="CJ96" s="5"/>
      <c r="CK96" s="5"/>
      <c r="CL96" s="5"/>
      <c r="CM96" s="5"/>
      <c r="CN96" s="5"/>
      <c r="CO96" s="5"/>
      <c r="CP96" s="5"/>
      <c r="CQ96" s="5"/>
      <c r="CR96" s="5"/>
      <c r="CS96" s="5"/>
      <c r="CT96" s="5"/>
      <c r="CU96" s="5"/>
      <c r="CV96" s="5"/>
      <c r="CW96" s="5"/>
      <c r="CX96" s="5"/>
      <c r="CY96" s="5"/>
      <c r="CZ96" s="5"/>
      <c r="DA96" s="5"/>
      <c r="DB96" s="5"/>
      <c r="DC96" s="5"/>
      <c r="DD96" s="5"/>
      <c r="DE96" s="5"/>
      <c r="DF96" s="5"/>
      <c r="DG96" s="5"/>
      <c r="DH96" s="5"/>
      <c r="DI96" s="5"/>
      <c r="DJ96" s="5"/>
      <c r="DK96" s="5"/>
      <c r="DL96" s="5"/>
      <c r="DM96" s="5"/>
      <c r="DN96" s="5"/>
      <c r="DO96" s="5"/>
      <c r="DP96" s="5"/>
      <c r="DQ96" s="5"/>
      <c r="DR96" s="5"/>
      <c r="DS96" s="5"/>
      <c r="DT96" s="5"/>
      <c r="DU96" s="5"/>
      <c r="DV96" s="5"/>
      <c r="DW96" s="5"/>
      <c r="DX96" s="5"/>
      <c r="DY96" s="5"/>
      <c r="DZ96" s="5"/>
      <c r="EA96" s="5"/>
      <c r="EB96" s="5"/>
      <c r="EC96" s="5"/>
      <c r="ED96" s="5"/>
      <c r="EE96" s="5"/>
      <c r="EF96" s="5"/>
      <c r="EG96" s="5"/>
      <c r="EH96" s="5"/>
      <c r="EI96" s="5"/>
      <c r="EJ96" s="5"/>
      <c r="EK96" s="5"/>
      <c r="EL96" s="5"/>
      <c r="EM96" s="5"/>
      <c r="EN96" s="5"/>
      <c r="EO96" s="5"/>
      <c r="EP96" s="5"/>
      <c r="EQ96" s="5"/>
      <c r="ER96" s="5"/>
      <c r="ES96" s="5"/>
      <c r="ET96" s="5"/>
      <c r="EU96" s="5"/>
      <c r="EV96" s="5"/>
      <c r="EW96" s="5"/>
      <c r="EX96" s="5"/>
      <c r="EY96" s="5"/>
      <c r="EZ96" s="5"/>
      <c r="FA96" s="5"/>
      <c r="FB96" s="5"/>
      <c r="FC96" s="5"/>
      <c r="FD96" s="5"/>
      <c r="FE96" s="5"/>
      <c r="FF96" s="5"/>
      <c r="FG96" s="5"/>
      <c r="FH96" s="5"/>
      <c r="FI96" s="5"/>
      <c r="FJ96" s="5"/>
      <c r="FK96" s="5"/>
      <c r="FL96" s="5"/>
      <c r="FM96" s="5"/>
      <c r="FN96" s="5"/>
      <c r="FO96" s="5"/>
      <c r="FP96" s="5"/>
      <c r="FQ96" s="5"/>
      <c r="FR96" s="5"/>
      <c r="FS96" s="5"/>
      <c r="FT96" s="5"/>
      <c r="FU96" s="5"/>
      <c r="FV96" s="5"/>
      <c r="FW96" s="5"/>
      <c r="FX96" s="5"/>
      <c r="FY96" s="5"/>
      <c r="FZ96" s="5"/>
      <c r="GA96" s="5"/>
      <c r="GB96" s="5"/>
      <c r="GC96" s="5"/>
      <c r="GD96" s="5"/>
      <c r="GE96" s="5"/>
      <c r="GF96" s="5"/>
      <c r="GG96" s="5"/>
      <c r="GH96" s="5"/>
      <c r="GI96" s="5"/>
      <c r="GJ96" s="5"/>
      <c r="GK96" s="5"/>
      <c r="GL96" s="5"/>
      <c r="GM96" s="5"/>
      <c r="GN96" s="5"/>
      <c r="GO96" s="5"/>
      <c r="GP96" s="5"/>
      <c r="GQ96" s="5"/>
      <c r="GR96" s="5"/>
      <c r="GS96" s="5"/>
      <c r="GT96" s="5"/>
      <c r="GU96" s="5"/>
      <c r="GV96" s="5"/>
      <c r="GW96" s="5"/>
      <c r="GX96" s="5"/>
      <c r="GY96" s="5"/>
      <c r="GZ96" s="5"/>
      <c r="HA96" s="5"/>
      <c r="HB96" s="5"/>
      <c r="HC96" s="5"/>
      <c r="HD96" s="5"/>
      <c r="HE96" s="5"/>
      <c r="HF96" s="5"/>
      <c r="HG96" s="5"/>
      <c r="HH96" s="5"/>
      <c r="HI96" s="5"/>
      <c r="HJ96" s="5"/>
      <c r="HK96" s="5"/>
      <c r="HL96" s="5"/>
      <c r="HM96" s="5"/>
      <c r="HN96" s="5"/>
      <c r="HO96" s="5"/>
      <c r="HP96" s="5"/>
      <c r="HQ96" s="5"/>
      <c r="HR96" s="5"/>
      <c r="HS96" s="5"/>
      <c r="HT96" s="5"/>
      <c r="HU96" s="5"/>
      <c r="HV96" s="5"/>
      <c r="HW96" s="5"/>
      <c r="HX96" s="5"/>
      <c r="HY96" s="5"/>
      <c r="HZ96" s="5"/>
      <c r="IA96" s="5"/>
      <c r="IB96" s="5"/>
      <c r="IC96" s="5"/>
      <c r="ID96" s="5"/>
      <c r="IE96" s="5"/>
      <c r="IF96" s="5"/>
      <c r="IG96" s="5"/>
      <c r="IH96" s="5"/>
      <c r="II96" s="5"/>
      <c r="IJ96" s="5"/>
      <c r="IK96" s="5"/>
      <c r="IL96" s="5"/>
      <c r="IM96" s="5"/>
      <c r="IN96" s="5"/>
      <c r="IO96" s="5"/>
      <c r="IP96" s="5"/>
      <c r="IQ96" s="5"/>
      <c r="IR96" s="5"/>
      <c r="IS96" s="5"/>
      <c r="IT96" s="5"/>
      <c r="IU96" s="5"/>
      <c r="IV96" s="5"/>
      <c r="IW96" s="5"/>
      <c r="IX96" s="5"/>
      <c r="IY96" s="5"/>
      <c r="IZ96" s="5"/>
      <c r="JA96" s="5"/>
      <c r="JB96" s="5"/>
      <c r="JC96" s="5"/>
      <c r="JD96" s="5"/>
    </row>
    <row r="97" spans="1:264" ht="70.5" hidden="1" customHeight="1" x14ac:dyDescent="0.3">
      <c r="A97" s="15" t="s">
        <v>25</v>
      </c>
      <c r="B97" s="15" t="s">
        <v>1823</v>
      </c>
      <c r="C97" s="15" t="s">
        <v>208</v>
      </c>
      <c r="D97" s="15" t="s">
        <v>19</v>
      </c>
      <c r="E97" s="70" t="s">
        <v>19</v>
      </c>
      <c r="F97" s="70" t="s">
        <v>19</v>
      </c>
      <c r="G97" s="18" t="s">
        <v>109</v>
      </c>
      <c r="H97" s="18" t="s">
        <v>109</v>
      </c>
      <c r="I97" s="18" t="s">
        <v>109</v>
      </c>
      <c r="J97" s="18" t="s">
        <v>109</v>
      </c>
      <c r="K97" s="18" t="s">
        <v>19</v>
      </c>
      <c r="L97" s="18" t="s">
        <v>19</v>
      </c>
      <c r="M97" s="15" t="s">
        <v>935</v>
      </c>
      <c r="N97" s="4" t="s">
        <v>209</v>
      </c>
      <c r="O97" s="15"/>
      <c r="P97" s="4" t="s">
        <v>1511</v>
      </c>
      <c r="S97" s="15" t="e" cm="1">
        <f t="array" aca="1" ref="S97" ca="1">COMMONMARKETCOUNT(H97:AV97)</f>
        <v>#NAME?</v>
      </c>
      <c r="T97" s="6" t="e" cm="1">
        <f t="array" aca="1" ref="T97" ca="1">AUTOMATEDCOUNT(H97:AV97)</f>
        <v>#NAME?</v>
      </c>
      <c r="V97" s="18" t="s">
        <v>109</v>
      </c>
      <c r="W97" s="18" t="s">
        <v>109</v>
      </c>
      <c r="X97" s="70" t="s">
        <v>19</v>
      </c>
      <c r="Y97" s="70" t="s">
        <v>19</v>
      </c>
      <c r="Z97" s="70" t="s">
        <v>19</v>
      </c>
      <c r="AA97" s="18" t="s">
        <v>109</v>
      </c>
      <c r="AB97" s="18" t="s">
        <v>109</v>
      </c>
      <c r="AC97" s="18" t="s">
        <v>109</v>
      </c>
      <c r="AD97" s="18" t="s">
        <v>109</v>
      </c>
      <c r="AE97" s="18" t="s">
        <v>109</v>
      </c>
      <c r="AF97" s="18" t="s">
        <v>19</v>
      </c>
      <c r="AG97" s="29" t="s">
        <v>19</v>
      </c>
      <c r="AH97" s="18" t="s">
        <v>19</v>
      </c>
      <c r="AI97" s="18" t="s">
        <v>19</v>
      </c>
      <c r="AJ97" s="18" t="s">
        <v>19</v>
      </c>
      <c r="AK97" s="18" t="s">
        <v>19</v>
      </c>
      <c r="AL97" s="18" t="s">
        <v>19</v>
      </c>
      <c r="AM97" s="18" t="s">
        <v>19</v>
      </c>
      <c r="AN97" s="18" t="s">
        <v>19</v>
      </c>
      <c r="AO97" s="18" t="s">
        <v>19</v>
      </c>
      <c r="AP97" s="18" t="s">
        <v>19</v>
      </c>
      <c r="AQ97" s="18" t="s">
        <v>19</v>
      </c>
      <c r="AR97" s="18" t="s">
        <v>19</v>
      </c>
      <c r="AS97" s="18" t="s">
        <v>19</v>
      </c>
      <c r="AT97" s="18" t="s">
        <v>19</v>
      </c>
      <c r="AU97" s="18" t="s">
        <v>3153</v>
      </c>
      <c r="AV97" s="36" t="s">
        <v>19</v>
      </c>
    </row>
    <row r="98" spans="1:264" ht="70.5" hidden="1" customHeight="1" x14ac:dyDescent="0.3">
      <c r="A98" s="15" t="s">
        <v>18</v>
      </c>
      <c r="B98" s="15" t="s">
        <v>1823</v>
      </c>
      <c r="C98" s="15" t="s">
        <v>210</v>
      </c>
      <c r="D98" s="15" t="s">
        <v>19</v>
      </c>
      <c r="E98" s="70" t="s">
        <v>19</v>
      </c>
      <c r="F98" s="70" t="s">
        <v>19</v>
      </c>
      <c r="G98" s="18" t="s">
        <v>109</v>
      </c>
      <c r="H98" s="18" t="s">
        <v>109</v>
      </c>
      <c r="I98" s="18" t="s">
        <v>109</v>
      </c>
      <c r="J98" s="18" t="s">
        <v>109</v>
      </c>
      <c r="K98" s="18" t="s">
        <v>109</v>
      </c>
      <c r="L98" s="18" t="s">
        <v>109</v>
      </c>
      <c r="M98" s="15" t="s">
        <v>1871</v>
      </c>
      <c r="N98" s="4" t="s">
        <v>211</v>
      </c>
      <c r="O98" s="15"/>
      <c r="P98" s="4" t="s">
        <v>1870</v>
      </c>
      <c r="S98" s="15" t="e" cm="1">
        <f t="array" aca="1" ref="S98" ca="1">COMMONMARKETCOUNT(H98:AV98)</f>
        <v>#NAME?</v>
      </c>
      <c r="T98" s="6" t="e" cm="1">
        <f t="array" aca="1" ref="T98" ca="1">AUTOMATEDCOUNT(H98:AV98)</f>
        <v>#NAME?</v>
      </c>
      <c r="V98" s="18" t="s">
        <v>109</v>
      </c>
      <c r="W98" s="18" t="s">
        <v>109</v>
      </c>
      <c r="X98" s="70" t="s">
        <v>19</v>
      </c>
      <c r="Y98" s="70" t="s">
        <v>19</v>
      </c>
      <c r="Z98" s="70" t="s">
        <v>19</v>
      </c>
      <c r="AA98" s="18" t="s">
        <v>109</v>
      </c>
      <c r="AB98" s="18" t="s">
        <v>109</v>
      </c>
      <c r="AC98" s="18" t="s">
        <v>109</v>
      </c>
      <c r="AD98" s="18" t="s">
        <v>19</v>
      </c>
      <c r="AE98" s="18" t="s">
        <v>19</v>
      </c>
      <c r="AF98" s="18" t="s">
        <v>109</v>
      </c>
      <c r="AG98" s="18" t="s">
        <v>109</v>
      </c>
      <c r="AH98" s="18" t="s">
        <v>109</v>
      </c>
      <c r="AI98" s="18" t="s">
        <v>109</v>
      </c>
      <c r="AJ98" s="18" t="s">
        <v>109</v>
      </c>
      <c r="AK98" s="18" t="s">
        <v>109</v>
      </c>
      <c r="AL98" s="18" t="s">
        <v>109</v>
      </c>
      <c r="AM98" s="18" t="s">
        <v>109</v>
      </c>
      <c r="AN98" s="18" t="s">
        <v>109</v>
      </c>
      <c r="AO98" s="18" t="s">
        <v>109</v>
      </c>
      <c r="AP98" s="18" t="s">
        <v>109</v>
      </c>
      <c r="AQ98" s="18" t="s">
        <v>109</v>
      </c>
      <c r="AR98" s="18" t="s">
        <v>109</v>
      </c>
      <c r="AS98" s="18" t="s">
        <v>109</v>
      </c>
      <c r="AT98" s="18" t="s">
        <v>109</v>
      </c>
      <c r="AU98" s="18" t="s">
        <v>109</v>
      </c>
      <c r="AV98" s="36" t="s">
        <v>109</v>
      </c>
    </row>
    <row r="99" spans="1:264" ht="70.5" hidden="1" customHeight="1" x14ac:dyDescent="0.3">
      <c r="A99" s="15" t="s">
        <v>18</v>
      </c>
      <c r="B99" s="15" t="s">
        <v>1823</v>
      </c>
      <c r="C99" s="15" t="s">
        <v>212</v>
      </c>
      <c r="D99" s="15" t="s">
        <v>19</v>
      </c>
      <c r="E99" s="70" t="s">
        <v>19</v>
      </c>
      <c r="F99" s="70" t="s">
        <v>19</v>
      </c>
      <c r="G99" s="18" t="s">
        <v>109</v>
      </c>
      <c r="H99" s="18" t="s">
        <v>109</v>
      </c>
      <c r="I99" s="18" t="s">
        <v>109</v>
      </c>
      <c r="J99" s="18" t="s">
        <v>109</v>
      </c>
      <c r="K99" s="18" t="s">
        <v>109</v>
      </c>
      <c r="L99" s="18" t="s">
        <v>109</v>
      </c>
      <c r="M99" s="15" t="s">
        <v>1707</v>
      </c>
      <c r="N99" s="4" t="s">
        <v>213</v>
      </c>
      <c r="O99" s="15"/>
      <c r="P99" s="4" t="s">
        <v>3025</v>
      </c>
      <c r="S99" s="15" t="e" cm="1">
        <f t="array" aca="1" ref="S99" ca="1">COMMONMARKETCOUNT(H99:AV99)</f>
        <v>#NAME?</v>
      </c>
      <c r="T99" s="6" t="e" cm="1">
        <f t="array" aca="1" ref="T99" ca="1">AUTOMATEDCOUNT(H99:AV99)</f>
        <v>#NAME?</v>
      </c>
      <c r="V99" s="18" t="s">
        <v>109</v>
      </c>
      <c r="W99" s="18" t="s">
        <v>109</v>
      </c>
      <c r="X99" s="70" t="s">
        <v>19</v>
      </c>
      <c r="Y99" s="70" t="s">
        <v>19</v>
      </c>
      <c r="Z99" s="70" t="s">
        <v>19</v>
      </c>
      <c r="AA99" s="18" t="s">
        <v>109</v>
      </c>
      <c r="AB99" s="18" t="s">
        <v>109</v>
      </c>
      <c r="AC99" s="18" t="s">
        <v>109</v>
      </c>
      <c r="AD99" s="18" t="s">
        <v>109</v>
      </c>
      <c r="AE99" s="18" t="s">
        <v>109</v>
      </c>
      <c r="AF99" s="18" t="s">
        <v>109</v>
      </c>
      <c r="AG99" s="18" t="s">
        <v>109</v>
      </c>
      <c r="AH99" s="18" t="s">
        <v>109</v>
      </c>
      <c r="AI99" s="18" t="s">
        <v>109</v>
      </c>
      <c r="AJ99" s="18" t="s">
        <v>109</v>
      </c>
      <c r="AK99" s="18" t="s">
        <v>109</v>
      </c>
      <c r="AL99" s="18" t="s">
        <v>109</v>
      </c>
      <c r="AM99" s="18" t="s">
        <v>109</v>
      </c>
      <c r="AN99" s="18" t="s">
        <v>109</v>
      </c>
      <c r="AO99" s="18" t="s">
        <v>109</v>
      </c>
      <c r="AP99" s="18" t="s">
        <v>109</v>
      </c>
      <c r="AQ99" s="18" t="s">
        <v>109</v>
      </c>
      <c r="AR99" s="18" t="s">
        <v>109</v>
      </c>
      <c r="AS99" s="18" t="s">
        <v>109</v>
      </c>
      <c r="AT99" s="18" t="s">
        <v>109</v>
      </c>
      <c r="AU99" s="18" t="s">
        <v>109</v>
      </c>
      <c r="AV99" s="36" t="s">
        <v>109</v>
      </c>
    </row>
    <row r="100" spans="1:264" ht="70.5" hidden="1" customHeight="1" x14ac:dyDescent="0.3">
      <c r="A100" s="15" t="s">
        <v>25</v>
      </c>
      <c r="B100" s="15" t="s">
        <v>37</v>
      </c>
      <c r="C100" s="15" t="s">
        <v>214</v>
      </c>
      <c r="D100" s="15" t="s">
        <v>19</v>
      </c>
      <c r="E100" s="70" t="s">
        <v>19</v>
      </c>
      <c r="F100" s="70" t="s">
        <v>19</v>
      </c>
      <c r="G100" s="70" t="s">
        <v>19</v>
      </c>
      <c r="H100" s="70" t="s">
        <v>3178</v>
      </c>
      <c r="I100" s="72" t="s">
        <v>19</v>
      </c>
      <c r="J100" s="72" t="s">
        <v>19</v>
      </c>
      <c r="K100" s="72" t="s">
        <v>19</v>
      </c>
      <c r="L100" s="72" t="s">
        <v>19</v>
      </c>
      <c r="M100" s="15" t="s">
        <v>215</v>
      </c>
      <c r="N100" s="4" t="s">
        <v>1512</v>
      </c>
      <c r="O100" s="15"/>
      <c r="P100" s="4" t="s">
        <v>1594</v>
      </c>
      <c r="S100" s="15" t="e" cm="1">
        <f t="array" aca="1" ref="S100" ca="1">COMMONMARKETCOUNT(H100:AV100)</f>
        <v>#NAME?</v>
      </c>
      <c r="T100" s="6" t="e" cm="1">
        <f t="array" aca="1" ref="T100" ca="1">AUTOMATEDCOUNT(H100:AV100)</f>
        <v>#NAME?</v>
      </c>
      <c r="V100" s="18" t="s">
        <v>109</v>
      </c>
      <c r="W100" s="18" t="s">
        <v>109</v>
      </c>
      <c r="X100" s="70" t="s">
        <v>19</v>
      </c>
      <c r="Y100" s="70" t="s">
        <v>19</v>
      </c>
      <c r="Z100" s="70" t="s">
        <v>19</v>
      </c>
      <c r="AA100" s="72" t="s">
        <v>19</v>
      </c>
      <c r="AB100" s="72" t="s">
        <v>19</v>
      </c>
      <c r="AC100" s="72" t="s">
        <v>19</v>
      </c>
      <c r="AD100" s="18" t="s">
        <v>109</v>
      </c>
      <c r="AE100" s="18" t="s">
        <v>109</v>
      </c>
      <c r="AF100" s="18" t="s">
        <v>19</v>
      </c>
      <c r="AG100" s="29" t="s">
        <v>19</v>
      </c>
      <c r="AH100" s="18" t="s">
        <v>19</v>
      </c>
      <c r="AI100" s="18" t="s">
        <v>19</v>
      </c>
      <c r="AJ100" s="18" t="s">
        <v>19</v>
      </c>
      <c r="AK100" s="18" t="s">
        <v>19</v>
      </c>
      <c r="AL100" s="18" t="s">
        <v>109</v>
      </c>
      <c r="AM100" s="18" t="s">
        <v>109</v>
      </c>
      <c r="AN100" s="18" t="s">
        <v>109</v>
      </c>
      <c r="AO100" s="18" t="s">
        <v>109</v>
      </c>
      <c r="AP100" s="18" t="s">
        <v>19</v>
      </c>
      <c r="AQ100" s="18" t="s">
        <v>19</v>
      </c>
      <c r="AR100" s="18" t="s">
        <v>19</v>
      </c>
      <c r="AS100" s="70" t="s">
        <v>19</v>
      </c>
      <c r="AT100" s="18" t="s">
        <v>19</v>
      </c>
      <c r="AU100" s="18" t="s">
        <v>109</v>
      </c>
      <c r="AV100" s="36" t="s">
        <v>19</v>
      </c>
    </row>
    <row r="101" spans="1:264" ht="70.5" hidden="1" customHeight="1" x14ac:dyDescent="0.3">
      <c r="A101" s="15" t="s">
        <v>25</v>
      </c>
      <c r="B101" s="15" t="s">
        <v>37</v>
      </c>
      <c r="C101" s="15" t="s">
        <v>216</v>
      </c>
      <c r="D101" s="15" t="s">
        <v>19</v>
      </c>
      <c r="E101" s="70" t="s">
        <v>19</v>
      </c>
      <c r="F101" s="70" t="s">
        <v>19</v>
      </c>
      <c r="G101" s="18" t="s">
        <v>109</v>
      </c>
      <c r="H101" s="18" t="s">
        <v>109</v>
      </c>
      <c r="I101" s="72" t="s">
        <v>19</v>
      </c>
      <c r="J101" s="72" t="s">
        <v>19</v>
      </c>
      <c r="K101" s="72" t="s">
        <v>19</v>
      </c>
      <c r="L101" s="72" t="s">
        <v>19</v>
      </c>
      <c r="M101" s="15" t="s">
        <v>217</v>
      </c>
      <c r="N101" s="4" t="s">
        <v>218</v>
      </c>
      <c r="O101" s="15"/>
      <c r="P101" s="4" t="s">
        <v>1513</v>
      </c>
      <c r="S101" s="15" t="e" cm="1">
        <f t="array" aca="1" ref="S101" ca="1">COMMONMARKETCOUNT(H101:AV101)</f>
        <v>#NAME?</v>
      </c>
      <c r="T101" s="6" t="e" cm="1">
        <f t="array" aca="1" ref="T101" ca="1">AUTOMATEDCOUNT(H101:AV101)</f>
        <v>#NAME?</v>
      </c>
      <c r="V101" s="18" t="s">
        <v>109</v>
      </c>
      <c r="W101" s="18" t="s">
        <v>109</v>
      </c>
      <c r="X101" s="70" t="s">
        <v>19</v>
      </c>
      <c r="Y101" s="18" t="s">
        <v>109</v>
      </c>
      <c r="Z101" s="18" t="s">
        <v>109</v>
      </c>
      <c r="AA101" s="72" t="s">
        <v>19</v>
      </c>
      <c r="AB101" s="72" t="s">
        <v>19</v>
      </c>
      <c r="AC101" s="72" t="s">
        <v>19</v>
      </c>
      <c r="AD101" s="72" t="s">
        <v>19</v>
      </c>
      <c r="AE101" s="18" t="s">
        <v>19</v>
      </c>
      <c r="AF101" s="18" t="s">
        <v>19</v>
      </c>
      <c r="AG101" s="18" t="s">
        <v>19</v>
      </c>
      <c r="AH101" s="18" t="s">
        <v>19</v>
      </c>
      <c r="AI101" s="18" t="s">
        <v>19</v>
      </c>
      <c r="AJ101" s="18" t="s">
        <v>19</v>
      </c>
      <c r="AK101" s="18" t="s">
        <v>19</v>
      </c>
      <c r="AL101" s="18" t="s">
        <v>19</v>
      </c>
      <c r="AM101" s="18" t="s">
        <v>19</v>
      </c>
      <c r="AN101" s="18" t="s">
        <v>19</v>
      </c>
      <c r="AO101" s="18" t="s">
        <v>19</v>
      </c>
      <c r="AP101" s="18" t="s">
        <v>19</v>
      </c>
      <c r="AQ101" s="18" t="s">
        <v>19</v>
      </c>
      <c r="AR101" s="18" t="s">
        <v>19</v>
      </c>
      <c r="AS101" s="70" t="s">
        <v>19</v>
      </c>
      <c r="AT101" s="18" t="s">
        <v>19</v>
      </c>
      <c r="AU101" s="18" t="s">
        <v>3153</v>
      </c>
      <c r="AV101" s="36" t="s">
        <v>19</v>
      </c>
    </row>
    <row r="102" spans="1:264" ht="70.5" hidden="1" customHeight="1" x14ac:dyDescent="0.3">
      <c r="A102" s="15" t="s">
        <v>56</v>
      </c>
      <c r="B102" s="15" t="s">
        <v>55</v>
      </c>
      <c r="C102" s="15" t="s">
        <v>219</v>
      </c>
      <c r="D102" s="15" t="s">
        <v>32</v>
      </c>
      <c r="E102" s="18" t="s">
        <v>19</v>
      </c>
      <c r="F102" s="18" t="s">
        <v>19</v>
      </c>
      <c r="G102" s="15" t="s">
        <v>19</v>
      </c>
      <c r="H102" s="15" t="s">
        <v>19</v>
      </c>
      <c r="I102" s="18" t="s">
        <v>109</v>
      </c>
      <c r="J102" s="18" t="s">
        <v>109</v>
      </c>
      <c r="K102" s="18" t="s">
        <v>109</v>
      </c>
      <c r="L102" s="18" t="s">
        <v>109</v>
      </c>
      <c r="M102" s="15" t="s">
        <v>1842</v>
      </c>
      <c r="N102" s="4" t="s">
        <v>220</v>
      </c>
      <c r="O102" s="15"/>
      <c r="P102" s="4" t="s">
        <v>221</v>
      </c>
      <c r="S102" s="15" t="e" cm="1">
        <f t="array" aca="1" ref="S102" ca="1">COMMONMARKETCOUNT(H102:AV102)</f>
        <v>#NAME?</v>
      </c>
      <c r="T102" s="6" t="e" cm="1">
        <f t="array" aca="1" ref="T102" ca="1">AUTOMATEDCOUNT(H102:AV102)</f>
        <v>#NAME?</v>
      </c>
      <c r="V102" s="18" t="s">
        <v>109</v>
      </c>
      <c r="W102" s="18" t="s">
        <v>109</v>
      </c>
      <c r="X102" s="15" t="s">
        <v>19</v>
      </c>
      <c r="Y102" s="18" t="s">
        <v>19</v>
      </c>
      <c r="Z102" s="18" t="s">
        <v>19</v>
      </c>
      <c r="AA102" s="18" t="s">
        <v>109</v>
      </c>
      <c r="AB102" s="18" t="s">
        <v>109</v>
      </c>
      <c r="AC102" s="18" t="s">
        <v>109</v>
      </c>
      <c r="AD102" s="18" t="s">
        <v>19</v>
      </c>
      <c r="AE102" s="18" t="s">
        <v>19</v>
      </c>
      <c r="AF102" s="18" t="s">
        <v>109</v>
      </c>
      <c r="AG102" s="18" t="s">
        <v>109</v>
      </c>
      <c r="AH102" s="18" t="s">
        <v>109</v>
      </c>
      <c r="AI102" s="18" t="s">
        <v>109</v>
      </c>
      <c r="AJ102" s="18" t="s">
        <v>109</v>
      </c>
      <c r="AK102" s="18" t="s">
        <v>109</v>
      </c>
      <c r="AL102" s="18" t="s">
        <v>109</v>
      </c>
      <c r="AM102" s="18" t="s">
        <v>109</v>
      </c>
      <c r="AN102" s="18" t="s">
        <v>109</v>
      </c>
      <c r="AO102" s="18" t="s">
        <v>109</v>
      </c>
      <c r="AP102" s="18" t="s">
        <v>19</v>
      </c>
      <c r="AQ102" s="18" t="s">
        <v>19</v>
      </c>
      <c r="AR102" s="18" t="s">
        <v>19</v>
      </c>
      <c r="AS102" s="18" t="s">
        <v>19</v>
      </c>
      <c r="AT102" s="18" t="s">
        <v>19</v>
      </c>
      <c r="AU102" s="18" t="s">
        <v>109</v>
      </c>
      <c r="AV102" s="36" t="s">
        <v>19</v>
      </c>
    </row>
    <row r="103" spans="1:264" ht="101.25" customHeight="1" x14ac:dyDescent="0.3">
      <c r="A103" s="15" t="s">
        <v>25</v>
      </c>
      <c r="B103" s="15" t="s">
        <v>224</v>
      </c>
      <c r="C103" s="15" t="s">
        <v>222</v>
      </c>
      <c r="D103" s="15" t="s">
        <v>19</v>
      </c>
      <c r="E103" s="29" t="s">
        <v>19</v>
      </c>
      <c r="F103" s="29" t="s">
        <v>19</v>
      </c>
      <c r="G103" s="18" t="s">
        <v>19</v>
      </c>
      <c r="H103" s="18" t="s">
        <v>19</v>
      </c>
      <c r="I103" s="18" t="s">
        <v>19</v>
      </c>
      <c r="J103" s="18" t="s">
        <v>19</v>
      </c>
      <c r="K103" s="18" t="s">
        <v>19</v>
      </c>
      <c r="L103" s="18" t="s">
        <v>19</v>
      </c>
      <c r="M103" s="15" t="s">
        <v>2891</v>
      </c>
      <c r="N103" s="4" t="s">
        <v>223</v>
      </c>
      <c r="O103" s="15"/>
      <c r="P103" s="4" t="s">
        <v>3026</v>
      </c>
      <c r="S103" s="15" t="e" cm="1">
        <f t="array" aca="1" ref="S103" ca="1">COMMONMARKETCOUNT(H103:AV103)</f>
        <v>#NAME?</v>
      </c>
      <c r="T103" s="6" t="e" cm="1">
        <f t="array" aca="1" ref="T103" ca="1">AUTOMATEDCOUNT(H103:AV103)</f>
        <v>#NAME?</v>
      </c>
      <c r="V103" s="18" t="s">
        <v>19</v>
      </c>
      <c r="W103" s="18" t="s">
        <v>19</v>
      </c>
      <c r="X103" s="29" t="s">
        <v>19</v>
      </c>
      <c r="Y103" s="29" t="s">
        <v>19</v>
      </c>
      <c r="Z103" s="29" t="s">
        <v>19</v>
      </c>
      <c r="AA103" s="18" t="s">
        <v>19</v>
      </c>
      <c r="AB103" s="18" t="s">
        <v>19</v>
      </c>
      <c r="AC103" s="18" t="s">
        <v>19</v>
      </c>
      <c r="AD103" s="18" t="s">
        <v>109</v>
      </c>
      <c r="AE103" s="18" t="s">
        <v>109</v>
      </c>
      <c r="AF103" s="18" t="s">
        <v>19</v>
      </c>
      <c r="AG103" s="18" t="s">
        <v>19</v>
      </c>
      <c r="AH103" s="18" t="s">
        <v>19</v>
      </c>
      <c r="AI103" s="18" t="s">
        <v>19</v>
      </c>
      <c r="AJ103" s="18" t="s">
        <v>19</v>
      </c>
      <c r="AK103" s="18" t="s">
        <v>19</v>
      </c>
      <c r="AL103" s="18" t="s">
        <v>19</v>
      </c>
      <c r="AM103" s="18" t="s">
        <v>19</v>
      </c>
      <c r="AN103" s="18" t="s">
        <v>19</v>
      </c>
      <c r="AO103" s="18" t="s">
        <v>19</v>
      </c>
      <c r="AP103" s="18" t="s">
        <v>19</v>
      </c>
      <c r="AQ103" s="18" t="s">
        <v>19</v>
      </c>
      <c r="AR103" s="18" t="s">
        <v>19</v>
      </c>
      <c r="AS103" s="18" t="s">
        <v>19</v>
      </c>
      <c r="AT103" s="18" t="s">
        <v>19</v>
      </c>
      <c r="AU103" s="18" t="s">
        <v>3153</v>
      </c>
      <c r="AV103" s="36" t="s">
        <v>19</v>
      </c>
    </row>
    <row r="104" spans="1:264" ht="70.5" customHeight="1" x14ac:dyDescent="0.3">
      <c r="A104" s="15" t="s">
        <v>18</v>
      </c>
      <c r="B104" s="15" t="s">
        <v>227</v>
      </c>
      <c r="C104" s="15" t="s">
        <v>225</v>
      </c>
      <c r="D104" s="15" t="s">
        <v>19</v>
      </c>
      <c r="E104" s="70" t="s">
        <v>19</v>
      </c>
      <c r="F104" s="70" t="s">
        <v>19</v>
      </c>
      <c r="G104" s="70" t="s">
        <v>19</v>
      </c>
      <c r="H104" s="70" t="s">
        <v>19</v>
      </c>
      <c r="I104" s="18" t="s">
        <v>19</v>
      </c>
      <c r="J104" s="18" t="s">
        <v>19</v>
      </c>
      <c r="K104" s="18" t="s">
        <v>19</v>
      </c>
      <c r="L104" s="18" t="s">
        <v>19</v>
      </c>
      <c r="M104" s="15" t="s">
        <v>2892</v>
      </c>
      <c r="N104" s="4" t="s">
        <v>1708</v>
      </c>
      <c r="O104" s="15"/>
      <c r="P104" s="4" t="s">
        <v>226</v>
      </c>
      <c r="S104" s="15" t="e" cm="1">
        <f t="array" aca="1" ref="S104" ca="1">COMMONMARKETCOUNT(H104:AV104)</f>
        <v>#NAME?</v>
      </c>
      <c r="T104" s="6" t="e" cm="1">
        <f t="array" aca="1" ref="T104" ca="1">AUTOMATEDCOUNT(H104:AV104)</f>
        <v>#NAME?</v>
      </c>
      <c r="V104" s="70" t="s">
        <v>19</v>
      </c>
      <c r="W104" s="70" t="s">
        <v>19</v>
      </c>
      <c r="X104" s="70" t="s">
        <v>19</v>
      </c>
      <c r="Y104" s="70" t="s">
        <v>19</v>
      </c>
      <c r="Z104" s="70" t="s">
        <v>19</v>
      </c>
      <c r="AA104" s="18" t="s">
        <v>19</v>
      </c>
      <c r="AB104" s="18" t="s">
        <v>19</v>
      </c>
      <c r="AC104" s="18" t="s">
        <v>19</v>
      </c>
      <c r="AD104" s="18" t="s">
        <v>19</v>
      </c>
      <c r="AE104" s="18" t="s">
        <v>19</v>
      </c>
      <c r="AF104" s="18" t="s">
        <v>19</v>
      </c>
      <c r="AG104" s="18" t="s">
        <v>19</v>
      </c>
      <c r="AH104" s="18" t="s">
        <v>19</v>
      </c>
      <c r="AI104" s="18" t="s">
        <v>19</v>
      </c>
      <c r="AJ104" s="18" t="s">
        <v>19</v>
      </c>
      <c r="AK104" s="18" t="s">
        <v>19</v>
      </c>
      <c r="AL104" s="18" t="s">
        <v>19</v>
      </c>
      <c r="AM104" s="18" t="s">
        <v>19</v>
      </c>
      <c r="AN104" s="18" t="s">
        <v>19</v>
      </c>
      <c r="AO104" s="18" t="s">
        <v>19</v>
      </c>
      <c r="AP104" s="18" t="s">
        <v>19</v>
      </c>
      <c r="AQ104" s="18" t="s">
        <v>19</v>
      </c>
      <c r="AR104" s="18" t="s">
        <v>19</v>
      </c>
      <c r="AS104" s="70" t="s">
        <v>19</v>
      </c>
      <c r="AT104" s="72" t="s">
        <v>19</v>
      </c>
      <c r="AU104" s="18" t="s">
        <v>3153</v>
      </c>
      <c r="AV104" s="36" t="s">
        <v>19</v>
      </c>
    </row>
    <row r="105" spans="1:264" ht="70.5" hidden="1" customHeight="1" x14ac:dyDescent="0.3">
      <c r="A105" s="15" t="s">
        <v>25</v>
      </c>
      <c r="B105" s="15" t="s">
        <v>224</v>
      </c>
      <c r="C105" s="15" t="s">
        <v>228</v>
      </c>
      <c r="D105" s="15" t="s">
        <v>32</v>
      </c>
      <c r="E105" s="18" t="s">
        <v>19</v>
      </c>
      <c r="F105" s="18" t="s">
        <v>19</v>
      </c>
      <c r="G105" s="18" t="s">
        <v>19</v>
      </c>
      <c r="H105" s="18" t="s">
        <v>19</v>
      </c>
      <c r="I105" s="18" t="s">
        <v>19</v>
      </c>
      <c r="J105" s="18" t="s">
        <v>19</v>
      </c>
      <c r="K105" s="18" t="s">
        <v>19</v>
      </c>
      <c r="L105" s="18" t="s">
        <v>19</v>
      </c>
      <c r="M105" s="15" t="s">
        <v>2893</v>
      </c>
      <c r="N105" s="4" t="s">
        <v>229</v>
      </c>
      <c r="O105" s="15"/>
      <c r="P105" s="4" t="s">
        <v>2157</v>
      </c>
      <c r="S105" s="15" t="e" cm="1">
        <f t="array" aca="1" ref="S105" ca="1">COMMONMARKETCOUNT(H105:AV105)</f>
        <v>#NAME?</v>
      </c>
      <c r="T105" s="6" t="e" cm="1">
        <f t="array" aca="1" ref="T105" ca="1">AUTOMATEDCOUNT(H105:AV105)</f>
        <v>#NAME?</v>
      </c>
      <c r="V105" s="18" t="s">
        <v>19</v>
      </c>
      <c r="W105" s="18" t="s">
        <v>19</v>
      </c>
      <c r="X105" s="18" t="s">
        <v>19</v>
      </c>
      <c r="Y105" s="18" t="s">
        <v>19</v>
      </c>
      <c r="Z105" s="18" t="s">
        <v>19</v>
      </c>
      <c r="AA105" s="18" t="s">
        <v>19</v>
      </c>
      <c r="AB105" s="18" t="s">
        <v>19</v>
      </c>
      <c r="AC105" s="18" t="s">
        <v>19</v>
      </c>
      <c r="AD105" s="18" t="s">
        <v>19</v>
      </c>
      <c r="AE105" s="18" t="s">
        <v>19</v>
      </c>
      <c r="AF105" s="18" t="s">
        <v>19</v>
      </c>
      <c r="AG105" s="18" t="s">
        <v>19</v>
      </c>
      <c r="AH105" s="18" t="s">
        <v>19</v>
      </c>
      <c r="AI105" s="18" t="s">
        <v>19</v>
      </c>
      <c r="AJ105" s="18" t="s">
        <v>19</v>
      </c>
      <c r="AK105" s="18" t="s">
        <v>19</v>
      </c>
      <c r="AL105" s="18" t="s">
        <v>19</v>
      </c>
      <c r="AM105" s="18" t="s">
        <v>19</v>
      </c>
      <c r="AN105" s="18" t="s">
        <v>19</v>
      </c>
      <c r="AO105" s="18" t="s">
        <v>19</v>
      </c>
      <c r="AP105" s="18" t="s">
        <v>19</v>
      </c>
      <c r="AQ105" s="18" t="s">
        <v>19</v>
      </c>
      <c r="AR105" s="18" t="s">
        <v>19</v>
      </c>
      <c r="AS105" s="18" t="s">
        <v>19</v>
      </c>
      <c r="AT105" s="18" t="s">
        <v>19</v>
      </c>
      <c r="AU105" s="18" t="s">
        <v>3153</v>
      </c>
      <c r="AV105" s="36" t="s">
        <v>19</v>
      </c>
    </row>
    <row r="106" spans="1:264" s="5" customFormat="1" ht="70.5" customHeight="1" x14ac:dyDescent="0.3">
      <c r="A106" s="15" t="s">
        <v>25</v>
      </c>
      <c r="B106" s="15" t="s">
        <v>24</v>
      </c>
      <c r="C106" s="15" t="s">
        <v>230</v>
      </c>
      <c r="D106" s="15" t="s">
        <v>19</v>
      </c>
      <c r="E106" s="70" t="s">
        <v>19</v>
      </c>
      <c r="F106" s="70" t="s">
        <v>19</v>
      </c>
      <c r="G106" s="70" t="s">
        <v>19</v>
      </c>
      <c r="H106" s="70" t="s">
        <v>19</v>
      </c>
      <c r="I106" s="72" t="s">
        <v>19</v>
      </c>
      <c r="J106" s="72" t="s">
        <v>19</v>
      </c>
      <c r="K106" s="72" t="s">
        <v>19</v>
      </c>
      <c r="L106" s="72" t="s">
        <v>19</v>
      </c>
      <c r="M106" s="15" t="s">
        <v>2894</v>
      </c>
      <c r="N106" s="4" t="s">
        <v>231</v>
      </c>
      <c r="O106" s="15"/>
      <c r="P106" s="4" t="s">
        <v>1709</v>
      </c>
      <c r="S106" s="15" t="e" cm="1">
        <f t="array" aca="1" ref="S106" ca="1">COMMONMARKETCOUNT(H106:AV106)</f>
        <v>#NAME?</v>
      </c>
      <c r="T106" s="6" t="e" cm="1">
        <f t="array" aca="1" ref="T106" ca="1">AUTOMATEDCOUNT(H106:AV106)</f>
        <v>#NAME?</v>
      </c>
      <c r="V106" s="70" t="s">
        <v>19</v>
      </c>
      <c r="W106" s="70" t="s">
        <v>19</v>
      </c>
      <c r="X106" s="70" t="s">
        <v>19</v>
      </c>
      <c r="Y106" s="70" t="s">
        <v>19</v>
      </c>
      <c r="Z106" s="70" t="s">
        <v>19</v>
      </c>
      <c r="AA106" s="72" t="s">
        <v>19</v>
      </c>
      <c r="AB106" s="72" t="s">
        <v>19</v>
      </c>
      <c r="AC106" s="72" t="s">
        <v>19</v>
      </c>
      <c r="AD106" s="72" t="s">
        <v>19</v>
      </c>
      <c r="AE106" s="18" t="s">
        <v>19</v>
      </c>
      <c r="AF106" s="18" t="s">
        <v>19</v>
      </c>
      <c r="AG106" s="29" t="s">
        <v>19</v>
      </c>
      <c r="AH106" s="18" t="s">
        <v>19</v>
      </c>
      <c r="AI106" s="18" t="s">
        <v>19</v>
      </c>
      <c r="AJ106" s="18" t="s">
        <v>19</v>
      </c>
      <c r="AK106" s="18" t="s">
        <v>19</v>
      </c>
      <c r="AL106" s="18" t="s">
        <v>19</v>
      </c>
      <c r="AM106" s="18" t="s">
        <v>19</v>
      </c>
      <c r="AN106" s="18" t="s">
        <v>19</v>
      </c>
      <c r="AO106" s="18" t="s">
        <v>19</v>
      </c>
      <c r="AP106" s="18" t="s">
        <v>19</v>
      </c>
      <c r="AQ106" s="18" t="s">
        <v>19</v>
      </c>
      <c r="AR106" s="18" t="s">
        <v>19</v>
      </c>
      <c r="AS106" s="18" t="s">
        <v>19</v>
      </c>
      <c r="AT106" s="18" t="s">
        <v>19</v>
      </c>
      <c r="AU106" s="18" t="s">
        <v>3153</v>
      </c>
      <c r="AV106" s="36" t="s">
        <v>19</v>
      </c>
      <c r="AW106" s="16"/>
      <c r="AX106" s="16"/>
      <c r="AY106" s="16"/>
      <c r="AZ106" s="16"/>
      <c r="BA106" s="16"/>
      <c r="BB106" s="16"/>
      <c r="BC106" s="16"/>
      <c r="BD106" s="16"/>
      <c r="BE106" s="16"/>
      <c r="BF106" s="16"/>
      <c r="BG106" s="16"/>
      <c r="BH106" s="16"/>
      <c r="BI106" s="16"/>
      <c r="BJ106" s="16"/>
      <c r="BK106" s="16"/>
      <c r="BL106" s="16"/>
      <c r="BM106" s="16"/>
      <c r="BN106" s="16"/>
      <c r="BO106" s="16"/>
      <c r="BP106" s="16"/>
      <c r="BQ106" s="16"/>
      <c r="BR106" s="16"/>
      <c r="BS106" s="16"/>
      <c r="BT106" s="16"/>
      <c r="BU106" s="16"/>
      <c r="BV106" s="16"/>
      <c r="BW106" s="16"/>
      <c r="BX106" s="16"/>
      <c r="BY106" s="16"/>
      <c r="BZ106" s="16"/>
      <c r="CA106" s="16"/>
      <c r="CB106" s="16"/>
      <c r="CC106" s="16"/>
      <c r="CD106" s="16"/>
      <c r="CE106" s="16"/>
      <c r="CF106" s="16"/>
      <c r="CG106" s="16"/>
      <c r="CH106" s="16"/>
      <c r="CI106" s="16"/>
      <c r="CJ106" s="16"/>
      <c r="CK106" s="16"/>
      <c r="CL106" s="16"/>
      <c r="CM106" s="16"/>
      <c r="CN106" s="16"/>
      <c r="CO106" s="16"/>
      <c r="CP106" s="16"/>
      <c r="CQ106" s="16"/>
      <c r="CR106" s="16"/>
      <c r="CS106" s="16"/>
      <c r="CT106" s="16"/>
      <c r="CU106" s="16"/>
      <c r="CV106" s="16"/>
      <c r="CW106" s="16"/>
      <c r="CX106" s="16"/>
      <c r="CY106" s="16"/>
      <c r="CZ106" s="16"/>
      <c r="DA106" s="16"/>
      <c r="DB106" s="16"/>
      <c r="DC106" s="16"/>
      <c r="DD106" s="16"/>
      <c r="DE106" s="16"/>
      <c r="DF106" s="16"/>
      <c r="DG106" s="16"/>
      <c r="DH106" s="16"/>
      <c r="DI106" s="16"/>
      <c r="DJ106" s="16"/>
      <c r="DK106" s="16"/>
      <c r="DL106" s="16"/>
      <c r="DM106" s="16"/>
      <c r="DN106" s="16"/>
      <c r="DO106" s="16"/>
      <c r="DP106" s="16"/>
      <c r="DQ106" s="16"/>
      <c r="DR106" s="16"/>
      <c r="DS106" s="16"/>
      <c r="DT106" s="16"/>
      <c r="DU106" s="16"/>
      <c r="DV106" s="16"/>
      <c r="DW106" s="16"/>
      <c r="DX106" s="16"/>
      <c r="DY106" s="16"/>
      <c r="DZ106" s="16"/>
      <c r="EA106" s="16"/>
      <c r="EB106" s="16"/>
      <c r="EC106" s="16"/>
      <c r="ED106" s="16"/>
      <c r="EE106" s="16"/>
      <c r="EF106" s="16"/>
      <c r="EG106" s="16"/>
      <c r="EH106" s="16"/>
      <c r="EI106" s="16"/>
      <c r="EJ106" s="16"/>
      <c r="EK106" s="16"/>
      <c r="EL106" s="16"/>
      <c r="EM106" s="16"/>
      <c r="EN106" s="16"/>
      <c r="EO106" s="16"/>
      <c r="EP106" s="16"/>
      <c r="EQ106" s="16"/>
      <c r="ER106" s="16"/>
      <c r="ES106" s="16"/>
      <c r="ET106" s="16"/>
      <c r="EU106" s="16"/>
      <c r="EV106" s="16"/>
      <c r="EW106" s="16"/>
      <c r="EX106" s="16"/>
      <c r="EY106" s="16"/>
      <c r="EZ106" s="16"/>
      <c r="FA106" s="16"/>
      <c r="FB106" s="16"/>
      <c r="FC106" s="16"/>
      <c r="FD106" s="16"/>
      <c r="FE106" s="16"/>
      <c r="FF106" s="16"/>
      <c r="FG106" s="16"/>
      <c r="FH106" s="16"/>
      <c r="FI106" s="16"/>
      <c r="FJ106" s="16"/>
      <c r="FK106" s="16"/>
      <c r="FL106" s="16"/>
      <c r="FM106" s="16"/>
      <c r="FN106" s="16"/>
      <c r="FO106" s="16"/>
      <c r="FP106" s="16"/>
      <c r="FQ106" s="16"/>
      <c r="FR106" s="16"/>
      <c r="FS106" s="16"/>
      <c r="FT106" s="16"/>
      <c r="FU106" s="16"/>
      <c r="FV106" s="16"/>
      <c r="FW106" s="16"/>
      <c r="FX106" s="16"/>
      <c r="FY106" s="16"/>
      <c r="FZ106" s="16"/>
      <c r="GA106" s="16"/>
      <c r="GB106" s="16"/>
      <c r="GC106" s="16"/>
      <c r="GD106" s="16"/>
      <c r="GE106" s="16"/>
      <c r="GF106" s="16"/>
      <c r="GG106" s="16"/>
      <c r="GH106" s="16"/>
      <c r="GI106" s="16"/>
      <c r="GJ106" s="16"/>
      <c r="GK106" s="16"/>
      <c r="GL106" s="16"/>
      <c r="GM106" s="16"/>
      <c r="GN106" s="16"/>
      <c r="GO106" s="16"/>
      <c r="GP106" s="16"/>
      <c r="GQ106" s="16"/>
      <c r="GR106" s="16"/>
      <c r="GS106" s="16"/>
      <c r="GT106" s="16"/>
      <c r="GU106" s="16"/>
      <c r="GV106" s="16"/>
      <c r="GW106" s="16"/>
      <c r="GX106" s="16"/>
      <c r="GY106" s="16"/>
      <c r="GZ106" s="16"/>
      <c r="HA106" s="16"/>
      <c r="HB106" s="16"/>
      <c r="HC106" s="16"/>
      <c r="HD106" s="16"/>
      <c r="HE106" s="16"/>
      <c r="HF106" s="16"/>
      <c r="HG106" s="16"/>
      <c r="HH106" s="16"/>
      <c r="HI106" s="16"/>
      <c r="HJ106" s="16"/>
      <c r="HK106" s="16"/>
      <c r="HL106" s="16"/>
      <c r="HM106" s="16"/>
      <c r="HN106" s="16"/>
      <c r="HO106" s="16"/>
      <c r="HP106" s="16"/>
      <c r="HQ106" s="16"/>
      <c r="HR106" s="16"/>
      <c r="HS106" s="16"/>
      <c r="HT106" s="16"/>
      <c r="HU106" s="16"/>
      <c r="HV106" s="16"/>
      <c r="HW106" s="16"/>
      <c r="HX106" s="16"/>
      <c r="HY106" s="16"/>
      <c r="HZ106" s="16"/>
      <c r="IA106" s="16"/>
      <c r="IB106" s="16"/>
      <c r="IC106" s="16"/>
      <c r="ID106" s="16"/>
      <c r="IE106" s="16"/>
      <c r="IF106" s="16"/>
      <c r="IG106" s="16"/>
      <c r="IH106" s="16"/>
      <c r="II106" s="16"/>
      <c r="IJ106" s="16"/>
      <c r="IK106" s="16"/>
      <c r="IL106" s="16"/>
      <c r="IM106" s="16"/>
      <c r="IN106" s="16"/>
      <c r="IO106" s="16"/>
      <c r="IP106" s="16"/>
      <c r="IQ106" s="16"/>
      <c r="IR106" s="16"/>
      <c r="IS106" s="16"/>
      <c r="IT106" s="16"/>
      <c r="IU106" s="16"/>
      <c r="IV106" s="16"/>
      <c r="IW106" s="16"/>
      <c r="IX106" s="16"/>
      <c r="IY106" s="16"/>
      <c r="IZ106" s="16"/>
      <c r="JA106" s="16"/>
      <c r="JB106" s="16"/>
      <c r="JC106" s="16"/>
      <c r="JD106" s="16"/>
    </row>
    <row r="107" spans="1:264" ht="70.5" customHeight="1" x14ac:dyDescent="0.3">
      <c r="A107" s="15" t="s">
        <v>18</v>
      </c>
      <c r="B107" s="15" t="s">
        <v>24</v>
      </c>
      <c r="C107" s="15" t="s">
        <v>232</v>
      </c>
      <c r="D107" s="15" t="s">
        <v>19</v>
      </c>
      <c r="E107" s="70" t="s">
        <v>19</v>
      </c>
      <c r="F107" s="70" t="s">
        <v>19</v>
      </c>
      <c r="G107" s="20" t="s">
        <v>19</v>
      </c>
      <c r="H107" s="20" t="s">
        <v>19</v>
      </c>
      <c r="I107" s="29" t="s">
        <v>19</v>
      </c>
      <c r="J107" s="29" t="s">
        <v>19</v>
      </c>
      <c r="K107" s="72" t="s">
        <v>19</v>
      </c>
      <c r="L107" s="72" t="s">
        <v>19</v>
      </c>
      <c r="M107" s="15" t="s">
        <v>2895</v>
      </c>
      <c r="N107" s="4" t="s">
        <v>231</v>
      </c>
      <c r="O107" s="15"/>
      <c r="P107" s="4" t="s">
        <v>1710</v>
      </c>
      <c r="S107" s="15" t="e" cm="1">
        <f t="array" aca="1" ref="S107" ca="1">COMMONMARKETCOUNT(H107:AV107)</f>
        <v>#NAME?</v>
      </c>
      <c r="T107" s="6" t="e" cm="1">
        <f t="array" aca="1" ref="T107" ca="1">AUTOMATEDCOUNT(H107:AV107)</f>
        <v>#NAME?</v>
      </c>
      <c r="V107" s="70" t="s">
        <v>19</v>
      </c>
      <c r="W107" s="29" t="s">
        <v>19</v>
      </c>
      <c r="X107" s="70" t="s">
        <v>19</v>
      </c>
      <c r="Y107" s="70" t="s">
        <v>19</v>
      </c>
      <c r="Z107" s="70" t="s">
        <v>19</v>
      </c>
      <c r="AA107" s="29" t="s">
        <v>19</v>
      </c>
      <c r="AB107" s="29" t="s">
        <v>19</v>
      </c>
      <c r="AC107" s="29" t="s">
        <v>19</v>
      </c>
      <c r="AD107" s="29" t="s">
        <v>19</v>
      </c>
      <c r="AE107" s="18" t="s">
        <v>19</v>
      </c>
      <c r="AF107" s="18" t="s">
        <v>19</v>
      </c>
      <c r="AG107" s="29" t="s">
        <v>19</v>
      </c>
      <c r="AH107" s="18" t="s">
        <v>19</v>
      </c>
      <c r="AI107" s="18" t="s">
        <v>19</v>
      </c>
      <c r="AJ107" s="18" t="s">
        <v>19</v>
      </c>
      <c r="AK107" s="18" t="s">
        <v>19</v>
      </c>
      <c r="AL107" s="18" t="s">
        <v>19</v>
      </c>
      <c r="AM107" s="18" t="s">
        <v>19</v>
      </c>
      <c r="AN107" s="18" t="s">
        <v>19</v>
      </c>
      <c r="AO107" s="18" t="s">
        <v>19</v>
      </c>
      <c r="AP107" s="18" t="s">
        <v>19</v>
      </c>
      <c r="AQ107" s="18" t="s">
        <v>19</v>
      </c>
      <c r="AR107" s="18" t="s">
        <v>19</v>
      </c>
      <c r="AS107" s="18" t="s">
        <v>19</v>
      </c>
      <c r="AT107" s="18" t="s">
        <v>19</v>
      </c>
      <c r="AU107" s="18" t="s">
        <v>3153</v>
      </c>
      <c r="AV107" s="36" t="s">
        <v>19</v>
      </c>
    </row>
    <row r="108" spans="1:264" ht="70.5" hidden="1" customHeight="1" x14ac:dyDescent="0.3">
      <c r="A108" s="15" t="s">
        <v>18</v>
      </c>
      <c r="B108" s="15" t="s">
        <v>55</v>
      </c>
      <c r="C108" s="15" t="s">
        <v>932</v>
      </c>
      <c r="D108" s="15" t="s">
        <v>32</v>
      </c>
      <c r="E108" s="15" t="s">
        <v>19</v>
      </c>
      <c r="F108" s="15" t="s">
        <v>19</v>
      </c>
      <c r="G108" s="15" t="s">
        <v>19</v>
      </c>
      <c r="H108" s="15" t="s">
        <v>19</v>
      </c>
      <c r="I108" s="15" t="s">
        <v>19</v>
      </c>
      <c r="J108" s="15" t="s">
        <v>19</v>
      </c>
      <c r="K108" s="15" t="s">
        <v>19</v>
      </c>
      <c r="L108" s="15" t="s">
        <v>19</v>
      </c>
      <c r="M108" s="15" t="s">
        <v>894</v>
      </c>
      <c r="N108" s="4" t="s">
        <v>895</v>
      </c>
      <c r="O108" s="33" t="s">
        <v>1645</v>
      </c>
      <c r="P108" s="4" t="s">
        <v>1710</v>
      </c>
      <c r="S108" s="15" t="e" cm="1">
        <f t="array" aca="1" ref="S108" ca="1">COMMONMARKETCOUNT(H108:AV108)</f>
        <v>#NAME?</v>
      </c>
      <c r="T108" s="6" t="e" cm="1">
        <f t="array" aca="1" ref="T108" ca="1">AUTOMATEDCOUNT(H108:AV108)</f>
        <v>#NAME?</v>
      </c>
      <c r="V108" s="15" t="s">
        <v>19</v>
      </c>
      <c r="W108" s="15" t="s">
        <v>19</v>
      </c>
      <c r="X108" s="15" t="s">
        <v>19</v>
      </c>
      <c r="Y108" s="15" t="s">
        <v>19</v>
      </c>
      <c r="Z108" s="15" t="s">
        <v>19</v>
      </c>
      <c r="AA108" s="15" t="s">
        <v>19</v>
      </c>
      <c r="AB108" s="15" t="s">
        <v>19</v>
      </c>
      <c r="AC108" s="15" t="s">
        <v>19</v>
      </c>
      <c r="AD108" s="18" t="s">
        <v>19</v>
      </c>
      <c r="AE108" s="18" t="s">
        <v>19</v>
      </c>
      <c r="AF108" s="15" t="s">
        <v>19</v>
      </c>
      <c r="AG108" s="15" t="s">
        <v>19</v>
      </c>
      <c r="AH108" s="15" t="s">
        <v>19</v>
      </c>
      <c r="AI108" s="15" t="s">
        <v>19</v>
      </c>
      <c r="AJ108" s="15" t="s">
        <v>19</v>
      </c>
      <c r="AK108" s="15" t="s">
        <v>19</v>
      </c>
      <c r="AL108" s="15" t="s">
        <v>19</v>
      </c>
      <c r="AM108" s="15" t="s">
        <v>19</v>
      </c>
      <c r="AN108" s="15" t="s">
        <v>19</v>
      </c>
      <c r="AO108" s="15" t="s">
        <v>19</v>
      </c>
      <c r="AP108" s="15" t="s">
        <v>19</v>
      </c>
      <c r="AQ108" s="15" t="s">
        <v>19</v>
      </c>
      <c r="AR108" s="15" t="s">
        <v>19</v>
      </c>
      <c r="AS108" s="15" t="s">
        <v>19</v>
      </c>
      <c r="AT108" s="15" t="s">
        <v>19</v>
      </c>
      <c r="AU108" s="15" t="s">
        <v>3153</v>
      </c>
      <c r="AV108" s="36" t="s">
        <v>19</v>
      </c>
      <c r="AW108" s="5"/>
      <c r="AX108" s="5"/>
      <c r="AY108" s="5"/>
      <c r="AZ108" s="5"/>
      <c r="BA108" s="5"/>
      <c r="BB108" s="5"/>
      <c r="BC108" s="5"/>
      <c r="BD108" s="5"/>
      <c r="BE108" s="5"/>
      <c r="BF108" s="5"/>
      <c r="BG108" s="5"/>
      <c r="BH108" s="5"/>
      <c r="BI108" s="5"/>
      <c r="BJ108" s="5"/>
      <c r="BK108" s="5"/>
      <c r="BL108" s="5"/>
      <c r="BM108" s="5"/>
      <c r="BN108" s="5"/>
      <c r="BO108" s="5"/>
      <c r="BP108" s="5"/>
      <c r="BQ108" s="5"/>
      <c r="BR108" s="5"/>
      <c r="BS108" s="5"/>
      <c r="BT108" s="5"/>
      <c r="BU108" s="5"/>
      <c r="BV108" s="5"/>
      <c r="BW108" s="5"/>
      <c r="BX108" s="5"/>
      <c r="BY108" s="5"/>
      <c r="BZ108" s="5"/>
      <c r="CA108" s="5"/>
      <c r="CB108" s="5"/>
      <c r="CC108" s="5"/>
      <c r="CD108" s="5"/>
      <c r="CE108" s="5"/>
      <c r="CF108" s="5"/>
      <c r="CG108" s="5"/>
      <c r="CH108" s="5"/>
      <c r="CI108" s="5"/>
      <c r="CJ108" s="5"/>
      <c r="CK108" s="5"/>
      <c r="CL108" s="5"/>
      <c r="CM108" s="5"/>
      <c r="CN108" s="5"/>
      <c r="CO108" s="5"/>
      <c r="CP108" s="5"/>
      <c r="CQ108" s="5"/>
      <c r="CR108" s="5"/>
      <c r="CS108" s="5"/>
      <c r="CT108" s="5"/>
      <c r="CU108" s="5"/>
      <c r="CV108" s="5"/>
      <c r="CW108" s="5"/>
      <c r="CX108" s="5"/>
      <c r="CY108" s="5"/>
      <c r="CZ108" s="5"/>
      <c r="DA108" s="5"/>
      <c r="DB108" s="5"/>
      <c r="DC108" s="5"/>
      <c r="DD108" s="5"/>
      <c r="DE108" s="5"/>
      <c r="DF108" s="5"/>
      <c r="DG108" s="5"/>
      <c r="DH108" s="5"/>
      <c r="DI108" s="5"/>
      <c r="DJ108" s="5"/>
      <c r="DK108" s="5"/>
      <c r="DL108" s="5"/>
      <c r="DM108" s="5"/>
      <c r="DN108" s="5"/>
      <c r="DO108" s="5"/>
      <c r="DP108" s="5"/>
      <c r="DQ108" s="5"/>
      <c r="DR108" s="5"/>
      <c r="DS108" s="5"/>
      <c r="DT108" s="5"/>
      <c r="DU108" s="5"/>
      <c r="DV108" s="5"/>
      <c r="DW108" s="5"/>
      <c r="DX108" s="5"/>
      <c r="DY108" s="5"/>
      <c r="DZ108" s="5"/>
      <c r="EA108" s="5"/>
      <c r="EB108" s="5"/>
      <c r="EC108" s="5"/>
      <c r="ED108" s="5"/>
      <c r="EE108" s="5"/>
      <c r="EF108" s="5"/>
      <c r="EG108" s="5"/>
      <c r="EH108" s="5"/>
      <c r="EI108" s="5"/>
      <c r="EJ108" s="5"/>
      <c r="EK108" s="5"/>
      <c r="EL108" s="5"/>
      <c r="EM108" s="5"/>
      <c r="EN108" s="5"/>
      <c r="EO108" s="5"/>
      <c r="EP108" s="5"/>
      <c r="EQ108" s="5"/>
      <c r="ER108" s="5"/>
      <c r="ES108" s="5"/>
      <c r="ET108" s="5"/>
      <c r="EU108" s="5"/>
      <c r="EV108" s="5"/>
      <c r="EW108" s="5"/>
      <c r="EX108" s="5"/>
      <c r="EY108" s="5"/>
      <c r="EZ108" s="5"/>
      <c r="FA108" s="5"/>
      <c r="FB108" s="5"/>
      <c r="FC108" s="5"/>
      <c r="FD108" s="5"/>
      <c r="FE108" s="5"/>
      <c r="FF108" s="5"/>
      <c r="FG108" s="5"/>
      <c r="FH108" s="5"/>
      <c r="FI108" s="5"/>
      <c r="FJ108" s="5"/>
      <c r="FK108" s="5"/>
      <c r="FL108" s="5"/>
      <c r="FM108" s="5"/>
      <c r="FN108" s="5"/>
      <c r="FO108" s="5"/>
      <c r="FP108" s="5"/>
      <c r="FQ108" s="5"/>
      <c r="FR108" s="5"/>
      <c r="FS108" s="5"/>
      <c r="FT108" s="5"/>
      <c r="FU108" s="5"/>
      <c r="FV108" s="5"/>
      <c r="FW108" s="5"/>
      <c r="FX108" s="5"/>
      <c r="FY108" s="5"/>
      <c r="FZ108" s="5"/>
      <c r="GA108" s="5"/>
      <c r="GB108" s="5"/>
      <c r="GC108" s="5"/>
      <c r="GD108" s="5"/>
      <c r="GE108" s="5"/>
      <c r="GF108" s="5"/>
      <c r="GG108" s="5"/>
      <c r="GH108" s="5"/>
      <c r="GI108" s="5"/>
      <c r="GJ108" s="5"/>
      <c r="GK108" s="5"/>
      <c r="GL108" s="5"/>
      <c r="GM108" s="5"/>
      <c r="GN108" s="5"/>
      <c r="GO108" s="5"/>
      <c r="GP108" s="5"/>
      <c r="GQ108" s="5"/>
      <c r="GR108" s="5"/>
      <c r="GS108" s="5"/>
      <c r="GT108" s="5"/>
      <c r="GU108" s="5"/>
      <c r="GV108" s="5"/>
      <c r="GW108" s="5"/>
      <c r="GX108" s="5"/>
      <c r="GY108" s="5"/>
      <c r="GZ108" s="5"/>
      <c r="HA108" s="5"/>
      <c r="HB108" s="5"/>
      <c r="HC108" s="5"/>
      <c r="HD108" s="5"/>
      <c r="HE108" s="5"/>
      <c r="HF108" s="5"/>
      <c r="HG108" s="5"/>
      <c r="HH108" s="5"/>
      <c r="HI108" s="5"/>
      <c r="HJ108" s="5"/>
      <c r="HK108" s="5"/>
      <c r="HL108" s="5"/>
      <c r="HM108" s="5"/>
      <c r="HN108" s="5"/>
      <c r="HO108" s="5"/>
      <c r="HP108" s="5"/>
      <c r="HQ108" s="5"/>
      <c r="HR108" s="5"/>
      <c r="HS108" s="5"/>
      <c r="HT108" s="5"/>
      <c r="HU108" s="5"/>
      <c r="HV108" s="5"/>
      <c r="HW108" s="5"/>
      <c r="HX108" s="5"/>
      <c r="HY108" s="5"/>
      <c r="HZ108" s="5"/>
      <c r="IA108" s="5"/>
      <c r="IB108" s="5"/>
      <c r="IC108" s="5"/>
      <c r="ID108" s="5"/>
      <c r="IE108" s="5"/>
      <c r="IF108" s="5"/>
      <c r="IG108" s="5"/>
      <c r="IH108" s="5"/>
      <c r="II108" s="5"/>
      <c r="IJ108" s="5"/>
      <c r="IK108" s="5"/>
      <c r="IL108" s="5"/>
      <c r="IM108" s="5"/>
      <c r="IN108" s="5"/>
      <c r="IO108" s="5"/>
      <c r="IP108" s="5"/>
      <c r="IQ108" s="5"/>
      <c r="IR108" s="5"/>
      <c r="IS108" s="5"/>
      <c r="IT108" s="5"/>
      <c r="IU108" s="5"/>
      <c r="IV108" s="5"/>
      <c r="IW108" s="5"/>
      <c r="IX108" s="5"/>
      <c r="IY108" s="5"/>
      <c r="IZ108" s="5"/>
      <c r="JA108" s="5"/>
      <c r="JB108" s="5"/>
      <c r="JC108" s="5"/>
      <c r="JD108" s="5"/>
    </row>
    <row r="109" spans="1:264" ht="70.5" hidden="1" customHeight="1" x14ac:dyDescent="0.3">
      <c r="A109" s="15" t="s">
        <v>25</v>
      </c>
      <c r="B109" s="15" t="s">
        <v>37</v>
      </c>
      <c r="C109" s="15" t="s">
        <v>233</v>
      </c>
      <c r="D109" s="15" t="s">
        <v>19</v>
      </c>
      <c r="E109" s="70" t="s">
        <v>19</v>
      </c>
      <c r="F109" s="70" t="s">
        <v>19</v>
      </c>
      <c r="G109" s="70" t="s">
        <v>19</v>
      </c>
      <c r="H109" s="70" t="s">
        <v>3178</v>
      </c>
      <c r="I109" s="72" t="s">
        <v>19</v>
      </c>
      <c r="J109" s="72" t="s">
        <v>19</v>
      </c>
      <c r="K109" s="72" t="s">
        <v>19</v>
      </c>
      <c r="L109" s="72" t="s">
        <v>19</v>
      </c>
      <c r="M109" s="15" t="s">
        <v>1711</v>
      </c>
      <c r="N109" s="4" t="s">
        <v>1514</v>
      </c>
      <c r="O109" s="15"/>
      <c r="P109" s="4" t="s">
        <v>3027</v>
      </c>
      <c r="S109" s="15" t="e" cm="1">
        <f t="array" aca="1" ref="S109" ca="1">COMMONMARKETCOUNT(H109:AV109)</f>
        <v>#NAME?</v>
      </c>
      <c r="T109" s="6" t="e" cm="1">
        <f t="array" aca="1" ref="T109" ca="1">AUTOMATEDCOUNT(H109:AV109)</f>
        <v>#NAME?</v>
      </c>
      <c r="V109" s="70" t="s">
        <v>19</v>
      </c>
      <c r="W109" s="70" t="s">
        <v>19</v>
      </c>
      <c r="X109" s="70" t="s">
        <v>19</v>
      </c>
      <c r="Y109" s="70" t="s">
        <v>19</v>
      </c>
      <c r="Z109" s="70" t="s">
        <v>19</v>
      </c>
      <c r="AA109" s="72" t="s">
        <v>19</v>
      </c>
      <c r="AB109" s="72" t="s">
        <v>19</v>
      </c>
      <c r="AC109" s="72" t="s">
        <v>19</v>
      </c>
      <c r="AD109" s="70" t="s">
        <v>19</v>
      </c>
      <c r="AE109" s="15" t="s">
        <v>19</v>
      </c>
      <c r="AF109" s="18" t="s">
        <v>19</v>
      </c>
      <c r="AG109" s="29" t="s">
        <v>19</v>
      </c>
      <c r="AH109" s="18" t="s">
        <v>19</v>
      </c>
      <c r="AI109" s="18" t="s">
        <v>19</v>
      </c>
      <c r="AJ109" s="18" t="s">
        <v>19</v>
      </c>
      <c r="AK109" s="18" t="s">
        <v>19</v>
      </c>
      <c r="AL109" s="18" t="s">
        <v>19</v>
      </c>
      <c r="AM109" s="18" t="s">
        <v>19</v>
      </c>
      <c r="AN109" s="18" t="s">
        <v>19</v>
      </c>
      <c r="AO109" s="18" t="s">
        <v>19</v>
      </c>
      <c r="AP109" s="18" t="s">
        <v>19</v>
      </c>
      <c r="AQ109" s="18" t="s">
        <v>19</v>
      </c>
      <c r="AR109" s="18" t="s">
        <v>19</v>
      </c>
      <c r="AS109" s="70" t="s">
        <v>19</v>
      </c>
      <c r="AT109" s="72" t="s">
        <v>19</v>
      </c>
      <c r="AU109" s="29" t="s">
        <v>3153</v>
      </c>
      <c r="AV109" s="36" t="s">
        <v>19</v>
      </c>
    </row>
    <row r="110" spans="1:264" ht="70.5" hidden="1" customHeight="1" x14ac:dyDescent="0.3">
      <c r="A110" s="15" t="s">
        <v>25</v>
      </c>
      <c r="B110" s="118" t="s">
        <v>237</v>
      </c>
      <c r="C110" s="118" t="s">
        <v>234</v>
      </c>
      <c r="D110" s="15" t="s">
        <v>19</v>
      </c>
      <c r="E110" s="20" t="s">
        <v>19</v>
      </c>
      <c r="F110" s="117" t="s">
        <v>3191</v>
      </c>
      <c r="G110" s="15" t="s">
        <v>19</v>
      </c>
      <c r="H110" s="119" t="s">
        <v>3184</v>
      </c>
      <c r="I110" s="15" t="s">
        <v>19</v>
      </c>
      <c r="J110" s="15" t="s">
        <v>19</v>
      </c>
      <c r="K110" s="15" t="s">
        <v>19</v>
      </c>
      <c r="L110" s="15" t="s">
        <v>19</v>
      </c>
      <c r="M110" s="15" t="s">
        <v>2896</v>
      </c>
      <c r="N110" s="4" t="s">
        <v>235</v>
      </c>
      <c r="O110" s="15"/>
      <c r="P110" s="4" t="s">
        <v>1012</v>
      </c>
      <c r="S110" s="15" t="e" cm="1">
        <f t="array" aca="1" ref="S110" ca="1">COMMONMARKETCOUNT(H110:AV110)</f>
        <v>#NAME?</v>
      </c>
      <c r="T110" s="6" t="e" cm="1">
        <f t="array" aca="1" ref="T110" ca="1">AUTOMATEDCOUNT(H110:AV110)</f>
        <v>#NAME?</v>
      </c>
      <c r="V110" s="15" t="s">
        <v>109</v>
      </c>
      <c r="W110" s="15" t="s">
        <v>109</v>
      </c>
      <c r="X110" s="20" t="s">
        <v>19</v>
      </c>
      <c r="Y110" s="20" t="s">
        <v>19</v>
      </c>
      <c r="Z110" s="20" t="s">
        <v>19</v>
      </c>
      <c r="AA110" s="15" t="s">
        <v>19</v>
      </c>
      <c r="AB110" s="15" t="s">
        <v>19</v>
      </c>
      <c r="AC110" s="15" t="s">
        <v>19</v>
      </c>
      <c r="AD110" s="18" t="s">
        <v>19</v>
      </c>
      <c r="AE110" s="18" t="s">
        <v>19</v>
      </c>
      <c r="AF110" s="15" t="s">
        <v>109</v>
      </c>
      <c r="AG110" s="15" t="s">
        <v>109</v>
      </c>
      <c r="AH110" s="15" t="s">
        <v>109</v>
      </c>
      <c r="AI110" s="15" t="s">
        <v>109</v>
      </c>
      <c r="AJ110" s="15" t="s">
        <v>109</v>
      </c>
      <c r="AK110" s="15" t="s">
        <v>109</v>
      </c>
      <c r="AL110" s="15" t="s">
        <v>109</v>
      </c>
      <c r="AM110" s="15" t="s">
        <v>109</v>
      </c>
      <c r="AN110" s="18" t="s">
        <v>109</v>
      </c>
      <c r="AO110" s="18" t="s">
        <v>109</v>
      </c>
      <c r="AP110" s="18" t="s">
        <v>19</v>
      </c>
      <c r="AQ110" s="18" t="s">
        <v>19</v>
      </c>
      <c r="AR110" s="18" t="s">
        <v>19</v>
      </c>
      <c r="AS110" s="18" t="s">
        <v>19</v>
      </c>
      <c r="AT110" s="18" t="s">
        <v>19</v>
      </c>
      <c r="AU110" s="15" t="s">
        <v>109</v>
      </c>
      <c r="AV110" s="36" t="s">
        <v>19</v>
      </c>
    </row>
    <row r="111" spans="1:264" ht="70.5" hidden="1" customHeight="1" x14ac:dyDescent="0.3">
      <c r="A111" s="15" t="s">
        <v>25</v>
      </c>
      <c r="B111" s="15" t="s">
        <v>239</v>
      </c>
      <c r="C111" s="15" t="s">
        <v>238</v>
      </c>
      <c r="D111" s="15" t="s">
        <v>19</v>
      </c>
      <c r="E111" s="70" t="s">
        <v>19</v>
      </c>
      <c r="F111" s="70" t="s">
        <v>3178</v>
      </c>
      <c r="G111" s="15" t="s">
        <v>19</v>
      </c>
      <c r="H111" s="119" t="s">
        <v>3184</v>
      </c>
      <c r="I111" s="72" t="s">
        <v>19</v>
      </c>
      <c r="J111" s="72" t="s">
        <v>19</v>
      </c>
      <c r="K111" s="18" t="s">
        <v>19</v>
      </c>
      <c r="L111" s="18" t="s">
        <v>19</v>
      </c>
      <c r="M111" s="15" t="s">
        <v>2897</v>
      </c>
      <c r="N111" s="4" t="s">
        <v>1515</v>
      </c>
      <c r="O111" s="15"/>
      <c r="P111" s="4" t="s">
        <v>3028</v>
      </c>
      <c r="S111" s="15" t="e" cm="1">
        <f t="array" aca="1" ref="S111" ca="1">COMMONMARKETCOUNT(H111:AV111)</f>
        <v>#NAME?</v>
      </c>
      <c r="T111" s="6" t="e" cm="1">
        <f t="array" aca="1" ref="T111" ca="1">AUTOMATEDCOUNT(H111:AV111)</f>
        <v>#NAME?</v>
      </c>
      <c r="V111" s="15" t="s">
        <v>109</v>
      </c>
      <c r="W111" s="15" t="s">
        <v>109</v>
      </c>
      <c r="X111" s="70" t="s">
        <v>19</v>
      </c>
      <c r="Y111" s="70" t="s">
        <v>19</v>
      </c>
      <c r="Z111" s="70" t="s">
        <v>19</v>
      </c>
      <c r="AA111" s="72" t="s">
        <v>19</v>
      </c>
      <c r="AB111" s="72" t="s">
        <v>19</v>
      </c>
      <c r="AC111" s="72" t="s">
        <v>19</v>
      </c>
      <c r="AD111" s="70" t="s">
        <v>19</v>
      </c>
      <c r="AE111" s="15" t="s">
        <v>19</v>
      </c>
      <c r="AF111" s="15" t="s">
        <v>109</v>
      </c>
      <c r="AG111" s="18" t="s">
        <v>109</v>
      </c>
      <c r="AH111" s="18" t="s">
        <v>109</v>
      </c>
      <c r="AI111" s="18" t="s">
        <v>109</v>
      </c>
      <c r="AJ111" s="18" t="s">
        <v>109</v>
      </c>
      <c r="AK111" s="18" t="s">
        <v>109</v>
      </c>
      <c r="AL111" s="18" t="s">
        <v>109</v>
      </c>
      <c r="AM111" s="18" t="s">
        <v>109</v>
      </c>
      <c r="AN111" s="18" t="s">
        <v>109</v>
      </c>
      <c r="AO111" s="18" t="s">
        <v>109</v>
      </c>
      <c r="AP111" s="18" t="s">
        <v>19</v>
      </c>
      <c r="AQ111" s="18" t="s">
        <v>19</v>
      </c>
      <c r="AR111" s="18" t="s">
        <v>19</v>
      </c>
      <c r="AS111" s="18" t="s">
        <v>19</v>
      </c>
      <c r="AT111" s="18" t="s">
        <v>19</v>
      </c>
      <c r="AU111" s="18" t="s">
        <v>109</v>
      </c>
      <c r="AV111" s="36" t="s">
        <v>19</v>
      </c>
    </row>
    <row r="112" spans="1:264" ht="70.5" hidden="1" customHeight="1" x14ac:dyDescent="0.3">
      <c r="A112" s="15" t="s">
        <v>25</v>
      </c>
      <c r="B112" s="15" t="s">
        <v>239</v>
      </c>
      <c r="C112" s="15" t="s">
        <v>240</v>
      </c>
      <c r="D112" s="15" t="s">
        <v>32</v>
      </c>
      <c r="E112" s="15" t="s">
        <v>19</v>
      </c>
      <c r="F112" s="15" t="s">
        <v>19</v>
      </c>
      <c r="G112" s="15" t="s">
        <v>19</v>
      </c>
      <c r="H112" s="15" t="s">
        <v>19</v>
      </c>
      <c r="I112" s="15" t="s">
        <v>19</v>
      </c>
      <c r="J112" s="15" t="s">
        <v>19</v>
      </c>
      <c r="K112" s="15" t="s">
        <v>19</v>
      </c>
      <c r="L112" s="15" t="s">
        <v>19</v>
      </c>
      <c r="M112" s="15" t="s">
        <v>2280</v>
      </c>
      <c r="N112" s="4" t="s">
        <v>1712</v>
      </c>
      <c r="O112" s="15"/>
      <c r="P112" s="4" t="s">
        <v>1013</v>
      </c>
      <c r="S112" s="15" t="e" cm="1">
        <f t="array" aca="1" ref="S112" ca="1">COMMONMARKETCOUNT(H112:AV112)</f>
        <v>#NAME?</v>
      </c>
      <c r="T112" s="6" t="e" cm="1">
        <f t="array" aca="1" ref="T112" ca="1">AUTOMATEDCOUNT(H112:AV112)</f>
        <v>#NAME?</v>
      </c>
      <c r="V112" s="15" t="s">
        <v>109</v>
      </c>
      <c r="W112" s="15" t="s">
        <v>109</v>
      </c>
      <c r="X112" s="15" t="s">
        <v>19</v>
      </c>
      <c r="Y112" s="15" t="s">
        <v>19</v>
      </c>
      <c r="Z112" s="15" t="s">
        <v>19</v>
      </c>
      <c r="AA112" s="15" t="s">
        <v>19</v>
      </c>
      <c r="AB112" s="15" t="s">
        <v>19</v>
      </c>
      <c r="AC112" s="15" t="s">
        <v>19</v>
      </c>
      <c r="AD112" s="18" t="s">
        <v>19</v>
      </c>
      <c r="AE112" s="18" t="s">
        <v>19</v>
      </c>
      <c r="AF112" s="15" t="s">
        <v>109</v>
      </c>
      <c r="AG112" s="15" t="s">
        <v>109</v>
      </c>
      <c r="AH112" s="15" t="s">
        <v>109</v>
      </c>
      <c r="AI112" s="15" t="s">
        <v>109</v>
      </c>
      <c r="AJ112" s="15" t="s">
        <v>109</v>
      </c>
      <c r="AK112" s="15" t="s">
        <v>109</v>
      </c>
      <c r="AL112" s="15" t="s">
        <v>109</v>
      </c>
      <c r="AM112" s="15" t="s">
        <v>109</v>
      </c>
      <c r="AN112" s="18" t="s">
        <v>109</v>
      </c>
      <c r="AO112" s="18" t="s">
        <v>109</v>
      </c>
      <c r="AP112" s="18" t="s">
        <v>19</v>
      </c>
      <c r="AQ112" s="18" t="s">
        <v>19</v>
      </c>
      <c r="AR112" s="18" t="s">
        <v>19</v>
      </c>
      <c r="AS112" s="18" t="s">
        <v>19</v>
      </c>
      <c r="AT112" s="18" t="s">
        <v>19</v>
      </c>
      <c r="AU112" s="15" t="s">
        <v>109</v>
      </c>
      <c r="AV112" s="36" t="s">
        <v>19</v>
      </c>
    </row>
    <row r="113" spans="1:264" ht="70.5" hidden="1" customHeight="1" x14ac:dyDescent="0.3">
      <c r="A113" s="15" t="s">
        <v>25</v>
      </c>
      <c r="B113" s="15" t="s">
        <v>239</v>
      </c>
      <c r="C113" s="15" t="s">
        <v>241</v>
      </c>
      <c r="D113" s="15" t="s">
        <v>19</v>
      </c>
      <c r="E113" s="70" t="s">
        <v>19</v>
      </c>
      <c r="F113" s="20" t="s">
        <v>3181</v>
      </c>
      <c r="G113" s="70" t="s">
        <v>19</v>
      </c>
      <c r="H113" s="20" t="s">
        <v>3185</v>
      </c>
      <c r="I113" s="72" t="s">
        <v>19</v>
      </c>
      <c r="J113" s="72" t="s">
        <v>19</v>
      </c>
      <c r="K113" s="15" t="s">
        <v>19</v>
      </c>
      <c r="L113" s="15" t="s">
        <v>19</v>
      </c>
      <c r="M113" s="15" t="s">
        <v>2898</v>
      </c>
      <c r="N113" s="4" t="s">
        <v>1516</v>
      </c>
      <c r="O113" s="15"/>
      <c r="P113" s="4" t="s">
        <v>3029</v>
      </c>
      <c r="S113" s="15" t="e" cm="1">
        <f t="array" aca="1" ref="S113" ca="1">COMMONMARKETCOUNT(H113:AV113)</f>
        <v>#NAME?</v>
      </c>
      <c r="T113" s="6" t="e" cm="1">
        <f t="array" aca="1" ref="T113" ca="1">AUTOMATEDCOUNT(H113:AV113)</f>
        <v>#NAME?</v>
      </c>
      <c r="V113" s="15" t="s">
        <v>109</v>
      </c>
      <c r="W113" s="15" t="s">
        <v>109</v>
      </c>
      <c r="X113" s="70" t="s">
        <v>19</v>
      </c>
      <c r="Y113" s="70" t="s">
        <v>19</v>
      </c>
      <c r="Z113" s="70" t="s">
        <v>19</v>
      </c>
      <c r="AA113" s="72" t="s">
        <v>19</v>
      </c>
      <c r="AB113" s="72" t="s">
        <v>19</v>
      </c>
      <c r="AC113" s="72" t="s">
        <v>19</v>
      </c>
      <c r="AD113" s="70" t="s">
        <v>19</v>
      </c>
      <c r="AE113" s="15" t="s">
        <v>19</v>
      </c>
      <c r="AF113" s="15" t="s">
        <v>109</v>
      </c>
      <c r="AG113" s="15" t="s">
        <v>109</v>
      </c>
      <c r="AH113" s="15" t="s">
        <v>109</v>
      </c>
      <c r="AI113" s="15" t="s">
        <v>109</v>
      </c>
      <c r="AJ113" s="15" t="s">
        <v>109</v>
      </c>
      <c r="AK113" s="15" t="s">
        <v>109</v>
      </c>
      <c r="AL113" s="15" t="s">
        <v>109</v>
      </c>
      <c r="AM113" s="15" t="s">
        <v>109</v>
      </c>
      <c r="AN113" s="18" t="s">
        <v>109</v>
      </c>
      <c r="AO113" s="18" t="s">
        <v>109</v>
      </c>
      <c r="AP113" s="18" t="s">
        <v>19</v>
      </c>
      <c r="AQ113" s="18" t="s">
        <v>19</v>
      </c>
      <c r="AR113" s="18" t="s">
        <v>19</v>
      </c>
      <c r="AS113" s="18" t="s">
        <v>19</v>
      </c>
      <c r="AT113" s="18" t="s">
        <v>19</v>
      </c>
      <c r="AU113" s="15" t="s">
        <v>109</v>
      </c>
      <c r="AV113" s="36" t="s">
        <v>19</v>
      </c>
    </row>
    <row r="114" spans="1:264" ht="70.5" hidden="1" customHeight="1" x14ac:dyDescent="0.3">
      <c r="A114" s="15" t="s">
        <v>2286</v>
      </c>
      <c r="B114" s="15" t="s">
        <v>239</v>
      </c>
      <c r="C114" s="15" t="s">
        <v>920</v>
      </c>
      <c r="D114" s="15" t="s">
        <v>32</v>
      </c>
      <c r="E114" s="15" t="s">
        <v>19</v>
      </c>
      <c r="F114" s="15" t="s">
        <v>19</v>
      </c>
      <c r="G114" s="15" t="s">
        <v>19</v>
      </c>
      <c r="H114" s="15" t="s">
        <v>19</v>
      </c>
      <c r="I114" s="15" t="s">
        <v>19</v>
      </c>
      <c r="J114" s="15" t="s">
        <v>19</v>
      </c>
      <c r="K114" s="15" t="s">
        <v>19</v>
      </c>
      <c r="L114" s="15" t="s">
        <v>19</v>
      </c>
      <c r="M114" s="15" t="s">
        <v>909</v>
      </c>
      <c r="N114" s="4" t="s">
        <v>2287</v>
      </c>
      <c r="O114" s="33" t="s">
        <v>1645</v>
      </c>
      <c r="P114" s="4" t="s">
        <v>2288</v>
      </c>
      <c r="S114" s="15" t="e" cm="1">
        <f t="array" aca="1" ref="S114" ca="1">COMMONMARKETCOUNT(H114:AV114)</f>
        <v>#NAME?</v>
      </c>
      <c r="T114" s="6" t="e" cm="1">
        <f t="array" aca="1" ref="T114" ca="1">AUTOMATEDCOUNT(H114:AV114)</f>
        <v>#NAME?</v>
      </c>
      <c r="V114" s="15" t="s">
        <v>19</v>
      </c>
      <c r="W114" s="15" t="s">
        <v>19</v>
      </c>
      <c r="X114" s="15" t="s">
        <v>19</v>
      </c>
      <c r="Y114" s="15" t="s">
        <v>19</v>
      </c>
      <c r="Z114" s="15" t="s">
        <v>19</v>
      </c>
      <c r="AA114" s="15" t="s">
        <v>19</v>
      </c>
      <c r="AB114" s="15" t="s">
        <v>19</v>
      </c>
      <c r="AC114" s="15" t="s">
        <v>19</v>
      </c>
      <c r="AD114" s="18" t="s">
        <v>19</v>
      </c>
      <c r="AE114" s="18" t="s">
        <v>19</v>
      </c>
      <c r="AF114" s="15" t="s">
        <v>109</v>
      </c>
      <c r="AG114" s="15" t="s">
        <v>109</v>
      </c>
      <c r="AH114" s="15" t="s">
        <v>109</v>
      </c>
      <c r="AI114" s="15" t="s">
        <v>109</v>
      </c>
      <c r="AJ114" s="15" t="s">
        <v>109</v>
      </c>
      <c r="AK114" s="15" t="s">
        <v>109</v>
      </c>
      <c r="AL114" s="15" t="s">
        <v>109</v>
      </c>
      <c r="AM114" s="15" t="s">
        <v>109</v>
      </c>
      <c r="AN114" s="15" t="s">
        <v>109</v>
      </c>
      <c r="AO114" s="15" t="s">
        <v>109</v>
      </c>
      <c r="AP114" s="15" t="s">
        <v>109</v>
      </c>
      <c r="AQ114" s="15" t="s">
        <v>109</v>
      </c>
      <c r="AR114" s="15" t="s">
        <v>109</v>
      </c>
      <c r="AS114" s="15" t="s">
        <v>109</v>
      </c>
      <c r="AT114" s="15" t="s">
        <v>109</v>
      </c>
      <c r="AU114" s="15" t="s">
        <v>109</v>
      </c>
      <c r="AV114" s="36" t="s">
        <v>109</v>
      </c>
    </row>
    <row r="115" spans="1:264" ht="70.5" hidden="1" customHeight="1" x14ac:dyDescent="0.3">
      <c r="A115" s="15" t="s">
        <v>2286</v>
      </c>
      <c r="B115" s="15" t="s">
        <v>239</v>
      </c>
      <c r="C115" s="15" t="s">
        <v>921</v>
      </c>
      <c r="D115" s="15" t="s">
        <v>32</v>
      </c>
      <c r="E115" s="15" t="s">
        <v>109</v>
      </c>
      <c r="F115" s="15" t="s">
        <v>109</v>
      </c>
      <c r="G115" s="15" t="s">
        <v>109</v>
      </c>
      <c r="H115" s="15" t="s">
        <v>109</v>
      </c>
      <c r="I115" s="18" t="s">
        <v>19</v>
      </c>
      <c r="J115" s="18" t="s">
        <v>19</v>
      </c>
      <c r="K115" s="15" t="s">
        <v>19</v>
      </c>
      <c r="L115" s="15" t="s">
        <v>19</v>
      </c>
      <c r="M115" s="15" t="s">
        <v>1042</v>
      </c>
      <c r="N115" s="4" t="s">
        <v>905</v>
      </c>
      <c r="O115" s="33" t="s">
        <v>1645</v>
      </c>
      <c r="P115" s="4" t="s">
        <v>3030</v>
      </c>
      <c r="S115" s="15" t="e" cm="1">
        <f t="array" aca="1" ref="S115" ca="1">COMMONMARKETCOUNT(H115:AV115)</f>
        <v>#NAME?</v>
      </c>
      <c r="T115" s="6" t="e" cm="1">
        <f t="array" aca="1" ref="T115" ca="1">AUTOMATEDCOUNT(H115:AV115)</f>
        <v>#NAME?</v>
      </c>
      <c r="V115" s="15" t="s">
        <v>109</v>
      </c>
      <c r="W115" s="15" t="s">
        <v>109</v>
      </c>
      <c r="X115" s="15" t="s">
        <v>109</v>
      </c>
      <c r="Y115" s="15" t="s">
        <v>109</v>
      </c>
      <c r="Z115" s="15" t="s">
        <v>109</v>
      </c>
      <c r="AA115" s="18" t="s">
        <v>19</v>
      </c>
      <c r="AB115" s="18" t="s">
        <v>19</v>
      </c>
      <c r="AC115" s="18" t="s">
        <v>19</v>
      </c>
      <c r="AD115" s="15" t="s">
        <v>19</v>
      </c>
      <c r="AE115" s="15" t="s">
        <v>19</v>
      </c>
      <c r="AF115" s="15" t="s">
        <v>109</v>
      </c>
      <c r="AG115" s="15" t="s">
        <v>109</v>
      </c>
      <c r="AH115" s="15" t="s">
        <v>109</v>
      </c>
      <c r="AI115" s="15" t="s">
        <v>109</v>
      </c>
      <c r="AJ115" s="15" t="s">
        <v>109</v>
      </c>
      <c r="AK115" s="15" t="s">
        <v>109</v>
      </c>
      <c r="AL115" s="15" t="s">
        <v>109</v>
      </c>
      <c r="AM115" s="15" t="s">
        <v>109</v>
      </c>
      <c r="AN115" s="15" t="s">
        <v>109</v>
      </c>
      <c r="AO115" s="15" t="s">
        <v>109</v>
      </c>
      <c r="AP115" s="15" t="s">
        <v>109</v>
      </c>
      <c r="AQ115" s="15" t="s">
        <v>109</v>
      </c>
      <c r="AR115" s="15" t="s">
        <v>109</v>
      </c>
      <c r="AS115" s="15" t="s">
        <v>109</v>
      </c>
      <c r="AT115" s="15" t="s">
        <v>109</v>
      </c>
      <c r="AU115" s="15" t="s">
        <v>109</v>
      </c>
      <c r="AV115" s="36" t="s">
        <v>109</v>
      </c>
    </row>
    <row r="116" spans="1:264" ht="70.5" hidden="1" customHeight="1" x14ac:dyDescent="0.3">
      <c r="A116" s="15" t="s">
        <v>18</v>
      </c>
      <c r="B116" s="15" t="s">
        <v>64</v>
      </c>
      <c r="C116" s="15" t="s">
        <v>243</v>
      </c>
      <c r="D116" s="15" t="s">
        <v>19</v>
      </c>
      <c r="E116" s="70" t="s">
        <v>19</v>
      </c>
      <c r="F116" s="70" t="s">
        <v>19</v>
      </c>
      <c r="G116" s="15" t="s">
        <v>109</v>
      </c>
      <c r="H116" s="15" t="s">
        <v>109</v>
      </c>
      <c r="I116" s="18" t="s">
        <v>109</v>
      </c>
      <c r="J116" s="18" t="s">
        <v>109</v>
      </c>
      <c r="K116" s="18" t="s">
        <v>109</v>
      </c>
      <c r="L116" s="18" t="s">
        <v>109</v>
      </c>
      <c r="M116" s="15" t="s">
        <v>242</v>
      </c>
      <c r="N116" s="4" t="s">
        <v>244</v>
      </c>
      <c r="O116" s="15"/>
      <c r="P116" s="4" t="s">
        <v>3031</v>
      </c>
      <c r="S116" s="15" t="e" cm="1">
        <f t="array" aca="1" ref="S116" ca="1">COMMONMARKETCOUNT(H116:AV116)</f>
        <v>#NAME?</v>
      </c>
      <c r="T116" s="6" t="e" cm="1">
        <f t="array" aca="1" ref="T116" ca="1">AUTOMATEDCOUNT(H116:AV116)</f>
        <v>#NAME?</v>
      </c>
      <c r="V116" s="15" t="s">
        <v>109</v>
      </c>
      <c r="W116" s="15" t="s">
        <v>109</v>
      </c>
      <c r="X116" s="70" t="s">
        <v>19</v>
      </c>
      <c r="Y116" s="70" t="s">
        <v>19</v>
      </c>
      <c r="Z116" s="70" t="s">
        <v>19</v>
      </c>
      <c r="AA116" s="18" t="s">
        <v>109</v>
      </c>
      <c r="AB116" s="18" t="s">
        <v>109</v>
      </c>
      <c r="AC116" s="18" t="s">
        <v>109</v>
      </c>
      <c r="AD116" s="18" t="s">
        <v>19</v>
      </c>
      <c r="AE116" s="18" t="s">
        <v>19</v>
      </c>
      <c r="AF116" s="18" t="s">
        <v>109</v>
      </c>
      <c r="AG116" s="18" t="s">
        <v>109</v>
      </c>
      <c r="AH116" s="18" t="s">
        <v>109</v>
      </c>
      <c r="AI116" s="18" t="s">
        <v>109</v>
      </c>
      <c r="AJ116" s="18" t="s">
        <v>109</v>
      </c>
      <c r="AK116" s="18" t="s">
        <v>109</v>
      </c>
      <c r="AL116" s="18" t="s">
        <v>109</v>
      </c>
      <c r="AM116" s="18" t="s">
        <v>109</v>
      </c>
      <c r="AN116" s="18" t="s">
        <v>109</v>
      </c>
      <c r="AO116" s="18" t="s">
        <v>109</v>
      </c>
      <c r="AP116" s="18" t="s">
        <v>109</v>
      </c>
      <c r="AQ116" s="18" t="s">
        <v>109</v>
      </c>
      <c r="AR116" s="18" t="s">
        <v>109</v>
      </c>
      <c r="AS116" s="18" t="s">
        <v>109</v>
      </c>
      <c r="AT116" s="18" t="s">
        <v>109</v>
      </c>
      <c r="AU116" s="18" t="s">
        <v>109</v>
      </c>
      <c r="AV116" s="36" t="s">
        <v>109</v>
      </c>
    </row>
    <row r="117" spans="1:264" ht="70.5" hidden="1" customHeight="1" x14ac:dyDescent="0.3">
      <c r="A117" s="15" t="s">
        <v>25</v>
      </c>
      <c r="B117" s="15" t="s">
        <v>239</v>
      </c>
      <c r="C117" s="18" t="s">
        <v>258</v>
      </c>
      <c r="D117" s="15" t="s">
        <v>19</v>
      </c>
      <c r="E117" s="70" t="s">
        <v>19</v>
      </c>
      <c r="F117" s="20" t="s">
        <v>3180</v>
      </c>
      <c r="G117" s="70" t="s">
        <v>19</v>
      </c>
      <c r="H117" s="20" t="s">
        <v>3180</v>
      </c>
      <c r="I117" s="72" t="s">
        <v>19</v>
      </c>
      <c r="J117" s="72" t="s">
        <v>19</v>
      </c>
      <c r="K117" s="18" t="s">
        <v>19</v>
      </c>
      <c r="L117" s="18" t="s">
        <v>19</v>
      </c>
      <c r="M117" s="15" t="s">
        <v>259</v>
      </c>
      <c r="N117" s="4" t="s">
        <v>1519</v>
      </c>
      <c r="O117" s="15"/>
      <c r="P117" s="4" t="s">
        <v>1598</v>
      </c>
      <c r="S117" s="15" t="e" cm="1">
        <f t="array" aca="1" ref="S117" ca="1">COMMONMARKETCOUNT(H117:AV117)</f>
        <v>#NAME?</v>
      </c>
      <c r="T117" s="6" t="e" cm="1">
        <f t="array" aca="1" ref="T117" ca="1">AUTOMATEDCOUNT(H117:AV117)</f>
        <v>#NAME?</v>
      </c>
      <c r="V117" s="15" t="s">
        <v>109</v>
      </c>
      <c r="W117" s="15" t="s">
        <v>109</v>
      </c>
      <c r="X117" s="70" t="s">
        <v>19</v>
      </c>
      <c r="Y117" s="70" t="s">
        <v>19</v>
      </c>
      <c r="Z117" s="70" t="s">
        <v>19</v>
      </c>
      <c r="AA117" s="72" t="s">
        <v>19</v>
      </c>
      <c r="AB117" s="72" t="s">
        <v>19</v>
      </c>
      <c r="AC117" s="72" t="s">
        <v>19</v>
      </c>
      <c r="AD117" s="72" t="s">
        <v>19</v>
      </c>
      <c r="AE117" s="18" t="s">
        <v>19</v>
      </c>
      <c r="AF117" s="15" t="s">
        <v>109</v>
      </c>
      <c r="AG117" s="18" t="s">
        <v>109</v>
      </c>
      <c r="AH117" s="18" t="s">
        <v>109</v>
      </c>
      <c r="AI117" s="18" t="s">
        <v>109</v>
      </c>
      <c r="AJ117" s="18" t="s">
        <v>109</v>
      </c>
      <c r="AK117" s="18" t="s">
        <v>109</v>
      </c>
      <c r="AL117" s="18" t="s">
        <v>109</v>
      </c>
      <c r="AM117" s="18" t="s">
        <v>109</v>
      </c>
      <c r="AN117" s="18" t="s">
        <v>109</v>
      </c>
      <c r="AO117" s="18" t="s">
        <v>109</v>
      </c>
      <c r="AP117" s="18" t="s">
        <v>109</v>
      </c>
      <c r="AQ117" s="18" t="s">
        <v>109</v>
      </c>
      <c r="AR117" s="18" t="s">
        <v>109</v>
      </c>
      <c r="AS117" s="18" t="s">
        <v>109</v>
      </c>
      <c r="AT117" s="18" t="s">
        <v>109</v>
      </c>
      <c r="AU117" s="18" t="s">
        <v>109</v>
      </c>
      <c r="AV117" s="36" t="s">
        <v>109</v>
      </c>
    </row>
    <row r="118" spans="1:264" ht="70.5" hidden="1" customHeight="1" x14ac:dyDescent="0.3">
      <c r="A118" s="15" t="s">
        <v>25</v>
      </c>
      <c r="B118" s="15" t="s">
        <v>64</v>
      </c>
      <c r="C118" s="15" t="s">
        <v>246</v>
      </c>
      <c r="D118" s="15" t="s">
        <v>19</v>
      </c>
      <c r="E118" s="70" t="s">
        <v>19</v>
      </c>
      <c r="F118" s="70" t="s">
        <v>19</v>
      </c>
      <c r="G118" s="15" t="s">
        <v>109</v>
      </c>
      <c r="H118" s="15" t="s">
        <v>109</v>
      </c>
      <c r="I118" s="18" t="s">
        <v>109</v>
      </c>
      <c r="J118" s="18" t="s">
        <v>109</v>
      </c>
      <c r="K118" s="18" t="s">
        <v>109</v>
      </c>
      <c r="L118" s="18" t="s">
        <v>109</v>
      </c>
      <c r="M118" s="15" t="s">
        <v>2900</v>
      </c>
      <c r="N118" s="4" t="s">
        <v>247</v>
      </c>
      <c r="O118" s="15"/>
      <c r="P118" s="4" t="s">
        <v>1596</v>
      </c>
      <c r="S118" s="15" t="e" cm="1">
        <f t="array" aca="1" ref="S118" ca="1">COMMONMARKETCOUNT(H118:AV118)</f>
        <v>#NAME?</v>
      </c>
      <c r="T118" s="6" t="e" cm="1">
        <f t="array" aca="1" ref="T118" ca="1">AUTOMATEDCOUNT(H118:AV118)</f>
        <v>#NAME?</v>
      </c>
      <c r="V118" s="15" t="s">
        <v>109</v>
      </c>
      <c r="W118" s="15" t="s">
        <v>109</v>
      </c>
      <c r="X118" s="70" t="s">
        <v>19</v>
      </c>
      <c r="Y118" s="70" t="s">
        <v>19</v>
      </c>
      <c r="Z118" s="70" t="s">
        <v>19</v>
      </c>
      <c r="AA118" s="18" t="s">
        <v>109</v>
      </c>
      <c r="AB118" s="18" t="s">
        <v>109</v>
      </c>
      <c r="AC118" s="18" t="s">
        <v>109</v>
      </c>
      <c r="AD118" s="15" t="s">
        <v>19</v>
      </c>
      <c r="AE118" s="15" t="s">
        <v>19</v>
      </c>
      <c r="AF118" s="18" t="s">
        <v>109</v>
      </c>
      <c r="AG118" s="18" t="s">
        <v>109</v>
      </c>
      <c r="AH118" s="18" t="s">
        <v>109</v>
      </c>
      <c r="AI118" s="18" t="s">
        <v>109</v>
      </c>
      <c r="AJ118" s="18" t="s">
        <v>109</v>
      </c>
      <c r="AK118" s="18" t="s">
        <v>109</v>
      </c>
      <c r="AL118" s="18" t="s">
        <v>109</v>
      </c>
      <c r="AM118" s="18" t="s">
        <v>109</v>
      </c>
      <c r="AN118" s="18" t="s">
        <v>109</v>
      </c>
      <c r="AO118" s="18" t="s">
        <v>109</v>
      </c>
      <c r="AP118" s="18" t="s">
        <v>109</v>
      </c>
      <c r="AQ118" s="18" t="s">
        <v>109</v>
      </c>
      <c r="AR118" s="18" t="s">
        <v>109</v>
      </c>
      <c r="AS118" s="18" t="s">
        <v>109</v>
      </c>
      <c r="AT118" s="18" t="s">
        <v>109</v>
      </c>
      <c r="AU118" s="18" t="s">
        <v>109</v>
      </c>
      <c r="AV118" s="36" t="s">
        <v>109</v>
      </c>
    </row>
    <row r="119" spans="1:264" ht="70.5" hidden="1" customHeight="1" x14ac:dyDescent="0.3">
      <c r="A119" s="15" t="s">
        <v>25</v>
      </c>
      <c r="B119" s="15" t="s">
        <v>37</v>
      </c>
      <c r="C119" s="15" t="s">
        <v>248</v>
      </c>
      <c r="D119" s="15" t="s">
        <v>19</v>
      </c>
      <c r="E119" s="70" t="s">
        <v>19</v>
      </c>
      <c r="F119" s="70" t="s">
        <v>19</v>
      </c>
      <c r="G119" s="70" t="s">
        <v>19</v>
      </c>
      <c r="H119" s="70" t="s">
        <v>3178</v>
      </c>
      <c r="I119" s="72" t="s">
        <v>19</v>
      </c>
      <c r="J119" s="72" t="s">
        <v>19</v>
      </c>
      <c r="K119" s="20" t="s">
        <v>19</v>
      </c>
      <c r="L119" s="20" t="s">
        <v>19</v>
      </c>
      <c r="M119" s="15" t="s">
        <v>2901</v>
      </c>
      <c r="N119" s="4" t="s">
        <v>1382</v>
      </c>
      <c r="O119" s="15"/>
      <c r="P119" s="4" t="s">
        <v>3032</v>
      </c>
      <c r="S119" s="15" t="e" cm="1">
        <f t="array" aca="1" ref="S119" ca="1">COMMONMARKETCOUNT(H119:AV119)</f>
        <v>#NAME?</v>
      </c>
      <c r="T119" s="6" t="e" cm="1">
        <f t="array" aca="1" ref="T119" ca="1">AUTOMATEDCOUNT(H119:AV119)</f>
        <v>#NAME?</v>
      </c>
      <c r="V119" s="70" t="s">
        <v>19</v>
      </c>
      <c r="W119" s="70" t="s">
        <v>19</v>
      </c>
      <c r="X119" s="70" t="s">
        <v>19</v>
      </c>
      <c r="Y119" s="70" t="s">
        <v>19</v>
      </c>
      <c r="Z119" s="70" t="s">
        <v>19</v>
      </c>
      <c r="AA119" s="72" t="s">
        <v>19</v>
      </c>
      <c r="AB119" s="72" t="s">
        <v>19</v>
      </c>
      <c r="AC119" s="72" t="s">
        <v>19</v>
      </c>
      <c r="AD119" s="18" t="s">
        <v>109</v>
      </c>
      <c r="AE119" s="18" t="s">
        <v>109</v>
      </c>
      <c r="AF119" s="15" t="s">
        <v>19</v>
      </c>
      <c r="AG119" s="20" t="s">
        <v>19</v>
      </c>
      <c r="AH119" s="15" t="s">
        <v>19</v>
      </c>
      <c r="AI119" s="15" t="s">
        <v>19</v>
      </c>
      <c r="AJ119" s="15" t="s">
        <v>19</v>
      </c>
      <c r="AK119" s="15" t="s">
        <v>19</v>
      </c>
      <c r="AL119" s="15" t="s">
        <v>19</v>
      </c>
      <c r="AM119" s="18" t="s">
        <v>19</v>
      </c>
      <c r="AN119" s="18" t="s">
        <v>19</v>
      </c>
      <c r="AO119" s="18" t="s">
        <v>19</v>
      </c>
      <c r="AP119" s="15" t="s">
        <v>19</v>
      </c>
      <c r="AQ119" s="15" t="s">
        <v>19</v>
      </c>
      <c r="AR119" s="15" t="s">
        <v>19</v>
      </c>
      <c r="AS119" s="70" t="s">
        <v>19</v>
      </c>
      <c r="AT119" s="70" t="s">
        <v>19</v>
      </c>
      <c r="AU119" s="20" t="s">
        <v>3153</v>
      </c>
      <c r="AV119" s="36" t="s">
        <v>19</v>
      </c>
    </row>
    <row r="120" spans="1:264" ht="70.5" hidden="1" customHeight="1" x14ac:dyDescent="0.3">
      <c r="A120" s="15" t="s">
        <v>56</v>
      </c>
      <c r="B120" s="15" t="s">
        <v>250</v>
      </c>
      <c r="C120" s="15" t="s">
        <v>249</v>
      </c>
      <c r="D120" s="15" t="s">
        <v>32</v>
      </c>
      <c r="E120" s="15" t="s">
        <v>19</v>
      </c>
      <c r="F120" s="15" t="s">
        <v>19</v>
      </c>
      <c r="G120" s="15" t="s">
        <v>19</v>
      </c>
      <c r="H120" s="15" t="s">
        <v>19</v>
      </c>
      <c r="I120" s="18" t="s">
        <v>19</v>
      </c>
      <c r="J120" s="18" t="s">
        <v>19</v>
      </c>
      <c r="K120" s="18" t="s">
        <v>19</v>
      </c>
      <c r="L120" s="18" t="s">
        <v>19</v>
      </c>
      <c r="M120" s="15" t="s">
        <v>2902</v>
      </c>
      <c r="N120" s="4" t="s">
        <v>1469</v>
      </c>
      <c r="O120" s="15"/>
      <c r="P120" s="4" t="s">
        <v>2158</v>
      </c>
      <c r="S120" s="15" t="e" cm="1">
        <f t="array" aca="1" ref="S120" ca="1">COMMONMARKETCOUNT(H120:AV120)</f>
        <v>#NAME?</v>
      </c>
      <c r="T120" s="6" t="e" cm="1">
        <f t="array" aca="1" ref="T120" ca="1">AUTOMATEDCOUNT(H120:AV120)</f>
        <v>#NAME?</v>
      </c>
      <c r="V120" s="15" t="s">
        <v>19</v>
      </c>
      <c r="W120" s="15" t="s">
        <v>19</v>
      </c>
      <c r="X120" s="15" t="s">
        <v>19</v>
      </c>
      <c r="Y120" s="15" t="s">
        <v>19</v>
      </c>
      <c r="Z120" s="15" t="s">
        <v>19</v>
      </c>
      <c r="AA120" s="18" t="s">
        <v>19</v>
      </c>
      <c r="AB120" s="18" t="s">
        <v>19</v>
      </c>
      <c r="AC120" s="18" t="s">
        <v>19</v>
      </c>
      <c r="AD120" s="18" t="s">
        <v>19</v>
      </c>
      <c r="AE120" s="18" t="s">
        <v>19</v>
      </c>
      <c r="AF120" s="18" t="s">
        <v>19</v>
      </c>
      <c r="AG120" s="18" t="s">
        <v>19</v>
      </c>
      <c r="AH120" s="18" t="s">
        <v>19</v>
      </c>
      <c r="AI120" s="18" t="s">
        <v>19</v>
      </c>
      <c r="AJ120" s="18" t="s">
        <v>19</v>
      </c>
      <c r="AK120" s="18" t="s">
        <v>19</v>
      </c>
      <c r="AL120" s="18" t="s">
        <v>19</v>
      </c>
      <c r="AM120" s="18" t="s">
        <v>19</v>
      </c>
      <c r="AN120" s="18" t="s">
        <v>19</v>
      </c>
      <c r="AO120" s="18" t="s">
        <v>19</v>
      </c>
      <c r="AP120" s="18" t="s">
        <v>19</v>
      </c>
      <c r="AQ120" s="18" t="s">
        <v>19</v>
      </c>
      <c r="AR120" s="18" t="s">
        <v>19</v>
      </c>
      <c r="AS120" s="18" t="s">
        <v>19</v>
      </c>
      <c r="AT120" s="18" t="s">
        <v>19</v>
      </c>
      <c r="AU120" s="18" t="s">
        <v>3153</v>
      </c>
      <c r="AV120" s="36" t="s">
        <v>19</v>
      </c>
    </row>
    <row r="121" spans="1:264" ht="70.5" hidden="1" customHeight="1" x14ac:dyDescent="0.3">
      <c r="A121" s="15" t="s">
        <v>56</v>
      </c>
      <c r="B121" s="15" t="s">
        <v>250</v>
      </c>
      <c r="C121" s="15" t="s">
        <v>251</v>
      </c>
      <c r="D121" s="15" t="s">
        <v>32</v>
      </c>
      <c r="E121" s="15" t="s">
        <v>19</v>
      </c>
      <c r="F121" s="15" t="s">
        <v>19</v>
      </c>
      <c r="G121" s="15" t="s">
        <v>19</v>
      </c>
      <c r="H121" s="15" t="s">
        <v>19</v>
      </c>
      <c r="I121" s="15" t="s">
        <v>19</v>
      </c>
      <c r="J121" s="15" t="s">
        <v>19</v>
      </c>
      <c r="K121" s="15" t="s">
        <v>19</v>
      </c>
      <c r="L121" s="15" t="s">
        <v>19</v>
      </c>
      <c r="M121" s="15" t="s">
        <v>2903</v>
      </c>
      <c r="N121" s="4" t="s">
        <v>1470</v>
      </c>
      <c r="O121" s="15"/>
      <c r="P121" s="4" t="s">
        <v>1472</v>
      </c>
      <c r="S121" s="15" t="e" cm="1">
        <f t="array" aca="1" ref="S121" ca="1">COMMONMARKETCOUNT(H121:AV121)</f>
        <v>#NAME?</v>
      </c>
      <c r="T121" s="6" t="e" cm="1">
        <f t="array" aca="1" ref="T121" ca="1">AUTOMATEDCOUNT(H121:AV121)</f>
        <v>#NAME?</v>
      </c>
      <c r="V121" s="15" t="s">
        <v>19</v>
      </c>
      <c r="W121" s="15" t="s">
        <v>19</v>
      </c>
      <c r="X121" s="15" t="s">
        <v>19</v>
      </c>
      <c r="Y121" s="15" t="s">
        <v>19</v>
      </c>
      <c r="Z121" s="15" t="s">
        <v>19</v>
      </c>
      <c r="AA121" s="15" t="s">
        <v>19</v>
      </c>
      <c r="AB121" s="15" t="s">
        <v>19</v>
      </c>
      <c r="AC121" s="15" t="s">
        <v>19</v>
      </c>
      <c r="AD121" s="18" t="s">
        <v>19</v>
      </c>
      <c r="AE121" s="18" t="s">
        <v>19</v>
      </c>
      <c r="AF121" s="15" t="s">
        <v>19</v>
      </c>
      <c r="AG121" s="15" t="s">
        <v>19</v>
      </c>
      <c r="AH121" s="15" t="s">
        <v>19</v>
      </c>
      <c r="AI121" s="15" t="s">
        <v>19</v>
      </c>
      <c r="AJ121" s="15" t="s">
        <v>19</v>
      </c>
      <c r="AK121" s="15" t="s">
        <v>19</v>
      </c>
      <c r="AL121" s="15" t="s">
        <v>19</v>
      </c>
      <c r="AM121" s="15" t="s">
        <v>19</v>
      </c>
      <c r="AN121" s="15" t="s">
        <v>19</v>
      </c>
      <c r="AO121" s="15" t="s">
        <v>19</v>
      </c>
      <c r="AP121" s="15" t="s">
        <v>19</v>
      </c>
      <c r="AQ121" s="15" t="s">
        <v>19</v>
      </c>
      <c r="AR121" s="15" t="s">
        <v>19</v>
      </c>
      <c r="AS121" s="15" t="s">
        <v>19</v>
      </c>
      <c r="AT121" s="15" t="s">
        <v>19</v>
      </c>
      <c r="AU121" s="15" t="s">
        <v>3153</v>
      </c>
      <c r="AV121" s="36" t="s">
        <v>19</v>
      </c>
    </row>
    <row r="122" spans="1:264" s="5" customFormat="1" ht="70.5" hidden="1" customHeight="1" x14ac:dyDescent="0.3">
      <c r="A122" s="15" t="s">
        <v>315</v>
      </c>
      <c r="B122" s="6" t="s">
        <v>174</v>
      </c>
      <c r="C122" s="4" t="s">
        <v>1906</v>
      </c>
      <c r="D122" s="6" t="s">
        <v>32</v>
      </c>
      <c r="E122" s="15" t="s">
        <v>19</v>
      </c>
      <c r="F122" s="15" t="s">
        <v>19</v>
      </c>
      <c r="G122" s="6" t="s">
        <v>19</v>
      </c>
      <c r="H122" s="6" t="s">
        <v>19</v>
      </c>
      <c r="I122" s="15" t="s">
        <v>19</v>
      </c>
      <c r="J122" s="15" t="s">
        <v>19</v>
      </c>
      <c r="K122" s="15" t="s">
        <v>19</v>
      </c>
      <c r="L122" s="15" t="s">
        <v>19</v>
      </c>
      <c r="M122" s="15" t="s">
        <v>2904</v>
      </c>
      <c r="N122" s="4" t="s">
        <v>1913</v>
      </c>
      <c r="O122" s="4"/>
      <c r="P122" s="4" t="s">
        <v>2166</v>
      </c>
      <c r="S122" s="15" t="e" cm="1">
        <f t="array" aca="1" ref="S122" ca="1">COMMONMARKETCOUNT(H122:AV122)</f>
        <v>#NAME?</v>
      </c>
      <c r="T122" s="6" t="e" cm="1">
        <f t="array" aca="1" ref="T122" ca="1">AUTOMATEDCOUNT(H122:AV122)</f>
        <v>#NAME?</v>
      </c>
      <c r="V122" s="15" t="s">
        <v>19</v>
      </c>
      <c r="W122" s="15" t="s">
        <v>19</v>
      </c>
      <c r="X122" s="15" t="s">
        <v>19</v>
      </c>
      <c r="Y122" s="15" t="s">
        <v>19</v>
      </c>
      <c r="Z122" s="15" t="s">
        <v>19</v>
      </c>
      <c r="AA122" s="15" t="s">
        <v>19</v>
      </c>
      <c r="AB122" s="15" t="s">
        <v>19</v>
      </c>
      <c r="AC122" s="15" t="s">
        <v>19</v>
      </c>
      <c r="AD122" s="15" t="s">
        <v>19</v>
      </c>
      <c r="AE122" s="15" t="s">
        <v>19</v>
      </c>
      <c r="AF122" s="15" t="s">
        <v>19</v>
      </c>
      <c r="AG122" s="15" t="s">
        <v>19</v>
      </c>
      <c r="AH122" s="15" t="s">
        <v>19</v>
      </c>
      <c r="AI122" s="15" t="s">
        <v>19</v>
      </c>
      <c r="AJ122" s="15" t="s">
        <v>19</v>
      </c>
      <c r="AK122" s="15" t="s">
        <v>19</v>
      </c>
      <c r="AL122" s="15" t="s">
        <v>19</v>
      </c>
      <c r="AM122" s="15" t="s">
        <v>19</v>
      </c>
      <c r="AN122" s="15" t="s">
        <v>19</v>
      </c>
      <c r="AO122" s="15" t="s">
        <v>19</v>
      </c>
      <c r="AP122" s="15" t="s">
        <v>19</v>
      </c>
      <c r="AQ122" s="15" t="s">
        <v>19</v>
      </c>
      <c r="AR122" s="15" t="s">
        <v>19</v>
      </c>
      <c r="AS122" s="15" t="s">
        <v>19</v>
      </c>
      <c r="AT122" s="15" t="s">
        <v>19</v>
      </c>
      <c r="AU122" s="15" t="s">
        <v>3153</v>
      </c>
      <c r="AV122" s="36" t="s">
        <v>19</v>
      </c>
      <c r="AW122" s="16"/>
      <c r="AX122" s="16"/>
      <c r="AY122" s="16"/>
      <c r="AZ122" s="16"/>
      <c r="BA122" s="16"/>
      <c r="BB122" s="16"/>
      <c r="BC122" s="16"/>
      <c r="BD122" s="16"/>
      <c r="BE122" s="16"/>
      <c r="BF122" s="16"/>
      <c r="BG122" s="16"/>
      <c r="BH122" s="16"/>
      <c r="BI122" s="16"/>
      <c r="BJ122" s="16"/>
      <c r="BK122" s="16"/>
      <c r="BL122" s="16"/>
      <c r="BM122" s="16"/>
      <c r="BN122" s="16"/>
      <c r="BO122" s="16"/>
      <c r="BP122" s="16"/>
      <c r="BQ122" s="16"/>
      <c r="BR122" s="16"/>
      <c r="BS122" s="16"/>
      <c r="BT122" s="16"/>
      <c r="BU122" s="16"/>
      <c r="BV122" s="16"/>
      <c r="BW122" s="16"/>
      <c r="BX122" s="16"/>
      <c r="BY122" s="16"/>
      <c r="BZ122" s="16"/>
      <c r="CA122" s="16"/>
      <c r="CB122" s="16"/>
      <c r="CC122" s="16"/>
      <c r="CD122" s="16"/>
      <c r="CE122" s="16"/>
      <c r="CF122" s="16"/>
      <c r="CG122" s="16"/>
      <c r="CH122" s="16"/>
      <c r="CI122" s="16"/>
      <c r="CJ122" s="16"/>
      <c r="CK122" s="16"/>
      <c r="CL122" s="16"/>
      <c r="CM122" s="16"/>
      <c r="CN122" s="16"/>
      <c r="CO122" s="16"/>
      <c r="CP122" s="16"/>
      <c r="CQ122" s="16"/>
      <c r="CR122" s="16"/>
      <c r="CS122" s="16"/>
      <c r="CT122" s="16"/>
      <c r="CU122" s="16"/>
      <c r="CV122" s="16"/>
      <c r="CW122" s="16"/>
      <c r="CX122" s="16"/>
      <c r="CY122" s="16"/>
      <c r="CZ122" s="16"/>
      <c r="DA122" s="16"/>
      <c r="DB122" s="16"/>
      <c r="DC122" s="16"/>
      <c r="DD122" s="16"/>
      <c r="DE122" s="16"/>
      <c r="DF122" s="16"/>
      <c r="DG122" s="16"/>
      <c r="DH122" s="16"/>
      <c r="DI122" s="16"/>
      <c r="DJ122" s="16"/>
      <c r="DK122" s="16"/>
      <c r="DL122" s="16"/>
      <c r="DM122" s="16"/>
      <c r="DN122" s="16"/>
      <c r="DO122" s="16"/>
      <c r="DP122" s="16"/>
      <c r="DQ122" s="16"/>
      <c r="DR122" s="16"/>
      <c r="DS122" s="16"/>
      <c r="DT122" s="16"/>
      <c r="DU122" s="16"/>
      <c r="DV122" s="16"/>
      <c r="DW122" s="16"/>
      <c r="DX122" s="16"/>
      <c r="DY122" s="16"/>
      <c r="DZ122" s="16"/>
      <c r="EA122" s="16"/>
      <c r="EB122" s="16"/>
      <c r="EC122" s="16"/>
      <c r="ED122" s="16"/>
      <c r="EE122" s="16"/>
      <c r="EF122" s="16"/>
      <c r="EG122" s="16"/>
      <c r="EH122" s="16"/>
      <c r="EI122" s="16"/>
      <c r="EJ122" s="16"/>
      <c r="EK122" s="16"/>
      <c r="EL122" s="16"/>
      <c r="EM122" s="16"/>
      <c r="EN122" s="16"/>
      <c r="EO122" s="16"/>
      <c r="EP122" s="16"/>
      <c r="EQ122" s="16"/>
      <c r="ER122" s="16"/>
      <c r="ES122" s="16"/>
      <c r="ET122" s="16"/>
      <c r="EU122" s="16"/>
      <c r="EV122" s="16"/>
      <c r="EW122" s="16"/>
      <c r="EX122" s="16"/>
      <c r="EY122" s="16"/>
      <c r="EZ122" s="16"/>
      <c r="FA122" s="16"/>
      <c r="FB122" s="16"/>
      <c r="FC122" s="16"/>
      <c r="FD122" s="16"/>
      <c r="FE122" s="16"/>
      <c r="FF122" s="16"/>
      <c r="FG122" s="16"/>
      <c r="FH122" s="16"/>
      <c r="FI122" s="16"/>
      <c r="FJ122" s="16"/>
      <c r="FK122" s="16"/>
      <c r="FL122" s="16"/>
      <c r="FM122" s="16"/>
      <c r="FN122" s="16"/>
      <c r="FO122" s="16"/>
      <c r="FP122" s="16"/>
      <c r="FQ122" s="16"/>
      <c r="FR122" s="16"/>
      <c r="FS122" s="16"/>
      <c r="FT122" s="16"/>
      <c r="FU122" s="16"/>
      <c r="FV122" s="16"/>
      <c r="FW122" s="16"/>
      <c r="FX122" s="16"/>
      <c r="FY122" s="16"/>
      <c r="FZ122" s="16"/>
      <c r="GA122" s="16"/>
      <c r="GB122" s="16"/>
      <c r="GC122" s="16"/>
      <c r="GD122" s="16"/>
      <c r="GE122" s="16"/>
      <c r="GF122" s="16"/>
      <c r="GG122" s="16"/>
      <c r="GH122" s="16"/>
      <c r="GI122" s="16"/>
      <c r="GJ122" s="16"/>
      <c r="GK122" s="16"/>
      <c r="GL122" s="16"/>
      <c r="GM122" s="16"/>
      <c r="GN122" s="16"/>
      <c r="GO122" s="16"/>
      <c r="GP122" s="16"/>
      <c r="GQ122" s="16"/>
      <c r="GR122" s="16"/>
      <c r="GS122" s="16"/>
      <c r="GT122" s="16"/>
      <c r="GU122" s="16"/>
      <c r="GV122" s="16"/>
      <c r="GW122" s="16"/>
      <c r="GX122" s="16"/>
      <c r="GY122" s="16"/>
      <c r="GZ122" s="16"/>
      <c r="HA122" s="16"/>
      <c r="HB122" s="16"/>
      <c r="HC122" s="16"/>
      <c r="HD122" s="16"/>
      <c r="HE122" s="16"/>
      <c r="HF122" s="16"/>
      <c r="HG122" s="16"/>
      <c r="HH122" s="16"/>
      <c r="HI122" s="16"/>
      <c r="HJ122" s="16"/>
      <c r="HK122" s="16"/>
      <c r="HL122" s="16"/>
      <c r="HM122" s="16"/>
      <c r="HN122" s="16"/>
      <c r="HO122" s="16"/>
      <c r="HP122" s="16"/>
      <c r="HQ122" s="16"/>
      <c r="HR122" s="16"/>
      <c r="HS122" s="16"/>
      <c r="HT122" s="16"/>
      <c r="HU122" s="16"/>
      <c r="HV122" s="16"/>
      <c r="HW122" s="16"/>
      <c r="HX122" s="16"/>
      <c r="HY122" s="16"/>
      <c r="HZ122" s="16"/>
      <c r="IA122" s="16"/>
      <c r="IB122" s="16"/>
      <c r="IC122" s="16"/>
      <c r="ID122" s="16"/>
      <c r="IE122" s="16"/>
      <c r="IF122" s="16"/>
      <c r="IG122" s="16"/>
      <c r="IH122" s="16"/>
      <c r="II122" s="16"/>
      <c r="IJ122" s="16"/>
      <c r="IK122" s="16"/>
      <c r="IL122" s="16"/>
      <c r="IM122" s="16"/>
      <c r="IN122" s="16"/>
      <c r="IO122" s="16"/>
      <c r="IP122" s="16"/>
      <c r="IQ122" s="16"/>
      <c r="IR122" s="16"/>
      <c r="IS122" s="16"/>
      <c r="IT122" s="16"/>
      <c r="IU122" s="16"/>
      <c r="IV122" s="16"/>
      <c r="IW122" s="16"/>
      <c r="IX122" s="16"/>
      <c r="IY122" s="16"/>
      <c r="IZ122" s="16"/>
      <c r="JA122" s="16"/>
      <c r="JB122" s="16"/>
      <c r="JC122" s="16"/>
      <c r="JD122" s="16"/>
    </row>
    <row r="123" spans="1:264" s="5" customFormat="1" ht="70.5" hidden="1" customHeight="1" x14ac:dyDescent="0.3">
      <c r="A123" s="15" t="s">
        <v>315</v>
      </c>
      <c r="B123" s="6" t="s">
        <v>174</v>
      </c>
      <c r="C123" s="4" t="s">
        <v>2429</v>
      </c>
      <c r="D123" s="6" t="s">
        <v>32</v>
      </c>
      <c r="E123" s="15" t="s">
        <v>19</v>
      </c>
      <c r="F123" s="15" t="s">
        <v>19</v>
      </c>
      <c r="G123" s="6" t="s">
        <v>19</v>
      </c>
      <c r="H123" s="6" t="s">
        <v>19</v>
      </c>
      <c r="I123" s="15" t="s">
        <v>19</v>
      </c>
      <c r="J123" s="15" t="s">
        <v>19</v>
      </c>
      <c r="K123" s="15" t="s">
        <v>19</v>
      </c>
      <c r="L123" s="15" t="s">
        <v>19</v>
      </c>
      <c r="M123" s="15" t="s">
        <v>2905</v>
      </c>
      <c r="N123" s="4" t="s">
        <v>1907</v>
      </c>
      <c r="O123" s="4"/>
      <c r="P123" s="4" t="s">
        <v>1912</v>
      </c>
      <c r="S123" s="15" t="e" cm="1">
        <f t="array" aca="1" ref="S123" ca="1">COMMONMARKETCOUNT(H123:AV123)</f>
        <v>#NAME?</v>
      </c>
      <c r="T123" s="6" t="e" cm="1">
        <f t="array" aca="1" ref="T123" ca="1">AUTOMATEDCOUNT(H123:AV123)</f>
        <v>#NAME?</v>
      </c>
      <c r="V123" s="15" t="s">
        <v>19</v>
      </c>
      <c r="W123" s="15" t="s">
        <v>19</v>
      </c>
      <c r="X123" s="15" t="s">
        <v>19</v>
      </c>
      <c r="Y123" s="15" t="s">
        <v>19</v>
      </c>
      <c r="Z123" s="15" t="s">
        <v>19</v>
      </c>
      <c r="AA123" s="15" t="s">
        <v>19</v>
      </c>
      <c r="AB123" s="15" t="s">
        <v>19</v>
      </c>
      <c r="AC123" s="15" t="s">
        <v>19</v>
      </c>
      <c r="AD123" s="15" t="s">
        <v>19</v>
      </c>
      <c r="AE123" s="15" t="s">
        <v>19</v>
      </c>
      <c r="AF123" s="15" t="s">
        <v>19</v>
      </c>
      <c r="AG123" s="15" t="s">
        <v>19</v>
      </c>
      <c r="AH123" s="15" t="s">
        <v>19</v>
      </c>
      <c r="AI123" s="15" t="s">
        <v>19</v>
      </c>
      <c r="AJ123" s="15" t="s">
        <v>19</v>
      </c>
      <c r="AK123" s="15" t="s">
        <v>19</v>
      </c>
      <c r="AL123" s="15" t="s">
        <v>19</v>
      </c>
      <c r="AM123" s="15" t="s">
        <v>19</v>
      </c>
      <c r="AN123" s="15" t="s">
        <v>19</v>
      </c>
      <c r="AO123" s="15" t="s">
        <v>19</v>
      </c>
      <c r="AP123" s="15" t="s">
        <v>19</v>
      </c>
      <c r="AQ123" s="15" t="s">
        <v>19</v>
      </c>
      <c r="AR123" s="15" t="s">
        <v>19</v>
      </c>
      <c r="AS123" s="15" t="s">
        <v>19</v>
      </c>
      <c r="AT123" s="15" t="s">
        <v>19</v>
      </c>
      <c r="AU123" s="15" t="s">
        <v>3153</v>
      </c>
      <c r="AV123" s="36" t="s">
        <v>19</v>
      </c>
      <c r="AW123" s="16"/>
      <c r="AX123" s="16"/>
      <c r="AY123" s="16"/>
      <c r="AZ123" s="16"/>
      <c r="BA123" s="16"/>
      <c r="BB123" s="16"/>
      <c r="BC123" s="16"/>
      <c r="BD123" s="16"/>
      <c r="BE123" s="16"/>
      <c r="BF123" s="16"/>
      <c r="BG123" s="16"/>
      <c r="BH123" s="16"/>
      <c r="BI123" s="16"/>
      <c r="BJ123" s="16"/>
      <c r="BK123" s="16"/>
      <c r="BL123" s="16"/>
      <c r="BM123" s="16"/>
      <c r="BN123" s="16"/>
      <c r="BO123" s="16"/>
      <c r="BP123" s="16"/>
      <c r="BQ123" s="16"/>
      <c r="BR123" s="16"/>
      <c r="BS123" s="16"/>
      <c r="BT123" s="16"/>
      <c r="BU123" s="16"/>
      <c r="BV123" s="16"/>
      <c r="BW123" s="16"/>
      <c r="BX123" s="16"/>
      <c r="BY123" s="16"/>
      <c r="BZ123" s="16"/>
      <c r="CA123" s="16"/>
      <c r="CB123" s="16"/>
      <c r="CC123" s="16"/>
      <c r="CD123" s="16"/>
      <c r="CE123" s="16"/>
      <c r="CF123" s="16"/>
      <c r="CG123" s="16"/>
      <c r="CH123" s="16"/>
      <c r="CI123" s="16"/>
      <c r="CJ123" s="16"/>
      <c r="CK123" s="16"/>
      <c r="CL123" s="16"/>
      <c r="CM123" s="16"/>
      <c r="CN123" s="16"/>
      <c r="CO123" s="16"/>
      <c r="CP123" s="16"/>
      <c r="CQ123" s="16"/>
      <c r="CR123" s="16"/>
      <c r="CS123" s="16"/>
      <c r="CT123" s="16"/>
      <c r="CU123" s="16"/>
      <c r="CV123" s="16"/>
      <c r="CW123" s="16"/>
      <c r="CX123" s="16"/>
      <c r="CY123" s="16"/>
      <c r="CZ123" s="16"/>
      <c r="DA123" s="16"/>
      <c r="DB123" s="16"/>
      <c r="DC123" s="16"/>
      <c r="DD123" s="16"/>
      <c r="DE123" s="16"/>
      <c r="DF123" s="16"/>
      <c r="DG123" s="16"/>
      <c r="DH123" s="16"/>
      <c r="DI123" s="16"/>
      <c r="DJ123" s="16"/>
      <c r="DK123" s="16"/>
      <c r="DL123" s="16"/>
      <c r="DM123" s="16"/>
      <c r="DN123" s="16"/>
      <c r="DO123" s="16"/>
      <c r="DP123" s="16"/>
      <c r="DQ123" s="16"/>
      <c r="DR123" s="16"/>
      <c r="DS123" s="16"/>
      <c r="DT123" s="16"/>
      <c r="DU123" s="16"/>
      <c r="DV123" s="16"/>
      <c r="DW123" s="16"/>
      <c r="DX123" s="16"/>
      <c r="DY123" s="16"/>
      <c r="DZ123" s="16"/>
      <c r="EA123" s="16"/>
      <c r="EB123" s="16"/>
      <c r="EC123" s="16"/>
      <c r="ED123" s="16"/>
      <c r="EE123" s="16"/>
      <c r="EF123" s="16"/>
      <c r="EG123" s="16"/>
      <c r="EH123" s="16"/>
      <c r="EI123" s="16"/>
      <c r="EJ123" s="16"/>
      <c r="EK123" s="16"/>
      <c r="EL123" s="16"/>
      <c r="EM123" s="16"/>
      <c r="EN123" s="16"/>
      <c r="EO123" s="16"/>
      <c r="EP123" s="16"/>
      <c r="EQ123" s="16"/>
      <c r="ER123" s="16"/>
      <c r="ES123" s="16"/>
      <c r="ET123" s="16"/>
      <c r="EU123" s="16"/>
      <c r="EV123" s="16"/>
      <c r="EW123" s="16"/>
      <c r="EX123" s="16"/>
      <c r="EY123" s="16"/>
      <c r="EZ123" s="16"/>
      <c r="FA123" s="16"/>
      <c r="FB123" s="16"/>
      <c r="FC123" s="16"/>
      <c r="FD123" s="16"/>
      <c r="FE123" s="16"/>
      <c r="FF123" s="16"/>
      <c r="FG123" s="16"/>
      <c r="FH123" s="16"/>
      <c r="FI123" s="16"/>
      <c r="FJ123" s="16"/>
      <c r="FK123" s="16"/>
      <c r="FL123" s="16"/>
      <c r="FM123" s="16"/>
      <c r="FN123" s="16"/>
      <c r="FO123" s="16"/>
      <c r="FP123" s="16"/>
      <c r="FQ123" s="16"/>
      <c r="FR123" s="16"/>
      <c r="FS123" s="16"/>
      <c r="FT123" s="16"/>
      <c r="FU123" s="16"/>
      <c r="FV123" s="16"/>
      <c r="FW123" s="16"/>
      <c r="FX123" s="16"/>
      <c r="FY123" s="16"/>
      <c r="FZ123" s="16"/>
      <c r="GA123" s="16"/>
      <c r="GB123" s="16"/>
      <c r="GC123" s="16"/>
      <c r="GD123" s="16"/>
      <c r="GE123" s="16"/>
      <c r="GF123" s="16"/>
      <c r="GG123" s="16"/>
      <c r="GH123" s="16"/>
      <c r="GI123" s="16"/>
      <c r="GJ123" s="16"/>
      <c r="GK123" s="16"/>
      <c r="GL123" s="16"/>
      <c r="GM123" s="16"/>
      <c r="GN123" s="16"/>
      <c r="GO123" s="16"/>
      <c r="GP123" s="16"/>
      <c r="GQ123" s="16"/>
      <c r="GR123" s="16"/>
      <c r="GS123" s="16"/>
      <c r="GT123" s="16"/>
      <c r="GU123" s="16"/>
      <c r="GV123" s="16"/>
      <c r="GW123" s="16"/>
      <c r="GX123" s="16"/>
      <c r="GY123" s="16"/>
      <c r="GZ123" s="16"/>
      <c r="HA123" s="16"/>
      <c r="HB123" s="16"/>
      <c r="HC123" s="16"/>
      <c r="HD123" s="16"/>
      <c r="HE123" s="16"/>
      <c r="HF123" s="16"/>
      <c r="HG123" s="16"/>
      <c r="HH123" s="16"/>
      <c r="HI123" s="16"/>
      <c r="HJ123" s="16"/>
      <c r="HK123" s="16"/>
      <c r="HL123" s="16"/>
      <c r="HM123" s="16"/>
      <c r="HN123" s="16"/>
      <c r="HO123" s="16"/>
      <c r="HP123" s="16"/>
      <c r="HQ123" s="16"/>
      <c r="HR123" s="16"/>
      <c r="HS123" s="16"/>
      <c r="HT123" s="16"/>
      <c r="HU123" s="16"/>
      <c r="HV123" s="16"/>
      <c r="HW123" s="16"/>
      <c r="HX123" s="16"/>
      <c r="HY123" s="16"/>
      <c r="HZ123" s="16"/>
      <c r="IA123" s="16"/>
      <c r="IB123" s="16"/>
      <c r="IC123" s="16"/>
      <c r="ID123" s="16"/>
      <c r="IE123" s="16"/>
      <c r="IF123" s="16"/>
      <c r="IG123" s="16"/>
      <c r="IH123" s="16"/>
      <c r="II123" s="16"/>
      <c r="IJ123" s="16"/>
      <c r="IK123" s="16"/>
      <c r="IL123" s="16"/>
      <c r="IM123" s="16"/>
      <c r="IN123" s="16"/>
      <c r="IO123" s="16"/>
      <c r="IP123" s="16"/>
      <c r="IQ123" s="16"/>
      <c r="IR123" s="16"/>
      <c r="IS123" s="16"/>
      <c r="IT123" s="16"/>
      <c r="IU123" s="16"/>
      <c r="IV123" s="16"/>
      <c r="IW123" s="16"/>
      <c r="IX123" s="16"/>
      <c r="IY123" s="16"/>
      <c r="IZ123" s="16"/>
      <c r="JA123" s="16"/>
      <c r="JB123" s="16"/>
      <c r="JC123" s="16"/>
      <c r="JD123" s="16"/>
    </row>
    <row r="124" spans="1:264" ht="70.5" customHeight="1" x14ac:dyDescent="0.3">
      <c r="A124" s="15" t="s">
        <v>18</v>
      </c>
      <c r="B124" s="15" t="s">
        <v>254</v>
      </c>
      <c r="C124" s="15" t="s">
        <v>252</v>
      </c>
      <c r="D124" s="15" t="s">
        <v>19</v>
      </c>
      <c r="E124" s="70" t="s">
        <v>19</v>
      </c>
      <c r="F124" s="70" t="s">
        <v>3186</v>
      </c>
      <c r="G124" s="70" t="s">
        <v>19</v>
      </c>
      <c r="H124" s="70" t="s">
        <v>19</v>
      </c>
      <c r="I124" s="72" t="s">
        <v>19</v>
      </c>
      <c r="J124" s="72" t="s">
        <v>19</v>
      </c>
      <c r="K124" s="70" t="s">
        <v>19</v>
      </c>
      <c r="L124" s="70" t="s">
        <v>19</v>
      </c>
      <c r="M124" s="15" t="s">
        <v>2906</v>
      </c>
      <c r="N124" s="4" t="s">
        <v>253</v>
      </c>
      <c r="O124" s="15"/>
      <c r="P124" s="4" t="s">
        <v>1713</v>
      </c>
      <c r="S124" s="15" t="e" cm="1">
        <f t="array" aca="1" ref="S124" ca="1">COMMONMARKETCOUNT(H124:AV124)</f>
        <v>#NAME?</v>
      </c>
      <c r="T124" s="6" t="e" cm="1">
        <f t="array" aca="1" ref="T124" ca="1">AUTOMATEDCOUNT(H124:AV124)</f>
        <v>#NAME?</v>
      </c>
      <c r="V124" s="100" t="s">
        <v>19</v>
      </c>
      <c r="W124" s="70" t="s">
        <v>19</v>
      </c>
      <c r="X124" s="70" t="s">
        <v>19</v>
      </c>
      <c r="Y124" s="70" t="s">
        <v>19</v>
      </c>
      <c r="Z124" s="70" t="s">
        <v>19</v>
      </c>
      <c r="AA124" s="72" t="s">
        <v>19</v>
      </c>
      <c r="AB124" s="72" t="s">
        <v>19</v>
      </c>
      <c r="AC124" s="72" t="s">
        <v>19</v>
      </c>
      <c r="AD124" s="70" t="s">
        <v>19</v>
      </c>
      <c r="AE124" s="15" t="s">
        <v>19</v>
      </c>
      <c r="AF124" s="15" t="s">
        <v>19</v>
      </c>
      <c r="AG124" s="20" t="s">
        <v>19</v>
      </c>
      <c r="AH124" s="15" t="s">
        <v>19</v>
      </c>
      <c r="AI124" s="15" t="s">
        <v>19</v>
      </c>
      <c r="AJ124" s="15" t="s">
        <v>19</v>
      </c>
      <c r="AK124" s="15" t="s">
        <v>19</v>
      </c>
      <c r="AL124" s="15" t="s">
        <v>19</v>
      </c>
      <c r="AM124" s="18" t="s">
        <v>19</v>
      </c>
      <c r="AN124" s="18" t="s">
        <v>19</v>
      </c>
      <c r="AO124" s="18" t="s">
        <v>19</v>
      </c>
      <c r="AP124" s="15" t="s">
        <v>19</v>
      </c>
      <c r="AQ124" s="15" t="s">
        <v>19</v>
      </c>
      <c r="AR124" s="15" t="s">
        <v>19</v>
      </c>
      <c r="AS124" s="70" t="s">
        <v>19</v>
      </c>
      <c r="AT124" s="70" t="s">
        <v>19</v>
      </c>
      <c r="AU124" s="15" t="s">
        <v>3153</v>
      </c>
      <c r="AV124" s="36" t="s">
        <v>19</v>
      </c>
    </row>
    <row r="125" spans="1:264" ht="70.5" hidden="1" customHeight="1" x14ac:dyDescent="0.3">
      <c r="A125" s="15" t="s">
        <v>25</v>
      </c>
      <c r="B125" s="15" t="s">
        <v>37</v>
      </c>
      <c r="C125" s="15" t="s">
        <v>255</v>
      </c>
      <c r="D125" s="15" t="s">
        <v>19</v>
      </c>
      <c r="E125" s="70" t="s">
        <v>19</v>
      </c>
      <c r="F125" s="70" t="s">
        <v>19</v>
      </c>
      <c r="G125" s="70" t="s">
        <v>19</v>
      </c>
      <c r="H125" s="70" t="s">
        <v>3178</v>
      </c>
      <c r="I125" s="72" t="s">
        <v>19</v>
      </c>
      <c r="J125" s="72" t="s">
        <v>19</v>
      </c>
      <c r="K125" s="72" t="s">
        <v>19</v>
      </c>
      <c r="L125" s="72" t="s">
        <v>19</v>
      </c>
      <c r="M125" s="15" t="s">
        <v>1714</v>
      </c>
      <c r="N125" s="4" t="s">
        <v>1518</v>
      </c>
      <c r="O125" s="15"/>
      <c r="P125" s="4" t="s">
        <v>1597</v>
      </c>
      <c r="S125" s="15" t="e" cm="1">
        <f t="array" aca="1" ref="S125" ca="1">COMMONMARKETCOUNT(H125:AV125)</f>
        <v>#NAME?</v>
      </c>
      <c r="T125" s="6" t="e" cm="1">
        <f t="array" aca="1" ref="T125" ca="1">AUTOMATEDCOUNT(H125:AV125)</f>
        <v>#NAME?</v>
      </c>
      <c r="V125" s="20" t="s">
        <v>19</v>
      </c>
      <c r="W125" s="70" t="s">
        <v>19</v>
      </c>
      <c r="X125" s="70" t="s">
        <v>19</v>
      </c>
      <c r="Y125" s="70" t="s">
        <v>19</v>
      </c>
      <c r="Z125" s="70" t="s">
        <v>19</v>
      </c>
      <c r="AA125" s="72" t="s">
        <v>19</v>
      </c>
      <c r="AB125" s="72" t="s">
        <v>19</v>
      </c>
      <c r="AC125" s="72" t="s">
        <v>19</v>
      </c>
      <c r="AD125" s="72" t="s">
        <v>19</v>
      </c>
      <c r="AE125" s="18" t="s">
        <v>19</v>
      </c>
      <c r="AF125" s="18" t="s">
        <v>19</v>
      </c>
      <c r="AG125" s="29" t="s">
        <v>19</v>
      </c>
      <c r="AH125" s="18" t="s">
        <v>19</v>
      </c>
      <c r="AI125" s="18" t="s">
        <v>19</v>
      </c>
      <c r="AJ125" s="18" t="s">
        <v>19</v>
      </c>
      <c r="AK125" s="18" t="s">
        <v>19</v>
      </c>
      <c r="AL125" s="18" t="s">
        <v>19</v>
      </c>
      <c r="AM125" s="18" t="s">
        <v>19</v>
      </c>
      <c r="AN125" s="18" t="s">
        <v>19</v>
      </c>
      <c r="AO125" s="18" t="s">
        <v>19</v>
      </c>
      <c r="AP125" s="18" t="s">
        <v>19</v>
      </c>
      <c r="AQ125" s="18" t="s">
        <v>19</v>
      </c>
      <c r="AR125" s="18" t="s">
        <v>19</v>
      </c>
      <c r="AS125" s="70" t="s">
        <v>19</v>
      </c>
      <c r="AT125" s="72" t="s">
        <v>19</v>
      </c>
      <c r="AU125" s="29" t="s">
        <v>3153</v>
      </c>
      <c r="AV125" s="36" t="s">
        <v>19</v>
      </c>
    </row>
    <row r="126" spans="1:264" ht="70.5" hidden="1" customHeight="1" x14ac:dyDescent="0.3">
      <c r="A126" s="15" t="s">
        <v>18</v>
      </c>
      <c r="B126" s="15" t="s">
        <v>37</v>
      </c>
      <c r="C126" s="15" t="s">
        <v>256</v>
      </c>
      <c r="D126" s="15" t="s">
        <v>19</v>
      </c>
      <c r="E126" s="70" t="s">
        <v>19</v>
      </c>
      <c r="F126" s="70" t="s">
        <v>19</v>
      </c>
      <c r="G126" s="70" t="s">
        <v>19</v>
      </c>
      <c r="H126" s="70" t="s">
        <v>3178</v>
      </c>
      <c r="I126" s="72" t="s">
        <v>19</v>
      </c>
      <c r="J126" s="72" t="s">
        <v>19</v>
      </c>
      <c r="K126" s="70" t="s">
        <v>19</v>
      </c>
      <c r="L126" s="70" t="s">
        <v>19</v>
      </c>
      <c r="M126" s="15" t="s">
        <v>2907</v>
      </c>
      <c r="N126" s="4" t="s">
        <v>1715</v>
      </c>
      <c r="O126" s="15"/>
      <c r="P126" s="4" t="s">
        <v>2159</v>
      </c>
      <c r="S126" s="15" t="e" cm="1">
        <f t="array" aca="1" ref="S126" ca="1">COMMONMARKETCOUNT(H126:AV126)</f>
        <v>#NAME?</v>
      </c>
      <c r="T126" s="6" t="e" cm="1">
        <f t="array" aca="1" ref="T126" ca="1">AUTOMATEDCOUNT(H126:AV126)</f>
        <v>#NAME?</v>
      </c>
      <c r="V126" s="70" t="s">
        <v>19</v>
      </c>
      <c r="W126" s="70" t="s">
        <v>19</v>
      </c>
      <c r="X126" s="70" t="s">
        <v>19</v>
      </c>
      <c r="Y126" s="70" t="s">
        <v>19</v>
      </c>
      <c r="Z126" s="70" t="s">
        <v>19</v>
      </c>
      <c r="AA126" s="72" t="s">
        <v>19</v>
      </c>
      <c r="AB126" s="72" t="s">
        <v>19</v>
      </c>
      <c r="AC126" s="72" t="s">
        <v>19</v>
      </c>
      <c r="AD126" s="72" t="s">
        <v>19</v>
      </c>
      <c r="AE126" s="18" t="s">
        <v>19</v>
      </c>
      <c r="AF126" s="15" t="s">
        <v>19</v>
      </c>
      <c r="AG126" s="20" t="s">
        <v>19</v>
      </c>
      <c r="AH126" s="15" t="s">
        <v>19</v>
      </c>
      <c r="AI126" s="15" t="s">
        <v>19</v>
      </c>
      <c r="AJ126" s="15" t="s">
        <v>19</v>
      </c>
      <c r="AK126" s="15" t="s">
        <v>19</v>
      </c>
      <c r="AL126" s="15" t="s">
        <v>19</v>
      </c>
      <c r="AM126" s="18" t="s">
        <v>19</v>
      </c>
      <c r="AN126" s="18" t="s">
        <v>19</v>
      </c>
      <c r="AO126" s="18" t="s">
        <v>19</v>
      </c>
      <c r="AP126" s="15" t="s">
        <v>19</v>
      </c>
      <c r="AQ126" s="15" t="s">
        <v>19</v>
      </c>
      <c r="AR126" s="15" t="s">
        <v>19</v>
      </c>
      <c r="AS126" s="70" t="s">
        <v>19</v>
      </c>
      <c r="AT126" s="70" t="s">
        <v>19</v>
      </c>
      <c r="AU126" s="15" t="s">
        <v>3153</v>
      </c>
      <c r="AV126" s="36" t="s">
        <v>19</v>
      </c>
    </row>
    <row r="127" spans="1:264" ht="70.5" hidden="1" customHeight="1" x14ac:dyDescent="0.3">
      <c r="A127" s="15" t="s">
        <v>25</v>
      </c>
      <c r="B127" s="15" t="s">
        <v>37</v>
      </c>
      <c r="C127" s="15" t="s">
        <v>257</v>
      </c>
      <c r="D127" s="15" t="s">
        <v>19</v>
      </c>
      <c r="E127" s="70" t="s">
        <v>19</v>
      </c>
      <c r="F127" s="70" t="s">
        <v>19</v>
      </c>
      <c r="G127" s="70" t="s">
        <v>19</v>
      </c>
      <c r="H127" s="70" t="s">
        <v>3178</v>
      </c>
      <c r="I127" s="72" t="s">
        <v>19</v>
      </c>
      <c r="J127" s="72" t="s">
        <v>19</v>
      </c>
      <c r="K127" s="70" t="s">
        <v>19</v>
      </c>
      <c r="L127" s="70" t="s">
        <v>19</v>
      </c>
      <c r="M127" s="15" t="s">
        <v>2908</v>
      </c>
      <c r="N127" s="4" t="s">
        <v>945</v>
      </c>
      <c r="O127" s="15"/>
      <c r="P127" s="4" t="s">
        <v>2160</v>
      </c>
      <c r="S127" s="15" t="e" cm="1">
        <f t="array" aca="1" ref="S127" ca="1">COMMONMARKETCOUNT(H127:AV127)</f>
        <v>#NAME?</v>
      </c>
      <c r="T127" s="6" t="e" cm="1">
        <f t="array" aca="1" ref="T127" ca="1">AUTOMATEDCOUNT(H127:AV127)</f>
        <v>#NAME?</v>
      </c>
      <c r="V127" s="70" t="s">
        <v>19</v>
      </c>
      <c r="W127" s="70" t="s">
        <v>19</v>
      </c>
      <c r="X127" s="70" t="s">
        <v>19</v>
      </c>
      <c r="Y127" s="70" t="s">
        <v>19</v>
      </c>
      <c r="Z127" s="70" t="s">
        <v>19</v>
      </c>
      <c r="AA127" s="72" t="s">
        <v>19</v>
      </c>
      <c r="AB127" s="72" t="s">
        <v>19</v>
      </c>
      <c r="AC127" s="72" t="s">
        <v>19</v>
      </c>
      <c r="AD127" s="72" t="s">
        <v>19</v>
      </c>
      <c r="AE127" s="18" t="s">
        <v>19</v>
      </c>
      <c r="AF127" s="15" t="s">
        <v>19</v>
      </c>
      <c r="AG127" s="20" t="s">
        <v>19</v>
      </c>
      <c r="AH127" s="15" t="s">
        <v>19</v>
      </c>
      <c r="AI127" s="15" t="s">
        <v>19</v>
      </c>
      <c r="AJ127" s="15" t="s">
        <v>19</v>
      </c>
      <c r="AK127" s="15" t="s">
        <v>19</v>
      </c>
      <c r="AL127" s="15" t="s">
        <v>19</v>
      </c>
      <c r="AM127" s="18" t="s">
        <v>19</v>
      </c>
      <c r="AN127" s="18" t="s">
        <v>19</v>
      </c>
      <c r="AO127" s="18" t="s">
        <v>19</v>
      </c>
      <c r="AP127" s="15" t="s">
        <v>19</v>
      </c>
      <c r="AQ127" s="15" t="s">
        <v>19</v>
      </c>
      <c r="AR127" s="15" t="s">
        <v>19</v>
      </c>
      <c r="AS127" s="70" t="s">
        <v>19</v>
      </c>
      <c r="AT127" s="70" t="s">
        <v>19</v>
      </c>
      <c r="AU127" s="15" t="s">
        <v>3153</v>
      </c>
      <c r="AV127" s="36" t="s">
        <v>19</v>
      </c>
    </row>
    <row r="128" spans="1:264" ht="70.5" hidden="1" customHeight="1" x14ac:dyDescent="0.3">
      <c r="A128" s="15" t="s">
        <v>25</v>
      </c>
      <c r="B128" s="15" t="s">
        <v>239</v>
      </c>
      <c r="C128" s="17" t="s">
        <v>260</v>
      </c>
      <c r="D128" s="15" t="s">
        <v>19</v>
      </c>
      <c r="E128" s="70" t="s">
        <v>19</v>
      </c>
      <c r="F128" s="70" t="s">
        <v>3178</v>
      </c>
      <c r="G128" s="70" t="s">
        <v>19</v>
      </c>
      <c r="H128" s="70" t="s">
        <v>3178</v>
      </c>
      <c r="I128" s="72" t="s">
        <v>19</v>
      </c>
      <c r="J128" s="72" t="s">
        <v>19</v>
      </c>
      <c r="K128" s="18" t="s">
        <v>19</v>
      </c>
      <c r="L128" s="18" t="s">
        <v>19</v>
      </c>
      <c r="M128" s="15" t="s">
        <v>261</v>
      </c>
      <c r="N128" s="4" t="s">
        <v>1520</v>
      </c>
      <c r="O128" s="15"/>
      <c r="P128" s="4" t="s">
        <v>1599</v>
      </c>
      <c r="S128" s="15" t="e" cm="1">
        <f t="array" aca="1" ref="S128" ca="1">COMMONMARKETCOUNT(H128:AV128)</f>
        <v>#NAME?</v>
      </c>
      <c r="T128" s="6" t="e" cm="1">
        <f t="array" aca="1" ref="T128" ca="1">AUTOMATEDCOUNT(H128:AV128)</f>
        <v>#NAME?</v>
      </c>
      <c r="V128" s="15" t="s">
        <v>109</v>
      </c>
      <c r="W128" s="15" t="s">
        <v>109</v>
      </c>
      <c r="X128" s="70" t="s">
        <v>19</v>
      </c>
      <c r="Y128" s="70" t="s">
        <v>19</v>
      </c>
      <c r="Z128" s="70" t="s">
        <v>19</v>
      </c>
      <c r="AA128" s="72" t="s">
        <v>19</v>
      </c>
      <c r="AB128" s="72" t="s">
        <v>19</v>
      </c>
      <c r="AC128" s="72" t="s">
        <v>19</v>
      </c>
      <c r="AD128" s="72" t="s">
        <v>19</v>
      </c>
      <c r="AE128" s="18" t="s">
        <v>19</v>
      </c>
      <c r="AF128" s="15" t="s">
        <v>109</v>
      </c>
      <c r="AG128" s="18" t="s">
        <v>109</v>
      </c>
      <c r="AH128" s="18" t="s">
        <v>109</v>
      </c>
      <c r="AI128" s="18" t="s">
        <v>109</v>
      </c>
      <c r="AJ128" s="18" t="s">
        <v>109</v>
      </c>
      <c r="AK128" s="18" t="s">
        <v>109</v>
      </c>
      <c r="AL128" s="18" t="s">
        <v>109</v>
      </c>
      <c r="AM128" s="18" t="s">
        <v>109</v>
      </c>
      <c r="AN128" s="18" t="s">
        <v>109</v>
      </c>
      <c r="AO128" s="18" t="s">
        <v>109</v>
      </c>
      <c r="AP128" s="18" t="s">
        <v>109</v>
      </c>
      <c r="AQ128" s="18" t="s">
        <v>109</v>
      </c>
      <c r="AR128" s="18" t="s">
        <v>109</v>
      </c>
      <c r="AS128" s="18" t="s">
        <v>109</v>
      </c>
      <c r="AT128" s="18" t="s">
        <v>109</v>
      </c>
      <c r="AU128" s="18" t="s">
        <v>109</v>
      </c>
      <c r="AV128" s="36" t="s">
        <v>109</v>
      </c>
    </row>
    <row r="129" spans="1:264" ht="70.5" hidden="1" customHeight="1" x14ac:dyDescent="0.3">
      <c r="A129" s="15" t="s">
        <v>25</v>
      </c>
      <c r="B129" s="15" t="s">
        <v>239</v>
      </c>
      <c r="C129" s="17" t="s">
        <v>262</v>
      </c>
      <c r="D129" s="15" t="s">
        <v>19</v>
      </c>
      <c r="E129" s="70" t="s">
        <v>19</v>
      </c>
      <c r="F129" s="70" t="s">
        <v>3178</v>
      </c>
      <c r="G129" s="70" t="s">
        <v>19</v>
      </c>
      <c r="H129" s="70" t="s">
        <v>3178</v>
      </c>
      <c r="I129" s="72" t="s">
        <v>19</v>
      </c>
      <c r="J129" s="72" t="s">
        <v>19</v>
      </c>
      <c r="K129" s="18" t="s">
        <v>19</v>
      </c>
      <c r="L129" s="18" t="s">
        <v>19</v>
      </c>
      <c r="M129" s="15" t="s">
        <v>263</v>
      </c>
      <c r="N129" s="4" t="s">
        <v>1521</v>
      </c>
      <c r="O129" s="15"/>
      <c r="P129" s="4" t="s">
        <v>946</v>
      </c>
      <c r="S129" s="15" t="e" cm="1">
        <f t="array" aca="1" ref="S129" ca="1">COMMONMARKETCOUNT(H129:AV129)</f>
        <v>#NAME?</v>
      </c>
      <c r="T129" s="6" t="e" cm="1">
        <f t="array" aca="1" ref="T129" ca="1">AUTOMATEDCOUNT(H129:AV129)</f>
        <v>#NAME?</v>
      </c>
      <c r="V129" s="15" t="s">
        <v>109</v>
      </c>
      <c r="W129" s="15" t="s">
        <v>109</v>
      </c>
      <c r="X129" s="70" t="s">
        <v>19</v>
      </c>
      <c r="Y129" s="70" t="s">
        <v>19</v>
      </c>
      <c r="Z129" s="70" t="s">
        <v>19</v>
      </c>
      <c r="AA129" s="72" t="s">
        <v>19</v>
      </c>
      <c r="AB129" s="72" t="s">
        <v>19</v>
      </c>
      <c r="AC129" s="72" t="s">
        <v>19</v>
      </c>
      <c r="AD129" s="72" t="s">
        <v>19</v>
      </c>
      <c r="AE129" s="18" t="s">
        <v>19</v>
      </c>
      <c r="AF129" s="15" t="s">
        <v>109</v>
      </c>
      <c r="AG129" s="18" t="s">
        <v>109</v>
      </c>
      <c r="AH129" s="18" t="s">
        <v>109</v>
      </c>
      <c r="AI129" s="18" t="s">
        <v>109</v>
      </c>
      <c r="AJ129" s="18" t="s">
        <v>109</v>
      </c>
      <c r="AK129" s="18" t="s">
        <v>109</v>
      </c>
      <c r="AL129" s="18" t="s">
        <v>109</v>
      </c>
      <c r="AM129" s="18" t="s">
        <v>109</v>
      </c>
      <c r="AN129" s="18" t="s">
        <v>109</v>
      </c>
      <c r="AO129" s="18" t="s">
        <v>109</v>
      </c>
      <c r="AP129" s="18" t="s">
        <v>109</v>
      </c>
      <c r="AQ129" s="18" t="s">
        <v>109</v>
      </c>
      <c r="AR129" s="18" t="s">
        <v>109</v>
      </c>
      <c r="AS129" s="18" t="s">
        <v>109</v>
      </c>
      <c r="AT129" s="18" t="s">
        <v>109</v>
      </c>
      <c r="AU129" s="18" t="s">
        <v>109</v>
      </c>
      <c r="AV129" s="36" t="s">
        <v>109</v>
      </c>
    </row>
    <row r="130" spans="1:264" ht="70.5" hidden="1" customHeight="1" x14ac:dyDescent="0.3">
      <c r="A130" s="15" t="s">
        <v>25</v>
      </c>
      <c r="B130" s="15" t="s">
        <v>239</v>
      </c>
      <c r="C130" s="17" t="s">
        <v>264</v>
      </c>
      <c r="D130" s="15" t="s">
        <v>19</v>
      </c>
      <c r="E130" s="70" t="s">
        <v>19</v>
      </c>
      <c r="F130" s="70" t="s">
        <v>3178</v>
      </c>
      <c r="G130" s="70" t="s">
        <v>19</v>
      </c>
      <c r="H130" s="70" t="s">
        <v>3178</v>
      </c>
      <c r="I130" s="72" t="s">
        <v>19</v>
      </c>
      <c r="J130" s="72" t="s">
        <v>19</v>
      </c>
      <c r="K130" s="15" t="s">
        <v>19</v>
      </c>
      <c r="L130" s="15" t="s">
        <v>19</v>
      </c>
      <c r="M130" s="15" t="s">
        <v>265</v>
      </c>
      <c r="N130" s="4" t="s">
        <v>1522</v>
      </c>
      <c r="O130" s="15"/>
      <c r="P130" s="4" t="s">
        <v>947</v>
      </c>
      <c r="S130" s="15" t="e" cm="1">
        <f t="array" aca="1" ref="S130" ca="1">COMMONMARKETCOUNT(H130:AV130)</f>
        <v>#NAME?</v>
      </c>
      <c r="T130" s="6" t="e" cm="1">
        <f t="array" aca="1" ref="T130" ca="1">AUTOMATEDCOUNT(H130:AV130)</f>
        <v>#NAME?</v>
      </c>
      <c r="V130" s="15" t="s">
        <v>109</v>
      </c>
      <c r="W130" s="15" t="s">
        <v>109</v>
      </c>
      <c r="X130" s="70" t="s">
        <v>19</v>
      </c>
      <c r="Y130" s="70" t="s">
        <v>19</v>
      </c>
      <c r="Z130" s="70" t="s">
        <v>19</v>
      </c>
      <c r="AA130" s="72" t="s">
        <v>19</v>
      </c>
      <c r="AB130" s="72" t="s">
        <v>19</v>
      </c>
      <c r="AC130" s="72" t="s">
        <v>19</v>
      </c>
      <c r="AD130" s="72" t="s">
        <v>19</v>
      </c>
      <c r="AE130" s="18" t="s">
        <v>19</v>
      </c>
      <c r="AF130" s="15" t="s">
        <v>109</v>
      </c>
      <c r="AG130" s="15" t="s">
        <v>109</v>
      </c>
      <c r="AH130" s="15" t="s">
        <v>109</v>
      </c>
      <c r="AI130" s="15" t="s">
        <v>109</v>
      </c>
      <c r="AJ130" s="15" t="s">
        <v>109</v>
      </c>
      <c r="AK130" s="15" t="s">
        <v>109</v>
      </c>
      <c r="AL130" s="15" t="s">
        <v>109</v>
      </c>
      <c r="AM130" s="15" t="s">
        <v>109</v>
      </c>
      <c r="AN130" s="18" t="s">
        <v>109</v>
      </c>
      <c r="AO130" s="18" t="s">
        <v>109</v>
      </c>
      <c r="AP130" s="15" t="s">
        <v>109</v>
      </c>
      <c r="AQ130" s="15" t="s">
        <v>109</v>
      </c>
      <c r="AR130" s="15" t="s">
        <v>109</v>
      </c>
      <c r="AS130" s="15" t="s">
        <v>109</v>
      </c>
      <c r="AT130" s="15" t="s">
        <v>109</v>
      </c>
      <c r="AU130" s="15" t="s">
        <v>109</v>
      </c>
      <c r="AV130" s="36" t="s">
        <v>109</v>
      </c>
    </row>
    <row r="131" spans="1:264" ht="70.5" hidden="1" customHeight="1" x14ac:dyDescent="0.3">
      <c r="A131" s="15" t="s">
        <v>25</v>
      </c>
      <c r="B131" s="15" t="s">
        <v>239</v>
      </c>
      <c r="C131" s="19" t="s">
        <v>620</v>
      </c>
      <c r="D131" s="15" t="s">
        <v>19</v>
      </c>
      <c r="E131" s="70" t="s">
        <v>19</v>
      </c>
      <c r="F131" s="117" t="s">
        <v>3179</v>
      </c>
      <c r="G131" s="70" t="s">
        <v>19</v>
      </c>
      <c r="H131" s="70" t="s">
        <v>3178</v>
      </c>
      <c r="I131" s="72" t="s">
        <v>19</v>
      </c>
      <c r="J131" s="72" t="s">
        <v>19</v>
      </c>
      <c r="K131" s="18" t="s">
        <v>19</v>
      </c>
      <c r="L131" s="18" t="s">
        <v>19</v>
      </c>
      <c r="M131" s="15" t="s">
        <v>621</v>
      </c>
      <c r="N131" s="15" t="s">
        <v>1574</v>
      </c>
      <c r="O131" s="15"/>
      <c r="P131" s="4" t="s">
        <v>3119</v>
      </c>
      <c r="S131" s="15" t="e" cm="1">
        <f t="array" aca="1" ref="S131" ca="1">COMMONMARKETCOUNT(H131:AV131)</f>
        <v>#NAME?</v>
      </c>
      <c r="T131" s="15" t="e" cm="1">
        <f t="array" aca="1" ref="T131" ca="1">AUTOMATEDCOUNT(H131:AU131)</f>
        <v>#NAME?</v>
      </c>
      <c r="V131" s="15" t="s">
        <v>109</v>
      </c>
      <c r="W131" s="15" t="s">
        <v>109</v>
      </c>
      <c r="X131" s="70" t="s">
        <v>19</v>
      </c>
      <c r="Y131" s="70" t="s">
        <v>19</v>
      </c>
      <c r="Z131" s="70" t="s">
        <v>19</v>
      </c>
      <c r="AA131" s="72" t="s">
        <v>19</v>
      </c>
      <c r="AB131" s="72" t="s">
        <v>19</v>
      </c>
      <c r="AC131" s="72" t="s">
        <v>19</v>
      </c>
      <c r="AD131" s="72" t="s">
        <v>19</v>
      </c>
      <c r="AE131" s="18" t="s">
        <v>19</v>
      </c>
      <c r="AF131" s="15" t="s">
        <v>109</v>
      </c>
      <c r="AG131" s="18" t="s">
        <v>109</v>
      </c>
      <c r="AH131" s="18" t="s">
        <v>109</v>
      </c>
      <c r="AI131" s="18" t="s">
        <v>109</v>
      </c>
      <c r="AJ131" s="18" t="s">
        <v>109</v>
      </c>
      <c r="AK131" s="18" t="s">
        <v>109</v>
      </c>
      <c r="AL131" s="18" t="s">
        <v>109</v>
      </c>
      <c r="AM131" s="18" t="s">
        <v>109</v>
      </c>
      <c r="AN131" s="18" t="s">
        <v>109</v>
      </c>
      <c r="AO131" s="18" t="s">
        <v>109</v>
      </c>
      <c r="AP131" s="18" t="s">
        <v>109</v>
      </c>
      <c r="AQ131" s="18" t="s">
        <v>109</v>
      </c>
      <c r="AR131" s="18" t="s">
        <v>109</v>
      </c>
      <c r="AS131" s="18" t="s">
        <v>109</v>
      </c>
      <c r="AT131" s="18" t="s">
        <v>109</v>
      </c>
      <c r="AU131" s="18" t="s">
        <v>109</v>
      </c>
      <c r="AV131" s="36" t="s">
        <v>109</v>
      </c>
    </row>
    <row r="132" spans="1:264" ht="70.5" hidden="1" customHeight="1" x14ac:dyDescent="0.3">
      <c r="A132" s="118" t="s">
        <v>18</v>
      </c>
      <c r="B132" s="15" t="s">
        <v>239</v>
      </c>
      <c r="C132" s="15" t="s">
        <v>266</v>
      </c>
      <c r="D132" s="15" t="s">
        <v>19</v>
      </c>
      <c r="E132" s="70" t="s">
        <v>19</v>
      </c>
      <c r="F132" s="70" t="s">
        <v>3178</v>
      </c>
      <c r="G132" s="15" t="s">
        <v>109</v>
      </c>
      <c r="H132" s="15" t="s">
        <v>109</v>
      </c>
      <c r="I132" s="72" t="s">
        <v>19</v>
      </c>
      <c r="J132" s="72" t="s">
        <v>19</v>
      </c>
      <c r="K132" s="18" t="s">
        <v>19</v>
      </c>
      <c r="L132" s="18" t="s">
        <v>19</v>
      </c>
      <c r="M132" s="15" t="s">
        <v>267</v>
      </c>
      <c r="N132" s="4" t="s">
        <v>1638</v>
      </c>
      <c r="O132" s="15"/>
      <c r="P132" s="4" t="s">
        <v>1716</v>
      </c>
      <c r="S132" s="15" t="e" cm="1">
        <f t="array" aca="1" ref="S132" ca="1">COMMONMARKETCOUNT(H132:AV132)</f>
        <v>#NAME?</v>
      </c>
      <c r="T132" s="6" t="e" cm="1">
        <f t="array" aca="1" ref="T132" ca="1">AUTOMATEDCOUNT(H132:AV132)</f>
        <v>#NAME?</v>
      </c>
      <c r="V132" s="15" t="s">
        <v>109</v>
      </c>
      <c r="W132" s="15" t="s">
        <v>109</v>
      </c>
      <c r="X132" s="70" t="s">
        <v>19</v>
      </c>
      <c r="Y132" s="70" t="s">
        <v>19</v>
      </c>
      <c r="Z132" s="70" t="s">
        <v>19</v>
      </c>
      <c r="AA132" s="72" t="s">
        <v>19</v>
      </c>
      <c r="AB132" s="72" t="s">
        <v>19</v>
      </c>
      <c r="AC132" s="72" t="s">
        <v>19</v>
      </c>
      <c r="AD132" s="72" t="s">
        <v>19</v>
      </c>
      <c r="AE132" s="18" t="s">
        <v>19</v>
      </c>
      <c r="AF132" s="15" t="s">
        <v>109</v>
      </c>
      <c r="AG132" s="18" t="s">
        <v>109</v>
      </c>
      <c r="AH132" s="18" t="s">
        <v>109</v>
      </c>
      <c r="AI132" s="18" t="s">
        <v>109</v>
      </c>
      <c r="AJ132" s="18" t="s">
        <v>109</v>
      </c>
      <c r="AK132" s="18" t="s">
        <v>109</v>
      </c>
      <c r="AL132" s="18" t="s">
        <v>109</v>
      </c>
      <c r="AM132" s="18" t="s">
        <v>109</v>
      </c>
      <c r="AN132" s="18" t="s">
        <v>109</v>
      </c>
      <c r="AO132" s="18" t="s">
        <v>109</v>
      </c>
      <c r="AP132" s="18" t="s">
        <v>109</v>
      </c>
      <c r="AQ132" s="18" t="s">
        <v>109</v>
      </c>
      <c r="AR132" s="18" t="s">
        <v>109</v>
      </c>
      <c r="AS132" s="18" t="s">
        <v>109</v>
      </c>
      <c r="AT132" s="18" t="s">
        <v>109</v>
      </c>
      <c r="AU132" s="18" t="s">
        <v>109</v>
      </c>
      <c r="AV132" s="36" t="s">
        <v>109</v>
      </c>
    </row>
    <row r="133" spans="1:264" ht="70.5" hidden="1" customHeight="1" x14ac:dyDescent="0.3">
      <c r="A133" s="118" t="s">
        <v>18</v>
      </c>
      <c r="B133" s="15" t="s">
        <v>239</v>
      </c>
      <c r="C133" s="15" t="s">
        <v>268</v>
      </c>
      <c r="D133" s="15" t="s">
        <v>19</v>
      </c>
      <c r="E133" s="70" t="s">
        <v>19</v>
      </c>
      <c r="F133" s="117" t="s">
        <v>3179</v>
      </c>
      <c r="G133" s="15" t="s">
        <v>109</v>
      </c>
      <c r="H133" s="15" t="s">
        <v>109</v>
      </c>
      <c r="I133" s="70" t="s">
        <v>19</v>
      </c>
      <c r="J133" s="70" t="s">
        <v>19</v>
      </c>
      <c r="K133" s="18" t="s">
        <v>19</v>
      </c>
      <c r="L133" s="18" t="s">
        <v>19</v>
      </c>
      <c r="M133" s="15" t="s">
        <v>269</v>
      </c>
      <c r="N133" s="4" t="s">
        <v>1637</v>
      </c>
      <c r="O133" s="15"/>
      <c r="P133" s="4" t="s">
        <v>1717</v>
      </c>
      <c r="S133" s="15" t="e" cm="1">
        <f t="array" aca="1" ref="S133" ca="1">COMMONMARKETCOUNT(H133:AV133)</f>
        <v>#NAME?</v>
      </c>
      <c r="T133" s="6" t="e" cm="1">
        <f t="array" aca="1" ref="T133" ca="1">AUTOMATEDCOUNT(H133:AV133)</f>
        <v>#NAME?</v>
      </c>
      <c r="V133" s="15" t="s">
        <v>109</v>
      </c>
      <c r="W133" s="15" t="s">
        <v>109</v>
      </c>
      <c r="X133" s="70" t="s">
        <v>19</v>
      </c>
      <c r="Y133" s="70" t="s">
        <v>19</v>
      </c>
      <c r="Z133" s="70" t="s">
        <v>19</v>
      </c>
      <c r="AA133" s="70" t="s">
        <v>19</v>
      </c>
      <c r="AB133" s="70" t="s">
        <v>19</v>
      </c>
      <c r="AC133" s="70" t="s">
        <v>19</v>
      </c>
      <c r="AD133" s="72" t="s">
        <v>19</v>
      </c>
      <c r="AE133" s="18" t="s">
        <v>19</v>
      </c>
      <c r="AF133" s="15" t="s">
        <v>109</v>
      </c>
      <c r="AG133" s="18" t="s">
        <v>109</v>
      </c>
      <c r="AH133" s="18" t="s">
        <v>109</v>
      </c>
      <c r="AI133" s="18" t="s">
        <v>109</v>
      </c>
      <c r="AJ133" s="18" t="s">
        <v>109</v>
      </c>
      <c r="AK133" s="18" t="s">
        <v>109</v>
      </c>
      <c r="AL133" s="18" t="s">
        <v>109</v>
      </c>
      <c r="AM133" s="18" t="s">
        <v>109</v>
      </c>
      <c r="AN133" s="18" t="s">
        <v>109</v>
      </c>
      <c r="AO133" s="18" t="s">
        <v>109</v>
      </c>
      <c r="AP133" s="18" t="s">
        <v>109</v>
      </c>
      <c r="AQ133" s="18" t="s">
        <v>109</v>
      </c>
      <c r="AR133" s="18" t="s">
        <v>109</v>
      </c>
      <c r="AS133" s="18" t="s">
        <v>109</v>
      </c>
      <c r="AT133" s="18" t="s">
        <v>109</v>
      </c>
      <c r="AU133" s="18" t="s">
        <v>109</v>
      </c>
      <c r="AV133" s="36" t="s">
        <v>109</v>
      </c>
    </row>
    <row r="134" spans="1:264" ht="70.5" hidden="1" customHeight="1" x14ac:dyDescent="0.3">
      <c r="A134" s="15" t="s">
        <v>25</v>
      </c>
      <c r="B134" s="15" t="s">
        <v>37</v>
      </c>
      <c r="C134" s="15" t="s">
        <v>270</v>
      </c>
      <c r="D134" s="15" t="s">
        <v>19</v>
      </c>
      <c r="E134" s="70" t="s">
        <v>19</v>
      </c>
      <c r="F134" s="70" t="s">
        <v>19</v>
      </c>
      <c r="G134" s="70" t="s">
        <v>19</v>
      </c>
      <c r="H134" s="70" t="s">
        <v>3178</v>
      </c>
      <c r="I134" s="72" t="s">
        <v>19</v>
      </c>
      <c r="J134" s="72" t="s">
        <v>19</v>
      </c>
      <c r="K134" s="72" t="s">
        <v>19</v>
      </c>
      <c r="L134" s="72" t="s">
        <v>19</v>
      </c>
      <c r="M134" s="15" t="s">
        <v>1718</v>
      </c>
      <c r="N134" s="4" t="s">
        <v>271</v>
      </c>
      <c r="O134" s="15"/>
      <c r="P134" s="4" t="s">
        <v>1600</v>
      </c>
      <c r="S134" s="15" t="e" cm="1">
        <f t="array" aca="1" ref="S134" ca="1">COMMONMARKETCOUNT(H134:AV134)</f>
        <v>#NAME?</v>
      </c>
      <c r="T134" s="6" t="e" cm="1">
        <f t="array" aca="1" ref="T134" ca="1">AUTOMATEDCOUNT(H134:AV134)</f>
        <v>#NAME?</v>
      </c>
      <c r="V134" s="70" t="s">
        <v>19</v>
      </c>
      <c r="W134" s="70" t="s">
        <v>19</v>
      </c>
      <c r="X134" s="70" t="s">
        <v>19</v>
      </c>
      <c r="Y134" s="70" t="s">
        <v>19</v>
      </c>
      <c r="Z134" s="70" t="s">
        <v>19</v>
      </c>
      <c r="AA134" s="72" t="s">
        <v>19</v>
      </c>
      <c r="AB134" s="72" t="s">
        <v>19</v>
      </c>
      <c r="AC134" s="72" t="s">
        <v>19</v>
      </c>
      <c r="AD134" s="72" t="s">
        <v>19</v>
      </c>
      <c r="AE134" s="18" t="s">
        <v>19</v>
      </c>
      <c r="AF134" s="18" t="s">
        <v>19</v>
      </c>
      <c r="AG134" s="29" t="s">
        <v>19</v>
      </c>
      <c r="AH134" s="18" t="s">
        <v>19</v>
      </c>
      <c r="AI134" s="18" t="s">
        <v>19</v>
      </c>
      <c r="AJ134" s="18" t="s">
        <v>19</v>
      </c>
      <c r="AK134" s="18" t="s">
        <v>19</v>
      </c>
      <c r="AL134" s="18" t="s">
        <v>19</v>
      </c>
      <c r="AM134" s="18" t="s">
        <v>19</v>
      </c>
      <c r="AN134" s="18" t="s">
        <v>19</v>
      </c>
      <c r="AO134" s="18" t="s">
        <v>19</v>
      </c>
      <c r="AP134" s="18" t="s">
        <v>19</v>
      </c>
      <c r="AQ134" s="18" t="s">
        <v>19</v>
      </c>
      <c r="AR134" s="18" t="s">
        <v>19</v>
      </c>
      <c r="AS134" s="70" t="s">
        <v>19</v>
      </c>
      <c r="AT134" s="72" t="s">
        <v>19</v>
      </c>
      <c r="AU134" s="29" t="s">
        <v>3153</v>
      </c>
      <c r="AV134" s="36" t="s">
        <v>19</v>
      </c>
    </row>
    <row r="135" spans="1:264" s="39" customFormat="1" ht="70.5" hidden="1" customHeight="1" x14ac:dyDescent="0.3">
      <c r="A135" s="15" t="s">
        <v>315</v>
      </c>
      <c r="B135" s="15" t="s">
        <v>55</v>
      </c>
      <c r="C135" s="19" t="s">
        <v>272</v>
      </c>
      <c r="D135" s="15" t="s">
        <v>32</v>
      </c>
      <c r="E135" s="15" t="s">
        <v>19</v>
      </c>
      <c r="F135" s="15" t="s">
        <v>19</v>
      </c>
      <c r="G135" s="15" t="s">
        <v>19</v>
      </c>
      <c r="H135" s="15" t="s">
        <v>19</v>
      </c>
      <c r="I135" s="15" t="s">
        <v>19</v>
      </c>
      <c r="J135" s="15" t="s">
        <v>19</v>
      </c>
      <c r="K135" s="15" t="s">
        <v>19</v>
      </c>
      <c r="L135" s="15" t="s">
        <v>19</v>
      </c>
      <c r="M135" s="15" t="s">
        <v>2909</v>
      </c>
      <c r="N135" s="4" t="s">
        <v>273</v>
      </c>
      <c r="O135" s="15"/>
      <c r="P135" s="4" t="s">
        <v>1719</v>
      </c>
      <c r="S135" s="15" t="e" cm="1">
        <f t="array" aca="1" ref="S135" ca="1">COMMONMARKETCOUNT(H135:AV135)</f>
        <v>#NAME?</v>
      </c>
      <c r="T135" s="6" t="e" cm="1">
        <f t="array" aca="1" ref="T135" ca="1">AUTOMATEDCOUNT(H135:AV135)</f>
        <v>#NAME?</v>
      </c>
      <c r="V135" s="15" t="s">
        <v>19</v>
      </c>
      <c r="W135" s="15" t="s">
        <v>19</v>
      </c>
      <c r="X135" s="15" t="s">
        <v>19</v>
      </c>
      <c r="Y135" s="15" t="s">
        <v>19</v>
      </c>
      <c r="Z135" s="15" t="s">
        <v>19</v>
      </c>
      <c r="AA135" s="15" t="s">
        <v>19</v>
      </c>
      <c r="AB135" s="15" t="s">
        <v>19</v>
      </c>
      <c r="AC135" s="15" t="s">
        <v>19</v>
      </c>
      <c r="AD135" s="18" t="s">
        <v>19</v>
      </c>
      <c r="AE135" s="18" t="s">
        <v>19</v>
      </c>
      <c r="AF135" s="15" t="s">
        <v>19</v>
      </c>
      <c r="AG135" s="15" t="s">
        <v>19</v>
      </c>
      <c r="AH135" s="15" t="s">
        <v>19</v>
      </c>
      <c r="AI135" s="15" t="s">
        <v>19</v>
      </c>
      <c r="AJ135" s="15" t="s">
        <v>19</v>
      </c>
      <c r="AK135" s="15" t="s">
        <v>19</v>
      </c>
      <c r="AL135" s="15" t="s">
        <v>19</v>
      </c>
      <c r="AM135" s="18" t="s">
        <v>19</v>
      </c>
      <c r="AN135" s="18" t="s">
        <v>19</v>
      </c>
      <c r="AO135" s="18" t="s">
        <v>19</v>
      </c>
      <c r="AP135" s="15" t="s">
        <v>19</v>
      </c>
      <c r="AQ135" s="15" t="s">
        <v>19</v>
      </c>
      <c r="AR135" s="15" t="s">
        <v>19</v>
      </c>
      <c r="AS135" s="15" t="s">
        <v>19</v>
      </c>
      <c r="AT135" s="15" t="s">
        <v>19</v>
      </c>
      <c r="AU135" s="15" t="s">
        <v>3153</v>
      </c>
      <c r="AV135" s="36" t="s">
        <v>19</v>
      </c>
      <c r="AW135" s="16"/>
      <c r="AX135" s="16"/>
      <c r="AY135" s="16"/>
      <c r="AZ135" s="16"/>
      <c r="BA135" s="16"/>
      <c r="BB135" s="16"/>
      <c r="BC135" s="16"/>
      <c r="BD135" s="16"/>
      <c r="BE135" s="16"/>
      <c r="BF135" s="16"/>
      <c r="BG135" s="16"/>
      <c r="BH135" s="16"/>
      <c r="BI135" s="16"/>
      <c r="BJ135" s="16"/>
      <c r="BK135" s="16"/>
      <c r="BL135" s="16"/>
      <c r="BM135" s="16"/>
      <c r="BN135" s="16"/>
      <c r="BO135" s="16"/>
      <c r="BP135" s="16"/>
      <c r="BQ135" s="16"/>
      <c r="BR135" s="16"/>
      <c r="BS135" s="16"/>
      <c r="BT135" s="16"/>
      <c r="BU135" s="16"/>
      <c r="BV135" s="16"/>
      <c r="BW135" s="16"/>
      <c r="BX135" s="16"/>
      <c r="BY135" s="16"/>
      <c r="BZ135" s="16"/>
      <c r="CA135" s="16"/>
      <c r="CB135" s="16"/>
      <c r="CC135" s="16"/>
      <c r="CD135" s="16"/>
      <c r="CE135" s="16"/>
      <c r="CF135" s="16"/>
      <c r="CG135" s="16"/>
      <c r="CH135" s="16"/>
      <c r="CI135" s="16"/>
      <c r="CJ135" s="16"/>
      <c r="CK135" s="16"/>
      <c r="CL135" s="16"/>
      <c r="CM135" s="16"/>
      <c r="CN135" s="16"/>
      <c r="CO135" s="16"/>
      <c r="CP135" s="16"/>
      <c r="CQ135" s="16"/>
      <c r="CR135" s="16"/>
      <c r="CS135" s="16"/>
      <c r="CT135" s="16"/>
      <c r="CU135" s="16"/>
      <c r="CV135" s="16"/>
      <c r="CW135" s="16"/>
      <c r="CX135" s="16"/>
      <c r="CY135" s="16"/>
      <c r="CZ135" s="16"/>
      <c r="DA135" s="16"/>
      <c r="DB135" s="16"/>
      <c r="DC135" s="16"/>
      <c r="DD135" s="16"/>
      <c r="DE135" s="16"/>
      <c r="DF135" s="16"/>
      <c r="DG135" s="16"/>
      <c r="DH135" s="16"/>
      <c r="DI135" s="16"/>
      <c r="DJ135" s="16"/>
      <c r="DK135" s="16"/>
      <c r="DL135" s="16"/>
      <c r="DM135" s="16"/>
      <c r="DN135" s="16"/>
      <c r="DO135" s="16"/>
      <c r="DP135" s="16"/>
      <c r="DQ135" s="16"/>
      <c r="DR135" s="16"/>
      <c r="DS135" s="16"/>
      <c r="DT135" s="16"/>
      <c r="DU135" s="16"/>
      <c r="DV135" s="16"/>
      <c r="DW135" s="16"/>
      <c r="DX135" s="16"/>
      <c r="DY135" s="16"/>
      <c r="DZ135" s="16"/>
      <c r="EA135" s="16"/>
      <c r="EB135" s="16"/>
      <c r="EC135" s="16"/>
      <c r="ED135" s="16"/>
      <c r="EE135" s="16"/>
      <c r="EF135" s="16"/>
      <c r="EG135" s="16"/>
      <c r="EH135" s="16"/>
      <c r="EI135" s="16"/>
      <c r="EJ135" s="16"/>
      <c r="EK135" s="16"/>
      <c r="EL135" s="16"/>
      <c r="EM135" s="16"/>
      <c r="EN135" s="16"/>
      <c r="EO135" s="16"/>
      <c r="EP135" s="16"/>
      <c r="EQ135" s="16"/>
      <c r="ER135" s="16"/>
      <c r="ES135" s="16"/>
      <c r="ET135" s="16"/>
      <c r="EU135" s="16"/>
      <c r="EV135" s="16"/>
      <c r="EW135" s="16"/>
      <c r="EX135" s="16"/>
      <c r="EY135" s="16"/>
      <c r="EZ135" s="16"/>
      <c r="FA135" s="16"/>
      <c r="FB135" s="16"/>
      <c r="FC135" s="16"/>
      <c r="FD135" s="16"/>
      <c r="FE135" s="16"/>
      <c r="FF135" s="16"/>
      <c r="FG135" s="16"/>
      <c r="FH135" s="16"/>
      <c r="FI135" s="16"/>
      <c r="FJ135" s="16"/>
      <c r="FK135" s="16"/>
      <c r="FL135" s="16"/>
      <c r="FM135" s="16"/>
      <c r="FN135" s="16"/>
      <c r="FO135" s="16"/>
      <c r="FP135" s="16"/>
      <c r="FQ135" s="16"/>
      <c r="FR135" s="16"/>
      <c r="FS135" s="16"/>
      <c r="FT135" s="16"/>
      <c r="FU135" s="16"/>
      <c r="FV135" s="16"/>
      <c r="FW135" s="16"/>
      <c r="FX135" s="16"/>
      <c r="FY135" s="16"/>
      <c r="FZ135" s="16"/>
      <c r="GA135" s="16"/>
      <c r="GB135" s="16"/>
      <c r="GC135" s="16"/>
      <c r="GD135" s="16"/>
      <c r="GE135" s="16"/>
      <c r="GF135" s="16"/>
      <c r="GG135" s="16"/>
      <c r="GH135" s="16"/>
      <c r="GI135" s="16"/>
      <c r="GJ135" s="16"/>
      <c r="GK135" s="16"/>
      <c r="GL135" s="16"/>
      <c r="GM135" s="16"/>
      <c r="GN135" s="16"/>
      <c r="GO135" s="16"/>
      <c r="GP135" s="16"/>
      <c r="GQ135" s="16"/>
      <c r="GR135" s="16"/>
      <c r="GS135" s="16"/>
      <c r="GT135" s="16"/>
      <c r="GU135" s="16"/>
      <c r="GV135" s="16"/>
      <c r="GW135" s="16"/>
      <c r="GX135" s="16"/>
      <c r="GY135" s="16"/>
      <c r="GZ135" s="16"/>
      <c r="HA135" s="16"/>
      <c r="HB135" s="16"/>
      <c r="HC135" s="16"/>
      <c r="HD135" s="16"/>
      <c r="HE135" s="16"/>
      <c r="HF135" s="16"/>
      <c r="HG135" s="16"/>
      <c r="HH135" s="16"/>
      <c r="HI135" s="16"/>
      <c r="HJ135" s="16"/>
      <c r="HK135" s="16"/>
      <c r="HL135" s="16"/>
      <c r="HM135" s="16"/>
      <c r="HN135" s="16"/>
      <c r="HO135" s="16"/>
      <c r="HP135" s="16"/>
      <c r="HQ135" s="16"/>
      <c r="HR135" s="16"/>
      <c r="HS135" s="16"/>
      <c r="HT135" s="16"/>
      <c r="HU135" s="16"/>
      <c r="HV135" s="16"/>
      <c r="HW135" s="16"/>
      <c r="HX135" s="16"/>
      <c r="HY135" s="16"/>
      <c r="HZ135" s="16"/>
      <c r="IA135" s="16"/>
      <c r="IB135" s="16"/>
      <c r="IC135" s="16"/>
      <c r="ID135" s="16"/>
      <c r="IE135" s="16"/>
      <c r="IF135" s="16"/>
      <c r="IG135" s="16"/>
      <c r="IH135" s="16"/>
      <c r="II135" s="16"/>
      <c r="IJ135" s="16"/>
      <c r="IK135" s="16"/>
      <c r="IL135" s="16"/>
      <c r="IM135" s="16"/>
      <c r="IN135" s="16"/>
      <c r="IO135" s="16"/>
      <c r="IP135" s="16"/>
      <c r="IQ135" s="16"/>
      <c r="IR135" s="16"/>
      <c r="IS135" s="16"/>
      <c r="IT135" s="16"/>
      <c r="IU135" s="16"/>
      <c r="IV135" s="16"/>
      <c r="IW135" s="16"/>
      <c r="IX135" s="16"/>
      <c r="IY135" s="16"/>
      <c r="IZ135" s="16"/>
      <c r="JA135" s="16"/>
      <c r="JB135" s="16"/>
      <c r="JC135" s="16"/>
    </row>
    <row r="136" spans="1:264" ht="111.75" hidden="1" customHeight="1" x14ac:dyDescent="0.3">
      <c r="A136" s="15" t="s">
        <v>315</v>
      </c>
      <c r="B136" s="15" t="s">
        <v>55</v>
      </c>
      <c r="C136" s="19" t="s">
        <v>274</v>
      </c>
      <c r="D136" s="15" t="s">
        <v>32</v>
      </c>
      <c r="E136" s="15" t="s">
        <v>19</v>
      </c>
      <c r="F136" s="15" t="s">
        <v>19</v>
      </c>
      <c r="G136" s="15" t="s">
        <v>19</v>
      </c>
      <c r="H136" s="15" t="s">
        <v>19</v>
      </c>
      <c r="I136" s="18" t="s">
        <v>19</v>
      </c>
      <c r="J136" s="18" t="s">
        <v>19</v>
      </c>
      <c r="K136" s="18" t="s">
        <v>19</v>
      </c>
      <c r="L136" s="18" t="s">
        <v>19</v>
      </c>
      <c r="M136" s="15" t="s">
        <v>275</v>
      </c>
      <c r="N136" s="4" t="s">
        <v>276</v>
      </c>
      <c r="O136" s="15"/>
      <c r="P136" s="4" t="s">
        <v>1720</v>
      </c>
      <c r="S136" s="15" t="e" cm="1">
        <f t="array" aca="1" ref="S136" ca="1">COMMONMARKETCOUNT(H136:AV136)</f>
        <v>#NAME?</v>
      </c>
      <c r="T136" s="6" t="e" cm="1">
        <f t="array" aca="1" ref="T136" ca="1">AUTOMATEDCOUNT(H136:AV136)</f>
        <v>#NAME?</v>
      </c>
      <c r="V136" s="15" t="s">
        <v>19</v>
      </c>
      <c r="W136" s="15" t="s">
        <v>19</v>
      </c>
      <c r="X136" s="15" t="s">
        <v>19</v>
      </c>
      <c r="Y136" s="15" t="s">
        <v>19</v>
      </c>
      <c r="Z136" s="15" t="s">
        <v>19</v>
      </c>
      <c r="AA136" s="18" t="s">
        <v>19</v>
      </c>
      <c r="AB136" s="18" t="s">
        <v>19</v>
      </c>
      <c r="AC136" s="18" t="s">
        <v>19</v>
      </c>
      <c r="AD136" s="15" t="s">
        <v>19</v>
      </c>
      <c r="AE136" s="15" t="s">
        <v>19</v>
      </c>
      <c r="AF136" s="18" t="s">
        <v>19</v>
      </c>
      <c r="AG136" s="18" t="s">
        <v>19</v>
      </c>
      <c r="AH136" s="18" t="s">
        <v>19</v>
      </c>
      <c r="AI136" s="18" t="s">
        <v>19</v>
      </c>
      <c r="AJ136" s="18" t="s">
        <v>19</v>
      </c>
      <c r="AK136" s="18" t="s">
        <v>19</v>
      </c>
      <c r="AL136" s="18" t="s">
        <v>19</v>
      </c>
      <c r="AM136" s="18" t="s">
        <v>19</v>
      </c>
      <c r="AN136" s="18" t="s">
        <v>19</v>
      </c>
      <c r="AO136" s="18" t="s">
        <v>19</v>
      </c>
      <c r="AP136" s="18" t="s">
        <v>19</v>
      </c>
      <c r="AQ136" s="18" t="s">
        <v>19</v>
      </c>
      <c r="AR136" s="18" t="s">
        <v>19</v>
      </c>
      <c r="AS136" s="18" t="s">
        <v>19</v>
      </c>
      <c r="AT136" s="18" t="s">
        <v>19</v>
      </c>
      <c r="AU136" s="18" t="s">
        <v>3153</v>
      </c>
      <c r="AV136" s="36" t="s">
        <v>19</v>
      </c>
    </row>
    <row r="137" spans="1:264" ht="123" hidden="1" customHeight="1" x14ac:dyDescent="0.3">
      <c r="A137" s="15" t="s">
        <v>315</v>
      </c>
      <c r="B137" s="15" t="s">
        <v>55</v>
      </c>
      <c r="C137" s="19" t="s">
        <v>277</v>
      </c>
      <c r="D137" s="15" t="s">
        <v>32</v>
      </c>
      <c r="E137" s="15" t="s">
        <v>19</v>
      </c>
      <c r="F137" s="15" t="s">
        <v>19</v>
      </c>
      <c r="G137" s="15" t="s">
        <v>19</v>
      </c>
      <c r="H137" s="15" t="s">
        <v>19</v>
      </c>
      <c r="I137" s="15" t="s">
        <v>19</v>
      </c>
      <c r="J137" s="15" t="s">
        <v>19</v>
      </c>
      <c r="K137" s="15" t="s">
        <v>19</v>
      </c>
      <c r="L137" s="15" t="s">
        <v>19</v>
      </c>
      <c r="M137" s="15" t="s">
        <v>278</v>
      </c>
      <c r="N137" s="4" t="s">
        <v>279</v>
      </c>
      <c r="O137" s="15"/>
      <c r="P137" s="4" t="s">
        <v>1721</v>
      </c>
      <c r="S137" s="15" t="e" cm="1">
        <f t="array" aca="1" ref="S137" ca="1">COMMONMARKETCOUNT(H137:AV137)</f>
        <v>#NAME?</v>
      </c>
      <c r="T137" s="6" t="e" cm="1">
        <f t="array" aca="1" ref="T137" ca="1">AUTOMATEDCOUNT(H137:AV137)</f>
        <v>#NAME?</v>
      </c>
      <c r="V137" s="15" t="s">
        <v>19</v>
      </c>
      <c r="W137" s="15" t="s">
        <v>19</v>
      </c>
      <c r="X137" s="15" t="s">
        <v>19</v>
      </c>
      <c r="Y137" s="15" t="s">
        <v>19</v>
      </c>
      <c r="Z137" s="15" t="s">
        <v>19</v>
      </c>
      <c r="AA137" s="15" t="s">
        <v>19</v>
      </c>
      <c r="AB137" s="15" t="s">
        <v>19</v>
      </c>
      <c r="AC137" s="15" t="s">
        <v>19</v>
      </c>
      <c r="AD137" s="18" t="s">
        <v>19</v>
      </c>
      <c r="AE137" s="18" t="s">
        <v>19</v>
      </c>
      <c r="AF137" s="15" t="s">
        <v>19</v>
      </c>
      <c r="AG137" s="15" t="s">
        <v>19</v>
      </c>
      <c r="AH137" s="15" t="s">
        <v>19</v>
      </c>
      <c r="AI137" s="15" t="s">
        <v>19</v>
      </c>
      <c r="AJ137" s="15" t="s">
        <v>19</v>
      </c>
      <c r="AK137" s="15" t="s">
        <v>19</v>
      </c>
      <c r="AL137" s="15" t="s">
        <v>19</v>
      </c>
      <c r="AM137" s="18" t="s">
        <v>19</v>
      </c>
      <c r="AN137" s="18" t="s">
        <v>19</v>
      </c>
      <c r="AO137" s="18" t="s">
        <v>19</v>
      </c>
      <c r="AP137" s="15" t="s">
        <v>19</v>
      </c>
      <c r="AQ137" s="15" t="s">
        <v>19</v>
      </c>
      <c r="AR137" s="15" t="s">
        <v>19</v>
      </c>
      <c r="AS137" s="15" t="s">
        <v>19</v>
      </c>
      <c r="AT137" s="15" t="s">
        <v>19</v>
      </c>
      <c r="AU137" s="15" t="s">
        <v>3153</v>
      </c>
      <c r="AV137" s="36" t="s">
        <v>19</v>
      </c>
    </row>
    <row r="138" spans="1:264" ht="70.5" hidden="1" customHeight="1" x14ac:dyDescent="0.3">
      <c r="A138" s="15" t="s">
        <v>315</v>
      </c>
      <c r="B138" s="15" t="s">
        <v>55</v>
      </c>
      <c r="C138" s="19" t="s">
        <v>280</v>
      </c>
      <c r="D138" s="15" t="s">
        <v>32</v>
      </c>
      <c r="E138" s="15" t="s">
        <v>19</v>
      </c>
      <c r="F138" s="15" t="s">
        <v>19</v>
      </c>
      <c r="G138" s="15" t="s">
        <v>19</v>
      </c>
      <c r="H138" s="15" t="s">
        <v>19</v>
      </c>
      <c r="I138" s="15" t="s">
        <v>19</v>
      </c>
      <c r="J138" s="15" t="s">
        <v>19</v>
      </c>
      <c r="K138" s="15" t="s">
        <v>19</v>
      </c>
      <c r="L138" s="15" t="s">
        <v>19</v>
      </c>
      <c r="M138" s="15" t="s">
        <v>281</v>
      </c>
      <c r="N138" s="4" t="s">
        <v>282</v>
      </c>
      <c r="O138" s="15"/>
      <c r="P138" s="4" t="s">
        <v>1722</v>
      </c>
      <c r="S138" s="15" t="e" cm="1">
        <f t="array" aca="1" ref="S138" ca="1">COMMONMARKETCOUNT(H138:AV138)</f>
        <v>#NAME?</v>
      </c>
      <c r="T138" s="6" t="e" cm="1">
        <f t="array" aca="1" ref="T138" ca="1">AUTOMATEDCOUNT(H138:AV138)</f>
        <v>#NAME?</v>
      </c>
      <c r="V138" s="15" t="s">
        <v>19</v>
      </c>
      <c r="W138" s="15" t="s">
        <v>19</v>
      </c>
      <c r="X138" s="15" t="s">
        <v>19</v>
      </c>
      <c r="Y138" s="15" t="s">
        <v>19</v>
      </c>
      <c r="Z138" s="15" t="s">
        <v>19</v>
      </c>
      <c r="AA138" s="15" t="s">
        <v>19</v>
      </c>
      <c r="AB138" s="15" t="s">
        <v>19</v>
      </c>
      <c r="AC138" s="15" t="s">
        <v>19</v>
      </c>
      <c r="AD138" s="15" t="s">
        <v>19</v>
      </c>
      <c r="AE138" s="15" t="s">
        <v>19</v>
      </c>
      <c r="AF138" s="15" t="s">
        <v>19</v>
      </c>
      <c r="AG138" s="15" t="s">
        <v>19</v>
      </c>
      <c r="AH138" s="15" t="s">
        <v>19</v>
      </c>
      <c r="AI138" s="15" t="s">
        <v>19</v>
      </c>
      <c r="AJ138" s="15" t="s">
        <v>19</v>
      </c>
      <c r="AK138" s="15" t="s">
        <v>19</v>
      </c>
      <c r="AL138" s="15" t="s">
        <v>19</v>
      </c>
      <c r="AM138" s="18" t="s">
        <v>19</v>
      </c>
      <c r="AN138" s="18" t="s">
        <v>19</v>
      </c>
      <c r="AO138" s="18" t="s">
        <v>19</v>
      </c>
      <c r="AP138" s="15" t="s">
        <v>19</v>
      </c>
      <c r="AQ138" s="15" t="s">
        <v>19</v>
      </c>
      <c r="AR138" s="15" t="s">
        <v>19</v>
      </c>
      <c r="AS138" s="15" t="s">
        <v>19</v>
      </c>
      <c r="AT138" s="15" t="s">
        <v>19</v>
      </c>
      <c r="AU138" s="15" t="s">
        <v>3153</v>
      </c>
      <c r="AV138" s="36" t="s">
        <v>19</v>
      </c>
    </row>
    <row r="139" spans="1:264" ht="70.5" hidden="1" customHeight="1" x14ac:dyDescent="0.3">
      <c r="A139" s="15" t="s">
        <v>315</v>
      </c>
      <c r="B139" s="15" t="s">
        <v>55</v>
      </c>
      <c r="C139" s="19" t="s">
        <v>283</v>
      </c>
      <c r="D139" s="15" t="s">
        <v>32</v>
      </c>
      <c r="E139" s="15" t="s">
        <v>19</v>
      </c>
      <c r="F139" s="15" t="s">
        <v>19</v>
      </c>
      <c r="G139" s="15" t="s">
        <v>19</v>
      </c>
      <c r="H139" s="15" t="s">
        <v>19</v>
      </c>
      <c r="I139" s="15" t="s">
        <v>19</v>
      </c>
      <c r="J139" s="15" t="s">
        <v>19</v>
      </c>
      <c r="K139" s="15" t="s">
        <v>19</v>
      </c>
      <c r="L139" s="15" t="s">
        <v>19</v>
      </c>
      <c r="M139" s="15" t="s">
        <v>284</v>
      </c>
      <c r="N139" s="4" t="s">
        <v>285</v>
      </c>
      <c r="O139" s="15"/>
      <c r="P139" s="4" t="s">
        <v>1723</v>
      </c>
      <c r="S139" s="15" t="e" cm="1">
        <f t="array" aca="1" ref="S139" ca="1">COMMONMARKETCOUNT(H139:AV139)</f>
        <v>#NAME?</v>
      </c>
      <c r="T139" s="6" t="e" cm="1">
        <f t="array" aca="1" ref="T139" ca="1">AUTOMATEDCOUNT(H139:AV139)</f>
        <v>#NAME?</v>
      </c>
      <c r="V139" s="15" t="s">
        <v>19</v>
      </c>
      <c r="W139" s="15" t="s">
        <v>19</v>
      </c>
      <c r="X139" s="15" t="s">
        <v>19</v>
      </c>
      <c r="Y139" s="15" t="s">
        <v>19</v>
      </c>
      <c r="Z139" s="15" t="s">
        <v>19</v>
      </c>
      <c r="AA139" s="15" t="s">
        <v>19</v>
      </c>
      <c r="AB139" s="15" t="s">
        <v>19</v>
      </c>
      <c r="AC139" s="15" t="s">
        <v>19</v>
      </c>
      <c r="AD139" s="15" t="s">
        <v>19</v>
      </c>
      <c r="AE139" s="15" t="s">
        <v>19</v>
      </c>
      <c r="AF139" s="15" t="s">
        <v>19</v>
      </c>
      <c r="AG139" s="15" t="s">
        <v>19</v>
      </c>
      <c r="AH139" s="15" t="s">
        <v>19</v>
      </c>
      <c r="AI139" s="15" t="s">
        <v>19</v>
      </c>
      <c r="AJ139" s="15" t="s">
        <v>19</v>
      </c>
      <c r="AK139" s="15" t="s">
        <v>19</v>
      </c>
      <c r="AL139" s="15" t="s">
        <v>19</v>
      </c>
      <c r="AM139" s="18" t="s">
        <v>19</v>
      </c>
      <c r="AN139" s="18" t="s">
        <v>19</v>
      </c>
      <c r="AO139" s="18" t="s">
        <v>19</v>
      </c>
      <c r="AP139" s="15" t="s">
        <v>19</v>
      </c>
      <c r="AQ139" s="15" t="s">
        <v>19</v>
      </c>
      <c r="AR139" s="15" t="s">
        <v>19</v>
      </c>
      <c r="AS139" s="15" t="s">
        <v>19</v>
      </c>
      <c r="AT139" s="15" t="s">
        <v>19</v>
      </c>
      <c r="AU139" s="15" t="s">
        <v>3153</v>
      </c>
      <c r="AV139" s="36" t="s">
        <v>19</v>
      </c>
    </row>
    <row r="140" spans="1:264" ht="70.5" hidden="1" customHeight="1" x14ac:dyDescent="0.3">
      <c r="A140" s="15" t="s">
        <v>56</v>
      </c>
      <c r="B140" s="15" t="s">
        <v>290</v>
      </c>
      <c r="C140" s="15" t="s">
        <v>286</v>
      </c>
      <c r="D140" s="15" t="s">
        <v>32</v>
      </c>
      <c r="E140" s="15" t="s">
        <v>19</v>
      </c>
      <c r="F140" s="15" t="s">
        <v>19</v>
      </c>
      <c r="G140" s="15" t="s">
        <v>19</v>
      </c>
      <c r="H140" s="15" t="s">
        <v>19</v>
      </c>
      <c r="I140" s="15" t="s">
        <v>19</v>
      </c>
      <c r="J140" s="15" t="s">
        <v>19</v>
      </c>
      <c r="K140" s="15" t="s">
        <v>19</v>
      </c>
      <c r="L140" s="15" t="s">
        <v>19</v>
      </c>
      <c r="M140" s="15" t="s">
        <v>287</v>
      </c>
      <c r="N140" s="4" t="s">
        <v>288</v>
      </c>
      <c r="O140" s="15"/>
      <c r="P140" s="4" t="s">
        <v>289</v>
      </c>
      <c r="S140" s="15" t="e" cm="1">
        <f t="array" aca="1" ref="S140" ca="1">COMMONMARKETCOUNT(H140:AV140)</f>
        <v>#NAME?</v>
      </c>
      <c r="T140" s="6" t="e" cm="1">
        <f t="array" aca="1" ref="T140" ca="1">AUTOMATEDCOUNT(H140:AV140)</f>
        <v>#NAME?</v>
      </c>
      <c r="V140" s="15" t="s">
        <v>19</v>
      </c>
      <c r="W140" s="15" t="s">
        <v>19</v>
      </c>
      <c r="X140" s="15" t="s">
        <v>19</v>
      </c>
      <c r="Y140" s="15" t="s">
        <v>19</v>
      </c>
      <c r="Z140" s="15" t="s">
        <v>19</v>
      </c>
      <c r="AA140" s="15" t="s">
        <v>19</v>
      </c>
      <c r="AB140" s="15" t="s">
        <v>19</v>
      </c>
      <c r="AC140" s="15" t="s">
        <v>19</v>
      </c>
      <c r="AD140" s="15" t="s">
        <v>19</v>
      </c>
      <c r="AE140" s="15" t="s">
        <v>19</v>
      </c>
      <c r="AF140" s="15" t="s">
        <v>19</v>
      </c>
      <c r="AG140" s="15" t="s">
        <v>19</v>
      </c>
      <c r="AH140" s="15" t="s">
        <v>19</v>
      </c>
      <c r="AI140" s="15" t="s">
        <v>19</v>
      </c>
      <c r="AJ140" s="15" t="s">
        <v>19</v>
      </c>
      <c r="AK140" s="15" t="s">
        <v>19</v>
      </c>
      <c r="AL140" s="15" t="s">
        <v>19</v>
      </c>
      <c r="AM140" s="18" t="s">
        <v>19</v>
      </c>
      <c r="AN140" s="18" t="s">
        <v>19</v>
      </c>
      <c r="AO140" s="18" t="s">
        <v>19</v>
      </c>
      <c r="AP140" s="15" t="s">
        <v>19</v>
      </c>
      <c r="AQ140" s="15" t="s">
        <v>19</v>
      </c>
      <c r="AR140" s="15" t="s">
        <v>19</v>
      </c>
      <c r="AS140" s="15" t="s">
        <v>19</v>
      </c>
      <c r="AT140" s="15" t="s">
        <v>19</v>
      </c>
      <c r="AU140" s="15" t="s">
        <v>3153</v>
      </c>
      <c r="AV140" s="36" t="s">
        <v>19</v>
      </c>
      <c r="AW140" s="36"/>
      <c r="AX140" s="36"/>
      <c r="AY140" s="36"/>
      <c r="AZ140" s="36"/>
      <c r="BA140" s="36"/>
      <c r="BB140" s="36"/>
      <c r="BC140" s="36"/>
      <c r="BD140" s="36"/>
      <c r="BE140" s="36"/>
      <c r="BF140" s="36"/>
      <c r="BG140" s="36"/>
      <c r="BH140" s="36"/>
      <c r="BI140" s="36"/>
      <c r="BJ140" s="36"/>
      <c r="BK140" s="36"/>
      <c r="BL140" s="36"/>
      <c r="BM140" s="36"/>
      <c r="BN140" s="36"/>
      <c r="BO140" s="36"/>
      <c r="BP140" s="36"/>
      <c r="BQ140" s="36"/>
      <c r="BR140" s="36"/>
      <c r="BS140" s="36"/>
      <c r="BT140" s="36"/>
      <c r="BU140" s="36"/>
      <c r="BV140" s="36"/>
      <c r="BW140" s="36"/>
      <c r="BX140" s="36"/>
      <c r="BY140" s="36"/>
      <c r="BZ140" s="36"/>
      <c r="CA140" s="36"/>
      <c r="CB140" s="36"/>
      <c r="CC140" s="36"/>
      <c r="CD140" s="36"/>
      <c r="CE140" s="36"/>
      <c r="CF140" s="36"/>
      <c r="CG140" s="36"/>
      <c r="CH140" s="36"/>
      <c r="CI140" s="36"/>
      <c r="CJ140" s="36"/>
      <c r="CK140" s="36"/>
      <c r="CL140" s="36"/>
      <c r="CM140" s="36"/>
      <c r="CN140" s="36"/>
      <c r="CO140" s="36"/>
      <c r="CP140" s="36"/>
      <c r="CQ140" s="36"/>
      <c r="CR140" s="36"/>
      <c r="CS140" s="36"/>
      <c r="CT140" s="36"/>
      <c r="CU140" s="36"/>
      <c r="CV140" s="36"/>
      <c r="CW140" s="36"/>
      <c r="CX140" s="36"/>
      <c r="CY140" s="36"/>
      <c r="CZ140" s="36"/>
      <c r="DA140" s="36"/>
      <c r="DB140" s="36"/>
      <c r="DC140" s="36"/>
      <c r="DD140" s="36"/>
      <c r="DE140" s="36"/>
      <c r="DF140" s="36"/>
      <c r="DG140" s="36"/>
      <c r="DH140" s="36"/>
      <c r="DI140" s="36"/>
      <c r="DJ140" s="36"/>
      <c r="DK140" s="36"/>
      <c r="DL140" s="36"/>
      <c r="DM140" s="36"/>
      <c r="DN140" s="36"/>
      <c r="DO140" s="36"/>
      <c r="DP140" s="36"/>
      <c r="DQ140" s="36"/>
      <c r="DR140" s="36"/>
      <c r="DS140" s="36"/>
      <c r="DT140" s="36"/>
      <c r="DU140" s="36"/>
      <c r="DV140" s="36"/>
      <c r="DW140" s="36"/>
      <c r="DX140" s="36"/>
      <c r="DY140" s="36"/>
      <c r="DZ140" s="36"/>
      <c r="EA140" s="36"/>
      <c r="EB140" s="36"/>
      <c r="EC140" s="36"/>
      <c r="ED140" s="36"/>
      <c r="EE140" s="36"/>
      <c r="EF140" s="36"/>
      <c r="EG140" s="36"/>
      <c r="EH140" s="36"/>
      <c r="EI140" s="36"/>
      <c r="EJ140" s="36"/>
      <c r="EK140" s="36"/>
      <c r="EL140" s="36"/>
      <c r="EM140" s="36"/>
      <c r="EN140" s="36"/>
      <c r="EO140" s="36"/>
      <c r="EP140" s="36"/>
      <c r="EQ140" s="36"/>
      <c r="ER140" s="36"/>
      <c r="ES140" s="36"/>
      <c r="ET140" s="36"/>
      <c r="EU140" s="36"/>
      <c r="EV140" s="36"/>
      <c r="EW140" s="36"/>
      <c r="EX140" s="36"/>
      <c r="EY140" s="36"/>
      <c r="EZ140" s="36"/>
      <c r="FA140" s="36"/>
      <c r="FB140" s="36"/>
      <c r="FC140" s="36"/>
      <c r="FD140" s="36"/>
      <c r="FE140" s="36"/>
      <c r="FF140" s="36"/>
      <c r="FG140" s="36"/>
      <c r="FH140" s="36"/>
      <c r="FI140" s="36"/>
      <c r="FJ140" s="36"/>
      <c r="FK140" s="36"/>
      <c r="FL140" s="36"/>
      <c r="FM140" s="36"/>
      <c r="FN140" s="36"/>
      <c r="FO140" s="36"/>
      <c r="FP140" s="36"/>
      <c r="FQ140" s="36"/>
      <c r="FR140" s="36"/>
      <c r="FS140" s="36"/>
      <c r="FT140" s="36"/>
      <c r="FU140" s="36"/>
      <c r="FV140" s="36"/>
      <c r="FW140" s="36"/>
      <c r="FX140" s="36"/>
      <c r="FY140" s="36"/>
      <c r="FZ140" s="36"/>
      <c r="GA140" s="36"/>
      <c r="GB140" s="36"/>
      <c r="GC140" s="36"/>
      <c r="GD140" s="36"/>
      <c r="GE140" s="36"/>
      <c r="GF140" s="36"/>
      <c r="GG140" s="36"/>
      <c r="GH140" s="36"/>
      <c r="GI140" s="36"/>
      <c r="GJ140" s="36"/>
      <c r="GK140" s="36"/>
      <c r="GL140" s="36"/>
      <c r="GM140" s="36"/>
      <c r="GN140" s="36"/>
      <c r="GO140" s="36"/>
      <c r="GP140" s="36"/>
      <c r="GQ140" s="36"/>
      <c r="GR140" s="36"/>
      <c r="GS140" s="36"/>
      <c r="GT140" s="36"/>
      <c r="GU140" s="36"/>
      <c r="GV140" s="36"/>
      <c r="GW140" s="36"/>
      <c r="GX140" s="36"/>
      <c r="GY140" s="36"/>
      <c r="GZ140" s="36"/>
      <c r="HA140" s="36"/>
      <c r="HB140" s="36"/>
      <c r="HC140" s="36"/>
      <c r="HD140" s="36"/>
      <c r="HE140" s="36"/>
      <c r="HF140" s="36"/>
      <c r="HG140" s="36"/>
      <c r="HH140" s="36"/>
      <c r="HI140" s="36"/>
      <c r="HJ140" s="36"/>
      <c r="HK140" s="36"/>
      <c r="HL140" s="36"/>
      <c r="HM140" s="36"/>
      <c r="HN140" s="36"/>
      <c r="HO140" s="36"/>
      <c r="HP140" s="36"/>
      <c r="HQ140" s="36"/>
      <c r="HR140" s="36"/>
      <c r="HS140" s="36"/>
      <c r="HT140" s="36"/>
      <c r="HU140" s="36"/>
      <c r="HV140" s="36"/>
      <c r="HW140" s="36"/>
      <c r="HX140" s="36"/>
      <c r="HY140" s="36"/>
      <c r="HZ140" s="36"/>
      <c r="IA140" s="36"/>
      <c r="IB140" s="36"/>
      <c r="IC140" s="36"/>
      <c r="ID140" s="36"/>
      <c r="IE140" s="36"/>
      <c r="IF140" s="36"/>
      <c r="IG140" s="36"/>
      <c r="IH140" s="36"/>
      <c r="II140" s="36"/>
      <c r="IJ140" s="36"/>
      <c r="IK140" s="36"/>
      <c r="IL140" s="36"/>
      <c r="IM140" s="36"/>
      <c r="IN140" s="36"/>
      <c r="IO140" s="36"/>
      <c r="IP140" s="36"/>
      <c r="IQ140" s="36"/>
      <c r="IR140" s="36"/>
      <c r="IS140" s="36"/>
      <c r="IT140" s="36"/>
      <c r="IU140" s="36"/>
      <c r="IV140" s="36"/>
      <c r="IW140" s="36"/>
      <c r="IX140" s="36"/>
      <c r="IY140" s="36"/>
      <c r="IZ140" s="36"/>
      <c r="JA140" s="36"/>
      <c r="JB140" s="36"/>
      <c r="JC140" s="36"/>
      <c r="JD140" s="36"/>
    </row>
    <row r="141" spans="1:264" ht="70.5" hidden="1" customHeight="1" x14ac:dyDescent="0.3">
      <c r="A141" s="15" t="s">
        <v>56</v>
      </c>
      <c r="B141" s="15" t="s">
        <v>55</v>
      </c>
      <c r="C141" s="15" t="s">
        <v>291</v>
      </c>
      <c r="D141" s="15" t="s">
        <v>32</v>
      </c>
      <c r="E141" s="15" t="s">
        <v>19</v>
      </c>
      <c r="F141" s="15" t="s">
        <v>19</v>
      </c>
      <c r="G141" s="15" t="s">
        <v>19</v>
      </c>
      <c r="H141" s="15" t="s">
        <v>19</v>
      </c>
      <c r="I141" s="15" t="s">
        <v>19</v>
      </c>
      <c r="J141" s="15" t="s">
        <v>19</v>
      </c>
      <c r="K141" s="15" t="s">
        <v>19</v>
      </c>
      <c r="L141" s="15" t="s">
        <v>19</v>
      </c>
      <c r="M141" s="15" t="s">
        <v>292</v>
      </c>
      <c r="N141" s="4" t="s">
        <v>293</v>
      </c>
      <c r="O141" s="15"/>
      <c r="P141" s="4" t="s">
        <v>294</v>
      </c>
      <c r="S141" s="15" t="e" cm="1">
        <f t="array" aca="1" ref="S141" ca="1">COMMONMARKETCOUNT(H141:AV141)</f>
        <v>#NAME?</v>
      </c>
      <c r="T141" s="6" t="e" cm="1">
        <f t="array" aca="1" ref="T141" ca="1">AUTOMATEDCOUNT(H141:AV141)</f>
        <v>#NAME?</v>
      </c>
      <c r="V141" s="15" t="s">
        <v>109</v>
      </c>
      <c r="W141" s="15" t="s">
        <v>109</v>
      </c>
      <c r="X141" s="15" t="s">
        <v>19</v>
      </c>
      <c r="Y141" s="15" t="s">
        <v>19</v>
      </c>
      <c r="Z141" s="15" t="s">
        <v>19</v>
      </c>
      <c r="AA141" s="15" t="s">
        <v>19</v>
      </c>
      <c r="AB141" s="15" t="s">
        <v>19</v>
      </c>
      <c r="AC141" s="15" t="s">
        <v>19</v>
      </c>
      <c r="AD141" s="15" t="s">
        <v>19</v>
      </c>
      <c r="AE141" s="15" t="s">
        <v>19</v>
      </c>
      <c r="AF141" s="15" t="s">
        <v>19</v>
      </c>
      <c r="AG141" s="15" t="s">
        <v>109</v>
      </c>
      <c r="AH141" s="15" t="s">
        <v>109</v>
      </c>
      <c r="AI141" s="15" t="s">
        <v>109</v>
      </c>
      <c r="AJ141" s="15" t="s">
        <v>109</v>
      </c>
      <c r="AK141" s="15" t="s">
        <v>109</v>
      </c>
      <c r="AL141" s="15" t="s">
        <v>109</v>
      </c>
      <c r="AM141" s="15" t="s">
        <v>109</v>
      </c>
      <c r="AN141" s="18" t="s">
        <v>109</v>
      </c>
      <c r="AO141" s="18" t="s">
        <v>109</v>
      </c>
      <c r="AP141" s="18" t="s">
        <v>19</v>
      </c>
      <c r="AQ141" s="18" t="s">
        <v>19</v>
      </c>
      <c r="AR141" s="18" t="s">
        <v>19</v>
      </c>
      <c r="AS141" s="18" t="s">
        <v>19</v>
      </c>
      <c r="AT141" s="18" t="s">
        <v>19</v>
      </c>
      <c r="AU141" s="15" t="s">
        <v>109</v>
      </c>
      <c r="AV141" s="36" t="s">
        <v>19</v>
      </c>
    </row>
    <row r="142" spans="1:264" ht="70.5" hidden="1" customHeight="1" x14ac:dyDescent="0.3">
      <c r="A142" s="15" t="s">
        <v>25</v>
      </c>
      <c r="B142" s="15" t="s">
        <v>239</v>
      </c>
      <c r="C142" s="15" t="s">
        <v>923</v>
      </c>
      <c r="D142" s="15" t="s">
        <v>32</v>
      </c>
      <c r="E142" s="15" t="s">
        <v>19</v>
      </c>
      <c r="F142" s="15" t="s">
        <v>19</v>
      </c>
      <c r="G142" s="15" t="s">
        <v>19</v>
      </c>
      <c r="H142" s="15" t="s">
        <v>19</v>
      </c>
      <c r="I142" s="15" t="s">
        <v>19</v>
      </c>
      <c r="J142" s="15" t="s">
        <v>19</v>
      </c>
      <c r="K142" s="15" t="s">
        <v>19</v>
      </c>
      <c r="L142" s="15" t="s">
        <v>19</v>
      </c>
      <c r="M142" s="15" t="s">
        <v>1043</v>
      </c>
      <c r="N142" s="4" t="s">
        <v>904</v>
      </c>
      <c r="O142" s="33" t="s">
        <v>1645</v>
      </c>
      <c r="P142" s="4" t="s">
        <v>1452</v>
      </c>
      <c r="S142" s="15" t="e" cm="1">
        <f t="array" aca="1" ref="S142" ca="1">COMMONMARKETCOUNT(H142:AV142)</f>
        <v>#NAME?</v>
      </c>
      <c r="T142" s="6" t="e" cm="1">
        <f t="array" aca="1" ref="T142" ca="1">AUTOMATEDCOUNT(H142:AV142)</f>
        <v>#NAME?</v>
      </c>
      <c r="V142" s="15" t="s">
        <v>109</v>
      </c>
      <c r="W142" s="15" t="s">
        <v>109</v>
      </c>
      <c r="X142" s="15" t="s">
        <v>19</v>
      </c>
      <c r="Y142" s="15" t="s">
        <v>19</v>
      </c>
      <c r="Z142" s="15" t="s">
        <v>19</v>
      </c>
      <c r="AA142" s="15" t="s">
        <v>19</v>
      </c>
      <c r="AB142" s="15" t="s">
        <v>19</v>
      </c>
      <c r="AC142" s="15" t="s">
        <v>19</v>
      </c>
      <c r="AD142" s="15" t="s">
        <v>19</v>
      </c>
      <c r="AE142" s="15" t="s">
        <v>19</v>
      </c>
      <c r="AF142" s="15" t="s">
        <v>109</v>
      </c>
      <c r="AG142" s="15" t="s">
        <v>109</v>
      </c>
      <c r="AH142" s="15" t="s">
        <v>109</v>
      </c>
      <c r="AI142" s="15" t="s">
        <v>109</v>
      </c>
      <c r="AJ142" s="15" t="s">
        <v>109</v>
      </c>
      <c r="AK142" s="15" t="s">
        <v>109</v>
      </c>
      <c r="AL142" s="15" t="s">
        <v>109</v>
      </c>
      <c r="AM142" s="15" t="s">
        <v>109</v>
      </c>
      <c r="AN142" s="15" t="s">
        <v>109</v>
      </c>
      <c r="AO142" s="15" t="s">
        <v>109</v>
      </c>
      <c r="AP142" s="15" t="s">
        <v>109</v>
      </c>
      <c r="AQ142" s="15" t="s">
        <v>109</v>
      </c>
      <c r="AR142" s="15" t="s">
        <v>109</v>
      </c>
      <c r="AS142" s="15" t="s">
        <v>109</v>
      </c>
      <c r="AT142" s="15" t="s">
        <v>109</v>
      </c>
      <c r="AU142" s="15" t="s">
        <v>109</v>
      </c>
      <c r="AV142" s="36" t="s">
        <v>109</v>
      </c>
    </row>
    <row r="143" spans="1:264" ht="70.5" customHeight="1" x14ac:dyDescent="0.3">
      <c r="A143" s="15" t="s">
        <v>18</v>
      </c>
      <c r="B143" s="15" t="s">
        <v>254</v>
      </c>
      <c r="C143" s="15" t="s">
        <v>295</v>
      </c>
      <c r="D143" s="15" t="s">
        <v>19</v>
      </c>
      <c r="E143" s="70" t="s">
        <v>19</v>
      </c>
      <c r="F143" s="70" t="s">
        <v>3186</v>
      </c>
      <c r="G143" s="70" t="s">
        <v>19</v>
      </c>
      <c r="H143" s="70" t="s">
        <v>19</v>
      </c>
      <c r="I143" s="72" t="s">
        <v>19</v>
      </c>
      <c r="J143" s="72" t="s">
        <v>19</v>
      </c>
      <c r="K143" s="72" t="s">
        <v>19</v>
      </c>
      <c r="L143" s="72" t="s">
        <v>19</v>
      </c>
      <c r="M143" s="15" t="s">
        <v>296</v>
      </c>
      <c r="N143" s="4" t="s">
        <v>297</v>
      </c>
      <c r="O143" s="15"/>
      <c r="P143" s="4" t="s">
        <v>298</v>
      </c>
      <c r="S143" s="15" t="e" cm="1">
        <f t="array" aca="1" ref="S143" ca="1">COMMONMARKETCOUNT(H143:AV143)</f>
        <v>#NAME?</v>
      </c>
      <c r="T143" s="6" t="e" cm="1">
        <f t="array" aca="1" ref="T143" ca="1">AUTOMATEDCOUNT(H143:AV143)</f>
        <v>#NAME?</v>
      </c>
      <c r="V143" s="15" t="s">
        <v>19</v>
      </c>
      <c r="W143" s="70" t="s">
        <v>19</v>
      </c>
      <c r="X143" s="70" t="s">
        <v>19</v>
      </c>
      <c r="Y143" s="70" t="s">
        <v>19</v>
      </c>
      <c r="Z143" s="70" t="s">
        <v>19</v>
      </c>
      <c r="AA143" s="72" t="s">
        <v>19</v>
      </c>
      <c r="AB143" s="72" t="s">
        <v>19</v>
      </c>
      <c r="AC143" s="72" t="s">
        <v>19</v>
      </c>
      <c r="AD143" s="70" t="s">
        <v>19</v>
      </c>
      <c r="AE143" s="15" t="s">
        <v>19</v>
      </c>
      <c r="AF143" s="18" t="s">
        <v>19</v>
      </c>
      <c r="AG143" s="29" t="s">
        <v>19</v>
      </c>
      <c r="AH143" s="18" t="s">
        <v>19</v>
      </c>
      <c r="AI143" s="18" t="s">
        <v>19</v>
      </c>
      <c r="AJ143" s="18" t="s">
        <v>19</v>
      </c>
      <c r="AK143" s="18" t="s">
        <v>19</v>
      </c>
      <c r="AL143" s="18" t="s">
        <v>19</v>
      </c>
      <c r="AM143" s="18" t="s">
        <v>19</v>
      </c>
      <c r="AN143" s="18" t="s">
        <v>19</v>
      </c>
      <c r="AO143" s="18" t="s">
        <v>19</v>
      </c>
      <c r="AP143" s="18" t="s">
        <v>19</v>
      </c>
      <c r="AQ143" s="18" t="s">
        <v>19</v>
      </c>
      <c r="AR143" s="18" t="s">
        <v>19</v>
      </c>
      <c r="AS143" s="70" t="s">
        <v>19</v>
      </c>
      <c r="AT143" s="72" t="s">
        <v>19</v>
      </c>
      <c r="AU143" s="18" t="s">
        <v>3153</v>
      </c>
      <c r="AV143" s="36" t="s">
        <v>19</v>
      </c>
    </row>
    <row r="144" spans="1:264" ht="70.5" hidden="1" customHeight="1" x14ac:dyDescent="0.3">
      <c r="A144" s="15" t="s">
        <v>315</v>
      </c>
      <c r="B144" s="15" t="s">
        <v>174</v>
      </c>
      <c r="C144" s="101" t="s">
        <v>299</v>
      </c>
      <c r="D144" s="15" t="s">
        <v>19</v>
      </c>
      <c r="E144" s="70" t="s">
        <v>19</v>
      </c>
      <c r="F144" s="120" t="s">
        <v>3192</v>
      </c>
      <c r="G144" s="70" t="s">
        <v>19</v>
      </c>
      <c r="H144" s="120" t="s">
        <v>3192</v>
      </c>
      <c r="I144" s="72" t="s">
        <v>19</v>
      </c>
      <c r="J144" s="120" t="s">
        <v>3192</v>
      </c>
      <c r="K144" s="72" t="s">
        <v>19</v>
      </c>
      <c r="L144" s="72" t="s">
        <v>19</v>
      </c>
      <c r="M144" s="15" t="s">
        <v>300</v>
      </c>
      <c r="N144" s="4" t="s">
        <v>301</v>
      </c>
      <c r="O144" s="15"/>
      <c r="P144" s="4" t="s">
        <v>302</v>
      </c>
      <c r="S144" s="15" t="e" cm="1">
        <f t="array" aca="1" ref="S144" ca="1">COMMONMARKETCOUNT(H144:AV144)</f>
        <v>#NAME?</v>
      </c>
      <c r="T144" s="6" t="e" cm="1">
        <f t="array" aca="1" ref="T144" ca="1">AUTOMATEDCOUNT(H144:AV144)</f>
        <v>#NAME?</v>
      </c>
      <c r="V144" s="70" t="s">
        <v>19</v>
      </c>
      <c r="W144" s="70" t="s">
        <v>19</v>
      </c>
      <c r="X144" s="70" t="s">
        <v>19</v>
      </c>
      <c r="Y144" s="70" t="s">
        <v>19</v>
      </c>
      <c r="Z144" s="70" t="s">
        <v>19</v>
      </c>
      <c r="AA144" s="72" t="s">
        <v>19</v>
      </c>
      <c r="AB144" s="72" t="s">
        <v>19</v>
      </c>
      <c r="AC144" s="72" t="s">
        <v>19</v>
      </c>
      <c r="AD144" s="72" t="s">
        <v>19</v>
      </c>
      <c r="AE144" s="18" t="s">
        <v>19</v>
      </c>
      <c r="AF144" s="18" t="s">
        <v>19</v>
      </c>
      <c r="AG144" s="18" t="s">
        <v>19</v>
      </c>
      <c r="AH144" s="18" t="s">
        <v>19</v>
      </c>
      <c r="AI144" s="18" t="s">
        <v>19</v>
      </c>
      <c r="AJ144" s="18" t="s">
        <v>19</v>
      </c>
      <c r="AK144" s="18" t="s">
        <v>19</v>
      </c>
      <c r="AL144" s="18" t="s">
        <v>19</v>
      </c>
      <c r="AM144" s="18" t="s">
        <v>19</v>
      </c>
      <c r="AN144" s="18" t="s">
        <v>19</v>
      </c>
      <c r="AO144" s="18" t="s">
        <v>19</v>
      </c>
      <c r="AP144" s="18" t="s">
        <v>19</v>
      </c>
      <c r="AQ144" s="18" t="s">
        <v>19</v>
      </c>
      <c r="AR144" s="18" t="s">
        <v>19</v>
      </c>
      <c r="AS144" s="18" t="s">
        <v>19</v>
      </c>
      <c r="AT144" s="18" t="s">
        <v>19</v>
      </c>
      <c r="AU144" s="18" t="s">
        <v>3153</v>
      </c>
      <c r="AV144" s="36" t="s">
        <v>19</v>
      </c>
      <c r="AW144" s="37"/>
      <c r="AX144" s="37"/>
      <c r="AY144" s="37"/>
      <c r="AZ144" s="37"/>
      <c r="BA144" s="37"/>
      <c r="BB144" s="37"/>
      <c r="BC144" s="37"/>
      <c r="BD144" s="37"/>
      <c r="BE144" s="37"/>
      <c r="BF144" s="37"/>
      <c r="BG144" s="37"/>
      <c r="BH144" s="37"/>
      <c r="BI144" s="37"/>
      <c r="BJ144" s="37"/>
      <c r="BK144" s="37"/>
      <c r="BL144" s="37"/>
      <c r="BM144" s="37"/>
      <c r="BN144" s="37"/>
      <c r="BO144" s="37"/>
      <c r="BP144" s="37"/>
      <c r="BQ144" s="37"/>
      <c r="BR144" s="37"/>
      <c r="BS144" s="37"/>
      <c r="BT144" s="37"/>
      <c r="BU144" s="37"/>
      <c r="BV144" s="37"/>
      <c r="BW144" s="37"/>
      <c r="BX144" s="37"/>
      <c r="BY144" s="37"/>
      <c r="BZ144" s="37"/>
      <c r="CA144" s="37"/>
      <c r="CB144" s="37"/>
      <c r="CC144" s="37"/>
      <c r="CD144" s="37"/>
      <c r="CE144" s="37"/>
      <c r="CF144" s="37"/>
      <c r="CG144" s="37"/>
      <c r="CH144" s="37"/>
      <c r="CI144" s="37"/>
      <c r="CJ144" s="37"/>
      <c r="CK144" s="37"/>
      <c r="CL144" s="37"/>
      <c r="CM144" s="37"/>
      <c r="CN144" s="37"/>
      <c r="CO144" s="37"/>
      <c r="CP144" s="37"/>
      <c r="CQ144" s="37"/>
      <c r="CR144" s="37"/>
      <c r="CS144" s="37"/>
      <c r="CT144" s="37"/>
      <c r="CU144" s="37"/>
      <c r="CV144" s="37"/>
      <c r="CW144" s="37"/>
      <c r="CX144" s="37"/>
      <c r="CY144" s="37"/>
      <c r="CZ144" s="37"/>
      <c r="DA144" s="37"/>
      <c r="DB144" s="37"/>
      <c r="DC144" s="37"/>
      <c r="DD144" s="37"/>
      <c r="DE144" s="37"/>
      <c r="DF144" s="37"/>
      <c r="DG144" s="37"/>
      <c r="DH144" s="37"/>
      <c r="DI144" s="37"/>
      <c r="DJ144" s="37"/>
      <c r="DK144" s="37"/>
      <c r="DL144" s="37"/>
      <c r="DM144" s="37"/>
      <c r="DN144" s="37"/>
      <c r="DO144" s="37"/>
      <c r="DP144" s="37"/>
      <c r="DQ144" s="37"/>
      <c r="DR144" s="37"/>
      <c r="DS144" s="37"/>
      <c r="DT144" s="37"/>
      <c r="DU144" s="37"/>
      <c r="DV144" s="37"/>
      <c r="DW144" s="37"/>
      <c r="DX144" s="37"/>
      <c r="DY144" s="37"/>
      <c r="DZ144" s="37"/>
      <c r="EA144" s="37"/>
      <c r="EB144" s="37"/>
      <c r="EC144" s="37"/>
      <c r="ED144" s="37"/>
      <c r="EE144" s="37"/>
      <c r="EF144" s="37"/>
      <c r="EG144" s="37"/>
      <c r="EH144" s="37"/>
      <c r="EI144" s="37"/>
      <c r="EJ144" s="37"/>
      <c r="EK144" s="37"/>
      <c r="EL144" s="37"/>
      <c r="EM144" s="37"/>
      <c r="EN144" s="37"/>
      <c r="EO144" s="37"/>
      <c r="EP144" s="37"/>
      <c r="EQ144" s="37"/>
      <c r="ER144" s="37"/>
      <c r="ES144" s="37"/>
      <c r="ET144" s="37"/>
      <c r="EU144" s="37"/>
      <c r="EV144" s="37"/>
      <c r="EW144" s="37"/>
      <c r="EX144" s="37"/>
      <c r="EY144" s="37"/>
      <c r="EZ144" s="37"/>
      <c r="FA144" s="37"/>
      <c r="FB144" s="37"/>
      <c r="FC144" s="37"/>
      <c r="FD144" s="37"/>
      <c r="FE144" s="37"/>
      <c r="FF144" s="37"/>
      <c r="FG144" s="37"/>
      <c r="FH144" s="37"/>
      <c r="FI144" s="37"/>
      <c r="FJ144" s="37"/>
      <c r="FK144" s="37"/>
      <c r="FL144" s="37"/>
      <c r="FM144" s="37"/>
      <c r="FN144" s="37"/>
      <c r="FO144" s="37"/>
      <c r="FP144" s="37"/>
      <c r="FQ144" s="37"/>
      <c r="FR144" s="37"/>
      <c r="FS144" s="37"/>
      <c r="FT144" s="37"/>
      <c r="FU144" s="37"/>
      <c r="FV144" s="37"/>
      <c r="FW144" s="37"/>
      <c r="FX144" s="37"/>
      <c r="FY144" s="37"/>
      <c r="FZ144" s="37"/>
      <c r="GA144" s="37"/>
      <c r="GB144" s="37"/>
      <c r="GC144" s="37"/>
      <c r="GD144" s="37"/>
      <c r="GE144" s="37"/>
      <c r="GF144" s="37"/>
      <c r="GG144" s="37"/>
      <c r="GH144" s="37"/>
      <c r="GI144" s="37"/>
      <c r="GJ144" s="37"/>
      <c r="GK144" s="37"/>
      <c r="GL144" s="37"/>
      <c r="GM144" s="37"/>
      <c r="GN144" s="37"/>
      <c r="GO144" s="37"/>
      <c r="GP144" s="37"/>
      <c r="GQ144" s="37"/>
      <c r="GR144" s="37"/>
      <c r="GS144" s="37"/>
      <c r="GT144" s="37"/>
      <c r="GU144" s="37"/>
      <c r="GV144" s="37"/>
      <c r="GW144" s="37"/>
      <c r="GX144" s="37"/>
      <c r="GY144" s="37"/>
      <c r="GZ144" s="37"/>
      <c r="HA144" s="37"/>
      <c r="HB144" s="37"/>
      <c r="HC144" s="37"/>
      <c r="HD144" s="37"/>
      <c r="HE144" s="37"/>
      <c r="HF144" s="37"/>
      <c r="HG144" s="37"/>
      <c r="HH144" s="37"/>
      <c r="HI144" s="37"/>
      <c r="HJ144" s="37"/>
      <c r="HK144" s="37"/>
      <c r="HL144" s="37"/>
      <c r="HM144" s="37"/>
      <c r="HN144" s="37"/>
      <c r="HO144" s="37"/>
      <c r="HP144" s="37"/>
      <c r="HQ144" s="37"/>
      <c r="HR144" s="37"/>
      <c r="HS144" s="37"/>
      <c r="HT144" s="37"/>
      <c r="HU144" s="37"/>
      <c r="HV144" s="37"/>
      <c r="HW144" s="37"/>
      <c r="HX144" s="37"/>
      <c r="HY144" s="37"/>
      <c r="HZ144" s="37"/>
      <c r="IA144" s="37"/>
      <c r="IB144" s="37"/>
      <c r="IC144" s="37"/>
      <c r="ID144" s="37"/>
      <c r="IE144" s="37"/>
      <c r="IF144" s="37"/>
      <c r="IG144" s="37"/>
      <c r="IH144" s="37"/>
      <c r="II144" s="37"/>
      <c r="IJ144" s="37"/>
      <c r="IK144" s="37"/>
      <c r="IL144" s="37"/>
      <c r="IM144" s="37"/>
      <c r="IN144" s="37"/>
      <c r="IO144" s="37"/>
      <c r="IP144" s="37"/>
      <c r="IQ144" s="37"/>
      <c r="IR144" s="37"/>
      <c r="IS144" s="37"/>
      <c r="IT144" s="37"/>
      <c r="IU144" s="37"/>
      <c r="IV144" s="37"/>
      <c r="IW144" s="37"/>
      <c r="IX144" s="37"/>
      <c r="IY144" s="37"/>
      <c r="IZ144" s="37"/>
      <c r="JA144" s="37"/>
      <c r="JB144" s="37"/>
      <c r="JC144" s="37"/>
      <c r="JD144" s="37"/>
    </row>
    <row r="145" spans="1:48" ht="70.5" customHeight="1" x14ac:dyDescent="0.3">
      <c r="A145" s="15" t="s">
        <v>18</v>
      </c>
      <c r="B145" s="15" t="s">
        <v>254</v>
      </c>
      <c r="C145" s="19" t="s">
        <v>303</v>
      </c>
      <c r="D145" s="15" t="s">
        <v>19</v>
      </c>
      <c r="E145" s="70" t="s">
        <v>19</v>
      </c>
      <c r="F145" s="70" t="s">
        <v>3186</v>
      </c>
      <c r="G145" s="70" t="s">
        <v>19</v>
      </c>
      <c r="H145" s="70" t="s">
        <v>19</v>
      </c>
      <c r="I145" s="72" t="s">
        <v>19</v>
      </c>
      <c r="J145" s="72" t="s">
        <v>19</v>
      </c>
      <c r="K145" s="72" t="s">
        <v>19</v>
      </c>
      <c r="L145" s="72" t="s">
        <v>19</v>
      </c>
      <c r="M145" s="15" t="s">
        <v>304</v>
      </c>
      <c r="N145" s="4" t="s">
        <v>305</v>
      </c>
      <c r="O145" s="15"/>
      <c r="P145" s="4" t="s">
        <v>306</v>
      </c>
      <c r="S145" s="15" t="e" cm="1">
        <f t="array" aca="1" ref="S145" ca="1">COMMONMARKETCOUNT(H145:AV145)</f>
        <v>#NAME?</v>
      </c>
      <c r="T145" s="6" t="e" cm="1">
        <f t="array" aca="1" ref="T145" ca="1">AUTOMATEDCOUNT(H145:AV145)</f>
        <v>#NAME?</v>
      </c>
      <c r="V145" s="100" t="s">
        <v>19</v>
      </c>
      <c r="W145" s="15" t="s">
        <v>19</v>
      </c>
      <c r="X145" s="70" t="s">
        <v>19</v>
      </c>
      <c r="Y145" s="70" t="s">
        <v>19</v>
      </c>
      <c r="Z145" s="70" t="s">
        <v>19</v>
      </c>
      <c r="AA145" s="72" t="s">
        <v>19</v>
      </c>
      <c r="AB145" s="72" t="s">
        <v>19</v>
      </c>
      <c r="AC145" s="72" t="s">
        <v>19</v>
      </c>
      <c r="AD145" s="72" t="s">
        <v>19</v>
      </c>
      <c r="AE145" s="18" t="s">
        <v>19</v>
      </c>
      <c r="AF145" s="18" t="s">
        <v>19</v>
      </c>
      <c r="AG145" s="29" t="s">
        <v>19</v>
      </c>
      <c r="AH145" s="18" t="s">
        <v>19</v>
      </c>
      <c r="AI145" s="18" t="s">
        <v>19</v>
      </c>
      <c r="AJ145" s="18" t="s">
        <v>19</v>
      </c>
      <c r="AK145" s="18" t="s">
        <v>19</v>
      </c>
      <c r="AL145" s="18" t="s">
        <v>19</v>
      </c>
      <c r="AM145" s="18" t="s">
        <v>19</v>
      </c>
      <c r="AN145" s="18" t="s">
        <v>19</v>
      </c>
      <c r="AO145" s="18" t="s">
        <v>19</v>
      </c>
      <c r="AP145" s="18" t="s">
        <v>19</v>
      </c>
      <c r="AQ145" s="18" t="s">
        <v>19</v>
      </c>
      <c r="AR145" s="18" t="s">
        <v>19</v>
      </c>
      <c r="AS145" s="18" t="s">
        <v>19</v>
      </c>
      <c r="AT145" s="18" t="s">
        <v>19</v>
      </c>
      <c r="AU145" s="18" t="s">
        <v>3153</v>
      </c>
      <c r="AV145" s="36" t="s">
        <v>19</v>
      </c>
    </row>
    <row r="146" spans="1:48" ht="70.5" hidden="1" customHeight="1" x14ac:dyDescent="0.3">
      <c r="A146" s="15" t="s">
        <v>315</v>
      </c>
      <c r="B146" s="15" t="s">
        <v>174</v>
      </c>
      <c r="C146" s="101" t="s">
        <v>307</v>
      </c>
      <c r="D146" s="15" t="s">
        <v>19</v>
      </c>
      <c r="E146" s="70" t="s">
        <v>19</v>
      </c>
      <c r="F146" s="120" t="s">
        <v>3192</v>
      </c>
      <c r="G146" s="70" t="s">
        <v>19</v>
      </c>
      <c r="H146" s="120" t="s">
        <v>3192</v>
      </c>
      <c r="I146" s="72" t="s">
        <v>19</v>
      </c>
      <c r="J146" s="120" t="s">
        <v>3192</v>
      </c>
      <c r="K146" s="72" t="s">
        <v>19</v>
      </c>
      <c r="L146" s="72" t="s">
        <v>19</v>
      </c>
      <c r="M146" s="15" t="s">
        <v>308</v>
      </c>
      <c r="N146" s="4" t="s">
        <v>309</v>
      </c>
      <c r="O146" s="15"/>
      <c r="P146" s="4" t="s">
        <v>310</v>
      </c>
      <c r="S146" s="15" t="e" cm="1">
        <f t="array" aca="1" ref="S146" ca="1">COMMONMARKETCOUNT(H146:AV146)</f>
        <v>#NAME?</v>
      </c>
      <c r="T146" s="6" t="e" cm="1">
        <f t="array" aca="1" ref="T146" ca="1">AUTOMATEDCOUNT(H146:AV146)</f>
        <v>#NAME?</v>
      </c>
      <c r="V146" s="70" t="s">
        <v>19</v>
      </c>
      <c r="W146" s="70" t="s">
        <v>19</v>
      </c>
      <c r="X146" s="70" t="s">
        <v>19</v>
      </c>
      <c r="Y146" s="70" t="s">
        <v>19</v>
      </c>
      <c r="Z146" s="70" t="s">
        <v>19</v>
      </c>
      <c r="AA146" s="72" t="s">
        <v>19</v>
      </c>
      <c r="AB146" s="72" t="s">
        <v>19</v>
      </c>
      <c r="AC146" s="72" t="s">
        <v>19</v>
      </c>
      <c r="AD146" s="72" t="s">
        <v>19</v>
      </c>
      <c r="AE146" s="18" t="s">
        <v>19</v>
      </c>
      <c r="AF146" s="18" t="s">
        <v>19</v>
      </c>
      <c r="AG146" s="18" t="s">
        <v>19</v>
      </c>
      <c r="AH146" s="18" t="s">
        <v>19</v>
      </c>
      <c r="AI146" s="18" t="s">
        <v>19</v>
      </c>
      <c r="AJ146" s="18" t="s">
        <v>19</v>
      </c>
      <c r="AK146" s="18" t="s">
        <v>19</v>
      </c>
      <c r="AL146" s="18" t="s">
        <v>19</v>
      </c>
      <c r="AM146" s="18" t="s">
        <v>19</v>
      </c>
      <c r="AN146" s="18" t="s">
        <v>19</v>
      </c>
      <c r="AO146" s="18" t="s">
        <v>19</v>
      </c>
      <c r="AP146" s="18" t="s">
        <v>19</v>
      </c>
      <c r="AQ146" s="18" t="s">
        <v>19</v>
      </c>
      <c r="AR146" s="18" t="s">
        <v>19</v>
      </c>
      <c r="AS146" s="18" t="s">
        <v>19</v>
      </c>
      <c r="AT146" s="18" t="s">
        <v>19</v>
      </c>
      <c r="AU146" s="18" t="s">
        <v>3153</v>
      </c>
      <c r="AV146" s="36" t="s">
        <v>19</v>
      </c>
    </row>
    <row r="147" spans="1:48" ht="112.5" hidden="1" customHeight="1" x14ac:dyDescent="0.3">
      <c r="A147" s="15" t="s">
        <v>315</v>
      </c>
      <c r="B147" s="15" t="s">
        <v>1127</v>
      </c>
      <c r="C147" s="15" t="s">
        <v>1044</v>
      </c>
      <c r="D147" s="15" t="s">
        <v>32</v>
      </c>
      <c r="E147" s="15" t="s">
        <v>19</v>
      </c>
      <c r="F147" s="15" t="s">
        <v>19</v>
      </c>
      <c r="G147" s="15" t="s">
        <v>19</v>
      </c>
      <c r="H147" s="15" t="s">
        <v>19</v>
      </c>
      <c r="I147" s="15" t="s">
        <v>19</v>
      </c>
      <c r="J147" s="15" t="s">
        <v>19</v>
      </c>
      <c r="K147" s="15" t="s">
        <v>19</v>
      </c>
      <c r="L147" s="15" t="s">
        <v>19</v>
      </c>
      <c r="M147" s="15" t="s">
        <v>898</v>
      </c>
      <c r="N147" s="4" t="s">
        <v>908</v>
      </c>
      <c r="O147" s="33" t="s">
        <v>1645</v>
      </c>
      <c r="P147" s="4" t="s">
        <v>3033</v>
      </c>
      <c r="S147" s="15" t="e" cm="1">
        <f t="array" aca="1" ref="S147" ca="1">COMMONMARKETCOUNT(H147:AV147)</f>
        <v>#NAME?</v>
      </c>
      <c r="T147" s="6" t="e" cm="1">
        <f t="array" aca="1" ref="T147" ca="1">AUTOMATEDCOUNT(H147:AV147)</f>
        <v>#NAME?</v>
      </c>
      <c r="V147" s="15" t="s">
        <v>19</v>
      </c>
      <c r="W147" s="15" t="s">
        <v>19</v>
      </c>
      <c r="X147" s="15" t="s">
        <v>19</v>
      </c>
      <c r="Y147" s="15" t="s">
        <v>19</v>
      </c>
      <c r="Z147" s="15" t="s">
        <v>19</v>
      </c>
      <c r="AA147" s="15" t="s">
        <v>19</v>
      </c>
      <c r="AB147" s="15" t="s">
        <v>19</v>
      </c>
      <c r="AC147" s="15" t="s">
        <v>19</v>
      </c>
      <c r="AD147" s="18" t="s">
        <v>19</v>
      </c>
      <c r="AE147" s="18" t="s">
        <v>19</v>
      </c>
      <c r="AF147" s="15" t="s">
        <v>19</v>
      </c>
      <c r="AG147" s="15" t="s">
        <v>19</v>
      </c>
      <c r="AH147" s="15" t="s">
        <v>19</v>
      </c>
      <c r="AI147" s="15" t="s">
        <v>19</v>
      </c>
      <c r="AJ147" s="15" t="s">
        <v>19</v>
      </c>
      <c r="AK147" s="15" t="s">
        <v>19</v>
      </c>
      <c r="AL147" s="15" t="s">
        <v>19</v>
      </c>
      <c r="AM147" s="15" t="s">
        <v>19</v>
      </c>
      <c r="AN147" s="15" t="s">
        <v>19</v>
      </c>
      <c r="AO147" s="15" t="s">
        <v>19</v>
      </c>
      <c r="AP147" s="15" t="s">
        <v>19</v>
      </c>
      <c r="AQ147" s="15" t="s">
        <v>19</v>
      </c>
      <c r="AR147" s="15" t="s">
        <v>19</v>
      </c>
      <c r="AS147" s="15" t="s">
        <v>19</v>
      </c>
      <c r="AT147" s="15" t="s">
        <v>19</v>
      </c>
      <c r="AU147" s="15" t="s">
        <v>3153</v>
      </c>
      <c r="AV147" s="36" t="s">
        <v>19</v>
      </c>
    </row>
    <row r="148" spans="1:48" ht="108.75" hidden="1" customHeight="1" x14ac:dyDescent="0.3">
      <c r="A148" s="15" t="s">
        <v>315</v>
      </c>
      <c r="B148" s="15" t="s">
        <v>55</v>
      </c>
      <c r="C148" s="15" t="s">
        <v>311</v>
      </c>
      <c r="D148" s="15" t="s">
        <v>32</v>
      </c>
      <c r="E148" s="15" t="s">
        <v>19</v>
      </c>
      <c r="F148" s="15" t="s">
        <v>19</v>
      </c>
      <c r="G148" s="15" t="s">
        <v>19</v>
      </c>
      <c r="H148" s="15" t="s">
        <v>19</v>
      </c>
      <c r="I148" s="15" t="s">
        <v>19</v>
      </c>
      <c r="J148" s="15" t="s">
        <v>19</v>
      </c>
      <c r="K148" s="15" t="s">
        <v>19</v>
      </c>
      <c r="L148" s="15" t="s">
        <v>19</v>
      </c>
      <c r="M148" s="15" t="s">
        <v>312</v>
      </c>
      <c r="N148" s="4" t="s">
        <v>313</v>
      </c>
      <c r="O148" s="15"/>
      <c r="P148" s="4" t="s">
        <v>314</v>
      </c>
      <c r="S148" s="15" t="e" cm="1">
        <f t="array" aca="1" ref="S148" ca="1">COMMONMARKETCOUNT(H148:AV148)</f>
        <v>#NAME?</v>
      </c>
      <c r="T148" s="6" t="e" cm="1">
        <f t="array" aca="1" ref="T148" ca="1">AUTOMATEDCOUNT(H148:AV148)</f>
        <v>#NAME?</v>
      </c>
      <c r="V148" s="15" t="s">
        <v>19</v>
      </c>
      <c r="W148" s="15" t="s">
        <v>19</v>
      </c>
      <c r="X148" s="15" t="s">
        <v>19</v>
      </c>
      <c r="Y148" s="15" t="s">
        <v>19</v>
      </c>
      <c r="Z148" s="15" t="s">
        <v>19</v>
      </c>
      <c r="AA148" s="15" t="s">
        <v>19</v>
      </c>
      <c r="AB148" s="15" t="s">
        <v>19</v>
      </c>
      <c r="AC148" s="15" t="s">
        <v>19</v>
      </c>
      <c r="AD148" s="15" t="s">
        <v>19</v>
      </c>
      <c r="AE148" s="15" t="s">
        <v>19</v>
      </c>
      <c r="AF148" s="15" t="s">
        <v>19</v>
      </c>
      <c r="AG148" s="15" t="s">
        <v>19</v>
      </c>
      <c r="AH148" s="15" t="s">
        <v>19</v>
      </c>
      <c r="AI148" s="15" t="s">
        <v>19</v>
      </c>
      <c r="AJ148" s="15" t="s">
        <v>19</v>
      </c>
      <c r="AK148" s="15" t="s">
        <v>19</v>
      </c>
      <c r="AL148" s="15" t="s">
        <v>19</v>
      </c>
      <c r="AM148" s="18" t="s">
        <v>19</v>
      </c>
      <c r="AN148" s="18" t="s">
        <v>19</v>
      </c>
      <c r="AO148" s="18" t="s">
        <v>19</v>
      </c>
      <c r="AP148" s="15" t="s">
        <v>19</v>
      </c>
      <c r="AQ148" s="15" t="s">
        <v>19</v>
      </c>
      <c r="AR148" s="15" t="s">
        <v>19</v>
      </c>
      <c r="AS148" s="15" t="s">
        <v>19</v>
      </c>
      <c r="AT148" s="15" t="s">
        <v>19</v>
      </c>
      <c r="AU148" s="15" t="s">
        <v>3153</v>
      </c>
      <c r="AV148" s="36" t="s">
        <v>19</v>
      </c>
    </row>
    <row r="149" spans="1:48" ht="93.75" hidden="1" customHeight="1" x14ac:dyDescent="0.3">
      <c r="A149" s="15" t="s">
        <v>315</v>
      </c>
      <c r="B149" s="15" t="s">
        <v>290</v>
      </c>
      <c r="C149" s="15" t="s">
        <v>316</v>
      </c>
      <c r="D149" s="15" t="s">
        <v>32</v>
      </c>
      <c r="E149" s="15" t="s">
        <v>19</v>
      </c>
      <c r="F149" s="15" t="s">
        <v>19</v>
      </c>
      <c r="G149" s="15" t="s">
        <v>19</v>
      </c>
      <c r="H149" s="15" t="s">
        <v>19</v>
      </c>
      <c r="I149" s="15" t="s">
        <v>19</v>
      </c>
      <c r="J149" s="15" t="s">
        <v>19</v>
      </c>
      <c r="K149" s="15" t="s">
        <v>19</v>
      </c>
      <c r="L149" s="15" t="s">
        <v>19</v>
      </c>
      <c r="M149" s="15" t="s">
        <v>317</v>
      </c>
      <c r="N149" s="4" t="s">
        <v>318</v>
      </c>
      <c r="O149" s="15"/>
      <c r="P149" s="4" t="s">
        <v>3034</v>
      </c>
      <c r="S149" s="15" t="e" cm="1">
        <f t="array" aca="1" ref="S149" ca="1">COMMONMARKETCOUNT(H149:AV149)</f>
        <v>#NAME?</v>
      </c>
      <c r="T149" s="6" t="e" cm="1">
        <f t="array" aca="1" ref="T149" ca="1">AUTOMATEDCOUNT(H149:AV149)</f>
        <v>#NAME?</v>
      </c>
      <c r="V149" s="15" t="s">
        <v>19</v>
      </c>
      <c r="W149" s="15" t="s">
        <v>19</v>
      </c>
      <c r="X149" s="15" t="s">
        <v>19</v>
      </c>
      <c r="Y149" s="15" t="s">
        <v>19</v>
      </c>
      <c r="Z149" s="15" t="s">
        <v>19</v>
      </c>
      <c r="AA149" s="15" t="s">
        <v>19</v>
      </c>
      <c r="AB149" s="15" t="s">
        <v>19</v>
      </c>
      <c r="AC149" s="15" t="s">
        <v>19</v>
      </c>
      <c r="AD149" s="15" t="s">
        <v>19</v>
      </c>
      <c r="AE149" s="15" t="s">
        <v>19</v>
      </c>
      <c r="AF149" s="15" t="s">
        <v>19</v>
      </c>
      <c r="AG149" s="15" t="s">
        <v>19</v>
      </c>
      <c r="AH149" s="15" t="s">
        <v>19</v>
      </c>
      <c r="AI149" s="15" t="s">
        <v>19</v>
      </c>
      <c r="AJ149" s="15" t="s">
        <v>19</v>
      </c>
      <c r="AK149" s="15" t="s">
        <v>19</v>
      </c>
      <c r="AL149" s="15" t="s">
        <v>19</v>
      </c>
      <c r="AM149" s="18" t="s">
        <v>19</v>
      </c>
      <c r="AN149" s="18" t="s">
        <v>19</v>
      </c>
      <c r="AO149" s="18" t="s">
        <v>19</v>
      </c>
      <c r="AP149" s="15" t="s">
        <v>19</v>
      </c>
      <c r="AQ149" s="15" t="s">
        <v>19</v>
      </c>
      <c r="AR149" s="15" t="s">
        <v>19</v>
      </c>
      <c r="AS149" s="15" t="s">
        <v>19</v>
      </c>
      <c r="AT149" s="15" t="s">
        <v>19</v>
      </c>
      <c r="AU149" s="15" t="s">
        <v>3153</v>
      </c>
      <c r="AV149" s="36" t="s">
        <v>19</v>
      </c>
    </row>
    <row r="150" spans="1:48" ht="70.5" hidden="1" customHeight="1" x14ac:dyDescent="0.3">
      <c r="A150" s="15" t="s">
        <v>315</v>
      </c>
      <c r="B150" s="15" t="s">
        <v>174</v>
      </c>
      <c r="C150" s="15" t="s">
        <v>319</v>
      </c>
      <c r="D150" s="15" t="s">
        <v>32</v>
      </c>
      <c r="E150" s="15" t="s">
        <v>19</v>
      </c>
      <c r="F150" s="15" t="s">
        <v>19</v>
      </c>
      <c r="G150" s="15" t="s">
        <v>19</v>
      </c>
      <c r="H150" s="15" t="s">
        <v>19</v>
      </c>
      <c r="I150" s="15" t="s">
        <v>19</v>
      </c>
      <c r="J150" s="15" t="s">
        <v>19</v>
      </c>
      <c r="K150" s="15" t="s">
        <v>19</v>
      </c>
      <c r="L150" s="15" t="s">
        <v>19</v>
      </c>
      <c r="M150" s="15" t="s">
        <v>320</v>
      </c>
      <c r="N150" s="4" t="s">
        <v>321</v>
      </c>
      <c r="O150" s="15"/>
      <c r="P150" s="4" t="s">
        <v>322</v>
      </c>
      <c r="S150" s="15" t="e" cm="1">
        <f t="array" aca="1" ref="S150" ca="1">COMMONMARKETCOUNT(H150:AV150)</f>
        <v>#NAME?</v>
      </c>
      <c r="T150" s="6" t="e" cm="1">
        <f t="array" aca="1" ref="T150" ca="1">AUTOMATEDCOUNT(H150:AV150)</f>
        <v>#NAME?</v>
      </c>
      <c r="V150" s="15" t="s">
        <v>19</v>
      </c>
      <c r="W150" s="15" t="s">
        <v>19</v>
      </c>
      <c r="X150" s="15" t="s">
        <v>19</v>
      </c>
      <c r="Y150" s="15" t="s">
        <v>19</v>
      </c>
      <c r="Z150" s="15" t="s">
        <v>19</v>
      </c>
      <c r="AA150" s="15" t="s">
        <v>19</v>
      </c>
      <c r="AB150" s="15" t="s">
        <v>19</v>
      </c>
      <c r="AC150" s="15" t="s">
        <v>19</v>
      </c>
      <c r="AD150" s="15" t="s">
        <v>19</v>
      </c>
      <c r="AE150" s="15" t="s">
        <v>19</v>
      </c>
      <c r="AF150" s="15" t="s">
        <v>19</v>
      </c>
      <c r="AG150" s="15" t="s">
        <v>19</v>
      </c>
      <c r="AH150" s="15" t="s">
        <v>19</v>
      </c>
      <c r="AI150" s="15" t="s">
        <v>19</v>
      </c>
      <c r="AJ150" s="15" t="s">
        <v>19</v>
      </c>
      <c r="AK150" s="15" t="s">
        <v>19</v>
      </c>
      <c r="AL150" s="15" t="s">
        <v>19</v>
      </c>
      <c r="AM150" s="18" t="s">
        <v>19</v>
      </c>
      <c r="AN150" s="18" t="s">
        <v>19</v>
      </c>
      <c r="AO150" s="18" t="s">
        <v>19</v>
      </c>
      <c r="AP150" s="15" t="s">
        <v>19</v>
      </c>
      <c r="AQ150" s="15" t="s">
        <v>19</v>
      </c>
      <c r="AR150" s="15" t="s">
        <v>19</v>
      </c>
      <c r="AS150" s="15" t="s">
        <v>19</v>
      </c>
      <c r="AT150" s="15" t="s">
        <v>19</v>
      </c>
      <c r="AU150" s="15" t="s">
        <v>3153</v>
      </c>
      <c r="AV150" s="36" t="s">
        <v>19</v>
      </c>
    </row>
    <row r="151" spans="1:48" ht="70.5" hidden="1" customHeight="1" x14ac:dyDescent="0.3">
      <c r="A151" s="15" t="s">
        <v>25</v>
      </c>
      <c r="B151" s="15" t="s">
        <v>37</v>
      </c>
      <c r="C151" s="15" t="s">
        <v>323</v>
      </c>
      <c r="D151" s="15" t="s">
        <v>19</v>
      </c>
      <c r="E151" s="20" t="s">
        <v>19</v>
      </c>
      <c r="F151" s="20" t="s">
        <v>19</v>
      </c>
      <c r="G151" s="70" t="s">
        <v>19</v>
      </c>
      <c r="H151" s="70" t="s">
        <v>3178</v>
      </c>
      <c r="I151" s="72" t="s">
        <v>19</v>
      </c>
      <c r="J151" s="72" t="s">
        <v>19</v>
      </c>
      <c r="K151" s="70" t="s">
        <v>19</v>
      </c>
      <c r="L151" s="70" t="s">
        <v>19</v>
      </c>
      <c r="M151" s="15" t="s">
        <v>1724</v>
      </c>
      <c r="N151" s="4" t="s">
        <v>1523</v>
      </c>
      <c r="O151" s="15"/>
      <c r="P151" s="4" t="s">
        <v>3035</v>
      </c>
      <c r="S151" s="15" t="e" cm="1">
        <f t="array" aca="1" ref="S151" ca="1">COMMONMARKETCOUNT(H151:AV151)</f>
        <v>#NAME?</v>
      </c>
      <c r="T151" s="6" t="e" cm="1">
        <f t="array" aca="1" ref="T151" ca="1">AUTOMATEDCOUNT(H151:AV151)</f>
        <v>#NAME?</v>
      </c>
      <c r="V151" s="70" t="s">
        <v>19</v>
      </c>
      <c r="W151" s="70" t="s">
        <v>19</v>
      </c>
      <c r="X151" s="20" t="s">
        <v>19</v>
      </c>
      <c r="Y151" s="20" t="s">
        <v>19</v>
      </c>
      <c r="Z151" s="20" t="s">
        <v>19</v>
      </c>
      <c r="AA151" s="72" t="s">
        <v>19</v>
      </c>
      <c r="AB151" s="72" t="s">
        <v>19</v>
      </c>
      <c r="AC151" s="72" t="s">
        <v>19</v>
      </c>
      <c r="AD151" s="70" t="s">
        <v>19</v>
      </c>
      <c r="AE151" s="15" t="s">
        <v>19</v>
      </c>
      <c r="AF151" s="15" t="s">
        <v>19</v>
      </c>
      <c r="AG151" s="20" t="s">
        <v>19</v>
      </c>
      <c r="AH151" s="20" t="s">
        <v>19</v>
      </c>
      <c r="AI151" s="15" t="s">
        <v>19</v>
      </c>
      <c r="AJ151" s="15" t="s">
        <v>19</v>
      </c>
      <c r="AK151" s="20" t="s">
        <v>19</v>
      </c>
      <c r="AL151" s="20" t="s">
        <v>19</v>
      </c>
      <c r="AM151" s="18" t="s">
        <v>19</v>
      </c>
      <c r="AN151" s="18" t="s">
        <v>19</v>
      </c>
      <c r="AO151" s="18" t="s">
        <v>19</v>
      </c>
      <c r="AP151" s="15" t="s">
        <v>19</v>
      </c>
      <c r="AQ151" s="15" t="s">
        <v>19</v>
      </c>
      <c r="AR151" s="15" t="s">
        <v>19</v>
      </c>
      <c r="AS151" s="70" t="s">
        <v>19</v>
      </c>
      <c r="AT151" s="70" t="s">
        <v>19</v>
      </c>
      <c r="AU151" s="20" t="s">
        <v>3153</v>
      </c>
      <c r="AV151" s="36" t="s">
        <v>19</v>
      </c>
    </row>
    <row r="152" spans="1:48" ht="93" customHeight="1" x14ac:dyDescent="0.3">
      <c r="A152" s="15" t="s">
        <v>315</v>
      </c>
      <c r="B152" s="15" t="s">
        <v>55</v>
      </c>
      <c r="C152" s="15" t="s">
        <v>324</v>
      </c>
      <c r="D152" s="15" t="s">
        <v>19</v>
      </c>
      <c r="E152" s="15" t="s">
        <v>19</v>
      </c>
      <c r="F152" s="15" t="s">
        <v>19</v>
      </c>
      <c r="G152" s="15" t="s">
        <v>19</v>
      </c>
      <c r="H152" s="15" t="s">
        <v>19</v>
      </c>
      <c r="I152" s="18" t="s">
        <v>19</v>
      </c>
      <c r="J152" s="18" t="s">
        <v>19</v>
      </c>
      <c r="K152" s="18" t="s">
        <v>19</v>
      </c>
      <c r="L152" s="18" t="s">
        <v>19</v>
      </c>
      <c r="M152" s="15" t="s">
        <v>325</v>
      </c>
      <c r="N152" s="4" t="s">
        <v>1167</v>
      </c>
      <c r="O152" s="15"/>
      <c r="P152" s="4" t="s">
        <v>326</v>
      </c>
      <c r="S152" s="15" t="e" cm="1">
        <f t="array" aca="1" ref="S152" ca="1">COMMONMARKETCOUNT(H152:AV152)</f>
        <v>#NAME?</v>
      </c>
      <c r="T152" s="6" t="e" cm="1">
        <f t="array" aca="1" ref="T152" ca="1">AUTOMATEDCOUNT(H152:AV152)</f>
        <v>#NAME?</v>
      </c>
      <c r="V152" s="15" t="s">
        <v>19</v>
      </c>
      <c r="W152" s="15" t="s">
        <v>19</v>
      </c>
      <c r="X152" s="15" t="s">
        <v>19</v>
      </c>
      <c r="Y152" s="15" t="s">
        <v>19</v>
      </c>
      <c r="Z152" s="15" t="s">
        <v>19</v>
      </c>
      <c r="AA152" s="18" t="s">
        <v>19</v>
      </c>
      <c r="AB152" s="18" t="s">
        <v>19</v>
      </c>
      <c r="AC152" s="18" t="s">
        <v>19</v>
      </c>
      <c r="AD152" s="18" t="s">
        <v>19</v>
      </c>
      <c r="AE152" s="18" t="s">
        <v>19</v>
      </c>
      <c r="AF152" s="18" t="s">
        <v>19</v>
      </c>
      <c r="AG152" s="18" t="s">
        <v>19</v>
      </c>
      <c r="AH152" s="18" t="s">
        <v>19</v>
      </c>
      <c r="AI152" s="18" t="s">
        <v>19</v>
      </c>
      <c r="AJ152" s="18" t="s">
        <v>19</v>
      </c>
      <c r="AK152" s="18" t="s">
        <v>19</v>
      </c>
      <c r="AL152" s="18" t="s">
        <v>19</v>
      </c>
      <c r="AM152" s="18" t="s">
        <v>19</v>
      </c>
      <c r="AN152" s="18" t="s">
        <v>19</v>
      </c>
      <c r="AO152" s="18" t="s">
        <v>19</v>
      </c>
      <c r="AP152" s="18" t="s">
        <v>19</v>
      </c>
      <c r="AQ152" s="18" t="s">
        <v>19</v>
      </c>
      <c r="AR152" s="18" t="s">
        <v>19</v>
      </c>
      <c r="AS152" s="18" t="s">
        <v>19</v>
      </c>
      <c r="AT152" s="18" t="s">
        <v>19</v>
      </c>
      <c r="AU152" s="18" t="s">
        <v>3153</v>
      </c>
      <c r="AV152" s="36" t="s">
        <v>19</v>
      </c>
    </row>
    <row r="153" spans="1:48" ht="72.75" hidden="1" customHeight="1" x14ac:dyDescent="0.3">
      <c r="A153" s="15" t="s">
        <v>56</v>
      </c>
      <c r="B153" s="15" t="s">
        <v>55</v>
      </c>
      <c r="C153" s="15" t="s">
        <v>327</v>
      </c>
      <c r="D153" s="15" t="s">
        <v>32</v>
      </c>
      <c r="E153" s="15" t="s">
        <v>19</v>
      </c>
      <c r="F153" s="15" t="s">
        <v>19</v>
      </c>
      <c r="G153" s="15" t="s">
        <v>19</v>
      </c>
      <c r="H153" s="15" t="s">
        <v>19</v>
      </c>
      <c r="I153" s="15" t="s">
        <v>19</v>
      </c>
      <c r="J153" s="15" t="s">
        <v>19</v>
      </c>
      <c r="K153" s="15" t="s">
        <v>19</v>
      </c>
      <c r="L153" s="15" t="s">
        <v>19</v>
      </c>
      <c r="M153" s="15" t="s">
        <v>328</v>
      </c>
      <c r="N153" s="4" t="s">
        <v>1168</v>
      </c>
      <c r="O153" s="15"/>
      <c r="P153" s="4" t="s">
        <v>329</v>
      </c>
      <c r="S153" s="15" t="e" cm="1">
        <f t="array" aca="1" ref="S153" ca="1">COMMONMARKETCOUNT(H153:AV153)</f>
        <v>#NAME?</v>
      </c>
      <c r="T153" s="6" t="e" cm="1">
        <f t="array" aca="1" ref="T153" ca="1">AUTOMATEDCOUNT(H153:AV153)</f>
        <v>#NAME?</v>
      </c>
      <c r="V153" s="15" t="s">
        <v>19</v>
      </c>
      <c r="W153" s="15" t="s">
        <v>19</v>
      </c>
      <c r="X153" s="15" t="s">
        <v>19</v>
      </c>
      <c r="Y153" s="15" t="s">
        <v>19</v>
      </c>
      <c r="Z153" s="15" t="s">
        <v>19</v>
      </c>
      <c r="AA153" s="15" t="s">
        <v>19</v>
      </c>
      <c r="AB153" s="15" t="s">
        <v>19</v>
      </c>
      <c r="AC153" s="15" t="s">
        <v>19</v>
      </c>
      <c r="AD153" s="18" t="s">
        <v>19</v>
      </c>
      <c r="AE153" s="18" t="s">
        <v>19</v>
      </c>
      <c r="AF153" s="15" t="s">
        <v>19</v>
      </c>
      <c r="AG153" s="15" t="s">
        <v>19</v>
      </c>
      <c r="AH153" s="15" t="s">
        <v>19</v>
      </c>
      <c r="AI153" s="15" t="s">
        <v>19</v>
      </c>
      <c r="AJ153" s="15" t="s">
        <v>19</v>
      </c>
      <c r="AK153" s="15" t="s">
        <v>19</v>
      </c>
      <c r="AL153" s="15" t="s">
        <v>19</v>
      </c>
      <c r="AM153" s="18" t="s">
        <v>19</v>
      </c>
      <c r="AN153" s="18" t="s">
        <v>19</v>
      </c>
      <c r="AO153" s="18" t="s">
        <v>19</v>
      </c>
      <c r="AP153" s="15" t="s">
        <v>19</v>
      </c>
      <c r="AQ153" s="15" t="s">
        <v>19</v>
      </c>
      <c r="AR153" s="15" t="s">
        <v>19</v>
      </c>
      <c r="AS153" s="15" t="s">
        <v>19</v>
      </c>
      <c r="AT153" s="15" t="s">
        <v>19</v>
      </c>
      <c r="AU153" s="15" t="s">
        <v>3153</v>
      </c>
      <c r="AV153" s="36" t="s">
        <v>19</v>
      </c>
    </row>
    <row r="154" spans="1:48" ht="70.5" hidden="1" customHeight="1" x14ac:dyDescent="0.3">
      <c r="A154" s="15" t="s">
        <v>56</v>
      </c>
      <c r="B154" s="15" t="s">
        <v>290</v>
      </c>
      <c r="C154" s="15" t="s">
        <v>330</v>
      </c>
      <c r="D154" s="15" t="s">
        <v>32</v>
      </c>
      <c r="E154" s="15" t="s">
        <v>19</v>
      </c>
      <c r="F154" s="15" t="s">
        <v>19</v>
      </c>
      <c r="G154" s="15" t="s">
        <v>19</v>
      </c>
      <c r="H154" s="15" t="s">
        <v>19</v>
      </c>
      <c r="I154" s="15" t="s">
        <v>19</v>
      </c>
      <c r="J154" s="15" t="s">
        <v>19</v>
      </c>
      <c r="K154" s="15" t="s">
        <v>19</v>
      </c>
      <c r="L154" s="15" t="s">
        <v>19</v>
      </c>
      <c r="M154" s="15" t="s">
        <v>331</v>
      </c>
      <c r="N154" s="4" t="s">
        <v>1169</v>
      </c>
      <c r="O154" s="15"/>
      <c r="P154" s="4" t="s">
        <v>332</v>
      </c>
      <c r="S154" s="15" t="e" cm="1">
        <f t="array" aca="1" ref="S154" ca="1">COMMONMARKETCOUNT(H154:AV154)</f>
        <v>#NAME?</v>
      </c>
      <c r="T154" s="6" t="e" cm="1">
        <f t="array" aca="1" ref="T154" ca="1">AUTOMATEDCOUNT(H154:AV154)</f>
        <v>#NAME?</v>
      </c>
      <c r="V154" s="15" t="s">
        <v>19</v>
      </c>
      <c r="W154" s="15" t="s">
        <v>19</v>
      </c>
      <c r="X154" s="15" t="s">
        <v>19</v>
      </c>
      <c r="Y154" s="15" t="s">
        <v>19</v>
      </c>
      <c r="Z154" s="15" t="s">
        <v>19</v>
      </c>
      <c r="AA154" s="15" t="s">
        <v>19</v>
      </c>
      <c r="AB154" s="15" t="s">
        <v>19</v>
      </c>
      <c r="AC154" s="15" t="s">
        <v>19</v>
      </c>
      <c r="AD154" s="15" t="s">
        <v>19</v>
      </c>
      <c r="AE154" s="15" t="s">
        <v>19</v>
      </c>
      <c r="AF154" s="15" t="s">
        <v>19</v>
      </c>
      <c r="AG154" s="15" t="s">
        <v>19</v>
      </c>
      <c r="AH154" s="15" t="s">
        <v>19</v>
      </c>
      <c r="AI154" s="15" t="s">
        <v>19</v>
      </c>
      <c r="AJ154" s="15" t="s">
        <v>19</v>
      </c>
      <c r="AK154" s="15" t="s">
        <v>19</v>
      </c>
      <c r="AL154" s="15" t="s">
        <v>19</v>
      </c>
      <c r="AM154" s="18" t="s">
        <v>19</v>
      </c>
      <c r="AN154" s="18" t="s">
        <v>19</v>
      </c>
      <c r="AO154" s="18" t="s">
        <v>19</v>
      </c>
      <c r="AP154" s="15" t="s">
        <v>19</v>
      </c>
      <c r="AQ154" s="15" t="s">
        <v>19</v>
      </c>
      <c r="AR154" s="15" t="s">
        <v>19</v>
      </c>
      <c r="AS154" s="15" t="s">
        <v>19</v>
      </c>
      <c r="AT154" s="15" t="s">
        <v>19</v>
      </c>
      <c r="AU154" s="15" t="s">
        <v>3153</v>
      </c>
      <c r="AV154" s="36" t="s">
        <v>19</v>
      </c>
    </row>
    <row r="155" spans="1:48" ht="86.25" hidden="1" customHeight="1" x14ac:dyDescent="0.3">
      <c r="A155" s="15" t="s">
        <v>56</v>
      </c>
      <c r="B155" s="15" t="s">
        <v>1365</v>
      </c>
      <c r="C155" s="15" t="s">
        <v>333</v>
      </c>
      <c r="D155" s="15" t="s">
        <v>32</v>
      </c>
      <c r="E155" s="18" t="s">
        <v>109</v>
      </c>
      <c r="F155" s="18" t="s">
        <v>109</v>
      </c>
      <c r="G155" s="18" t="s">
        <v>109</v>
      </c>
      <c r="H155" s="18" t="s">
        <v>109</v>
      </c>
      <c r="I155" s="18" t="s">
        <v>19</v>
      </c>
      <c r="J155" s="18" t="s">
        <v>19</v>
      </c>
      <c r="K155" s="18" t="s">
        <v>19</v>
      </c>
      <c r="L155" s="18" t="s">
        <v>19</v>
      </c>
      <c r="M155" s="15" t="s">
        <v>334</v>
      </c>
      <c r="N155" s="4" t="s">
        <v>1170</v>
      </c>
      <c r="O155" s="15"/>
      <c r="P155" s="4" t="s">
        <v>3036</v>
      </c>
      <c r="S155" s="15" t="e" cm="1">
        <f t="array" aca="1" ref="S155" ca="1">COMMONMARKETCOUNT(H155:AV155)</f>
        <v>#NAME?</v>
      </c>
      <c r="T155" s="6" t="e" cm="1">
        <f t="array" aca="1" ref="T155" ca="1">AUTOMATEDCOUNT(H155:AV155)</f>
        <v>#NAME?</v>
      </c>
      <c r="V155" s="18" t="s">
        <v>109</v>
      </c>
      <c r="W155" s="18" t="s">
        <v>109</v>
      </c>
      <c r="X155" s="18" t="s">
        <v>109</v>
      </c>
      <c r="Y155" s="18" t="s">
        <v>109</v>
      </c>
      <c r="Z155" s="18" t="s">
        <v>109</v>
      </c>
      <c r="AA155" s="18" t="s">
        <v>19</v>
      </c>
      <c r="AB155" s="18" t="s">
        <v>19</v>
      </c>
      <c r="AC155" s="18" t="s">
        <v>19</v>
      </c>
      <c r="AD155" s="15" t="s">
        <v>19</v>
      </c>
      <c r="AE155" s="15" t="s">
        <v>19</v>
      </c>
      <c r="AF155" s="18" t="s">
        <v>19</v>
      </c>
      <c r="AG155" s="18" t="s">
        <v>19</v>
      </c>
      <c r="AH155" s="18" t="s">
        <v>19</v>
      </c>
      <c r="AI155" s="18" t="s">
        <v>19</v>
      </c>
      <c r="AJ155" s="18" t="s">
        <v>19</v>
      </c>
      <c r="AK155" s="18" t="s">
        <v>19</v>
      </c>
      <c r="AL155" s="18" t="s">
        <v>19</v>
      </c>
      <c r="AM155" s="18" t="s">
        <v>109</v>
      </c>
      <c r="AN155" s="18" t="s">
        <v>19</v>
      </c>
      <c r="AO155" s="18" t="s">
        <v>19</v>
      </c>
      <c r="AP155" s="18" t="s">
        <v>109</v>
      </c>
      <c r="AQ155" s="18" t="s">
        <v>109</v>
      </c>
      <c r="AR155" s="18" t="s">
        <v>109</v>
      </c>
      <c r="AS155" s="18" t="s">
        <v>109</v>
      </c>
      <c r="AT155" s="18" t="s">
        <v>109</v>
      </c>
      <c r="AU155" s="18" t="s">
        <v>109</v>
      </c>
      <c r="AV155" s="36" t="s">
        <v>109</v>
      </c>
    </row>
    <row r="156" spans="1:48" ht="70.5" hidden="1" customHeight="1" x14ac:dyDescent="0.3">
      <c r="A156" s="15" t="s">
        <v>25</v>
      </c>
      <c r="B156" s="15" t="s">
        <v>1124</v>
      </c>
      <c r="C156" s="15" t="s">
        <v>336</v>
      </c>
      <c r="D156" s="15" t="s">
        <v>19</v>
      </c>
      <c r="E156" s="18" t="s">
        <v>109</v>
      </c>
      <c r="F156" s="18" t="s">
        <v>109</v>
      </c>
      <c r="G156" s="18" t="s">
        <v>109</v>
      </c>
      <c r="H156" s="18" t="s">
        <v>109</v>
      </c>
      <c r="I156" s="72" t="s">
        <v>19</v>
      </c>
      <c r="J156" s="72" t="s">
        <v>19</v>
      </c>
      <c r="K156" s="29" t="s">
        <v>19</v>
      </c>
      <c r="L156" s="29" t="s">
        <v>19</v>
      </c>
      <c r="M156" s="15" t="s">
        <v>337</v>
      </c>
      <c r="N156" s="4" t="s">
        <v>1171</v>
      </c>
      <c r="O156" s="15"/>
      <c r="P156" s="4" t="s">
        <v>1524</v>
      </c>
      <c r="S156" s="15" t="e" cm="1">
        <f t="array" aca="1" ref="S156" ca="1">COMMONMARKETCOUNT(H156:AV156)</f>
        <v>#NAME?</v>
      </c>
      <c r="T156" s="6" t="e" cm="1">
        <f t="array" aca="1" ref="T156" ca="1">AUTOMATEDCOUNT(H156:AV156)</f>
        <v>#NAME?</v>
      </c>
      <c r="V156" s="18" t="s">
        <v>109</v>
      </c>
      <c r="W156" s="18" t="s">
        <v>109</v>
      </c>
      <c r="X156" s="18" t="s">
        <v>109</v>
      </c>
      <c r="Y156" s="18" t="s">
        <v>109</v>
      </c>
      <c r="Z156" s="18" t="s">
        <v>109</v>
      </c>
      <c r="AA156" s="72" t="s">
        <v>19</v>
      </c>
      <c r="AB156" s="72" t="s">
        <v>19</v>
      </c>
      <c r="AC156" s="72" t="s">
        <v>19</v>
      </c>
      <c r="AD156" s="72" t="s">
        <v>19</v>
      </c>
      <c r="AE156" s="18" t="s">
        <v>19</v>
      </c>
      <c r="AF156" s="18" t="s">
        <v>19</v>
      </c>
      <c r="AG156" s="18" t="s">
        <v>19</v>
      </c>
      <c r="AH156" s="18" t="s">
        <v>19</v>
      </c>
      <c r="AI156" s="18" t="s">
        <v>19</v>
      </c>
      <c r="AJ156" s="18" t="s">
        <v>19</v>
      </c>
      <c r="AK156" s="18" t="s">
        <v>19</v>
      </c>
      <c r="AL156" s="18" t="s">
        <v>19</v>
      </c>
      <c r="AM156" s="18" t="s">
        <v>109</v>
      </c>
      <c r="AN156" s="18" t="s">
        <v>19</v>
      </c>
      <c r="AO156" s="18" t="s">
        <v>19</v>
      </c>
      <c r="AP156" s="18" t="s">
        <v>109</v>
      </c>
      <c r="AQ156" s="18" t="s">
        <v>109</v>
      </c>
      <c r="AR156" s="18" t="s">
        <v>109</v>
      </c>
      <c r="AS156" s="18" t="s">
        <v>109</v>
      </c>
      <c r="AT156" s="18" t="s">
        <v>109</v>
      </c>
      <c r="AU156" s="18" t="s">
        <v>109</v>
      </c>
      <c r="AV156" s="36" t="s">
        <v>109</v>
      </c>
    </row>
    <row r="157" spans="1:48" ht="70.5" hidden="1" customHeight="1" x14ac:dyDescent="0.3">
      <c r="A157" s="15" t="s">
        <v>25</v>
      </c>
      <c r="B157" s="15" t="s">
        <v>1124</v>
      </c>
      <c r="C157" s="15" t="s">
        <v>338</v>
      </c>
      <c r="D157" s="15" t="s">
        <v>19</v>
      </c>
      <c r="E157" s="18" t="s">
        <v>109</v>
      </c>
      <c r="F157" s="18" t="s">
        <v>109</v>
      </c>
      <c r="G157" s="18" t="s">
        <v>109</v>
      </c>
      <c r="H157" s="18" t="s">
        <v>109</v>
      </c>
      <c r="I157" s="18" t="s">
        <v>19</v>
      </c>
      <c r="J157" s="18" t="s">
        <v>19</v>
      </c>
      <c r="K157" s="29" t="s">
        <v>19</v>
      </c>
      <c r="L157" s="29" t="s">
        <v>19</v>
      </c>
      <c r="M157" s="15" t="s">
        <v>339</v>
      </c>
      <c r="N157" s="4" t="s">
        <v>1172</v>
      </c>
      <c r="O157" s="15"/>
      <c r="P157" s="4" t="s">
        <v>1525</v>
      </c>
      <c r="S157" s="15" t="e" cm="1">
        <f t="array" aca="1" ref="S157" ca="1">COMMONMARKETCOUNT(H157:AV157)</f>
        <v>#NAME?</v>
      </c>
      <c r="T157" s="6" t="e" cm="1">
        <f t="array" aca="1" ref="T157" ca="1">AUTOMATEDCOUNT(H157:AV157)</f>
        <v>#NAME?</v>
      </c>
      <c r="V157" s="18" t="s">
        <v>109</v>
      </c>
      <c r="W157" s="18" t="s">
        <v>109</v>
      </c>
      <c r="X157" s="18" t="s">
        <v>109</v>
      </c>
      <c r="Y157" s="18" t="s">
        <v>109</v>
      </c>
      <c r="Z157" s="18" t="s">
        <v>109</v>
      </c>
      <c r="AA157" s="18" t="s">
        <v>19</v>
      </c>
      <c r="AB157" s="18" t="s">
        <v>19</v>
      </c>
      <c r="AC157" s="18" t="s">
        <v>19</v>
      </c>
      <c r="AD157" s="18" t="s">
        <v>19</v>
      </c>
      <c r="AE157" s="18" t="s">
        <v>19</v>
      </c>
      <c r="AF157" s="18" t="s">
        <v>19</v>
      </c>
      <c r="AG157" s="18" t="s">
        <v>19</v>
      </c>
      <c r="AH157" s="18" t="s">
        <v>19</v>
      </c>
      <c r="AI157" s="18" t="s">
        <v>19</v>
      </c>
      <c r="AJ157" s="18" t="s">
        <v>19</v>
      </c>
      <c r="AK157" s="18" t="s">
        <v>19</v>
      </c>
      <c r="AL157" s="18" t="s">
        <v>19</v>
      </c>
      <c r="AM157" s="18" t="s">
        <v>109</v>
      </c>
      <c r="AN157" s="18" t="s">
        <v>19</v>
      </c>
      <c r="AO157" s="18" t="s">
        <v>19</v>
      </c>
      <c r="AP157" s="18" t="s">
        <v>109</v>
      </c>
      <c r="AQ157" s="18" t="s">
        <v>109</v>
      </c>
      <c r="AR157" s="18" t="s">
        <v>109</v>
      </c>
      <c r="AS157" s="18" t="s">
        <v>109</v>
      </c>
      <c r="AT157" s="29" t="s">
        <v>19</v>
      </c>
      <c r="AU157" s="18" t="s">
        <v>109</v>
      </c>
      <c r="AV157" s="36" t="s">
        <v>109</v>
      </c>
    </row>
    <row r="158" spans="1:48" ht="70.5" hidden="1" customHeight="1" x14ac:dyDescent="0.3">
      <c r="A158" s="15" t="s">
        <v>25</v>
      </c>
      <c r="B158" s="15" t="s">
        <v>1124</v>
      </c>
      <c r="C158" s="15" t="s">
        <v>340</v>
      </c>
      <c r="D158" s="15" t="s">
        <v>19</v>
      </c>
      <c r="E158" s="18" t="s">
        <v>109</v>
      </c>
      <c r="F158" s="18" t="s">
        <v>109</v>
      </c>
      <c r="G158" s="18" t="s">
        <v>109</v>
      </c>
      <c r="H158" s="18" t="s">
        <v>109</v>
      </c>
      <c r="I158" s="72" t="s">
        <v>19</v>
      </c>
      <c r="J158" s="72" t="s">
        <v>19</v>
      </c>
      <c r="K158" s="29" t="s">
        <v>19</v>
      </c>
      <c r="L158" s="29" t="s">
        <v>19</v>
      </c>
      <c r="M158" s="15" t="s">
        <v>341</v>
      </c>
      <c r="N158" s="4" t="s">
        <v>1173</v>
      </c>
      <c r="O158" s="15"/>
      <c r="P158" s="4" t="s">
        <v>1526</v>
      </c>
      <c r="S158" s="15" t="e" cm="1">
        <f t="array" aca="1" ref="S158" ca="1">COMMONMARKETCOUNT(H158:AV158)</f>
        <v>#NAME?</v>
      </c>
      <c r="T158" s="6" t="e" cm="1">
        <f t="array" aca="1" ref="T158" ca="1">AUTOMATEDCOUNT(H158:AV158)</f>
        <v>#NAME?</v>
      </c>
      <c r="V158" s="18" t="s">
        <v>109</v>
      </c>
      <c r="W158" s="18" t="s">
        <v>109</v>
      </c>
      <c r="X158" s="18" t="s">
        <v>109</v>
      </c>
      <c r="Y158" s="18" t="s">
        <v>109</v>
      </c>
      <c r="Z158" s="18" t="s">
        <v>109</v>
      </c>
      <c r="AA158" s="72" t="s">
        <v>19</v>
      </c>
      <c r="AB158" s="72" t="s">
        <v>19</v>
      </c>
      <c r="AC158" s="72" t="s">
        <v>19</v>
      </c>
      <c r="AD158" s="72" t="s">
        <v>19</v>
      </c>
      <c r="AE158" s="18" t="s">
        <v>19</v>
      </c>
      <c r="AF158" s="18" t="s">
        <v>19</v>
      </c>
      <c r="AG158" s="18" t="s">
        <v>19</v>
      </c>
      <c r="AH158" s="18" t="s">
        <v>19</v>
      </c>
      <c r="AI158" s="18" t="s">
        <v>19</v>
      </c>
      <c r="AJ158" s="18" t="s">
        <v>19</v>
      </c>
      <c r="AK158" s="18" t="s">
        <v>19</v>
      </c>
      <c r="AL158" s="18" t="s">
        <v>19</v>
      </c>
      <c r="AM158" s="18" t="s">
        <v>109</v>
      </c>
      <c r="AN158" s="18" t="s">
        <v>19</v>
      </c>
      <c r="AO158" s="18" t="s">
        <v>19</v>
      </c>
      <c r="AP158" s="18" t="s">
        <v>109</v>
      </c>
      <c r="AQ158" s="18" t="s">
        <v>109</v>
      </c>
      <c r="AR158" s="18" t="s">
        <v>109</v>
      </c>
      <c r="AS158" s="18" t="s">
        <v>109</v>
      </c>
      <c r="AT158" s="29" t="s">
        <v>19</v>
      </c>
      <c r="AU158" s="18" t="s">
        <v>109</v>
      </c>
      <c r="AV158" s="36" t="s">
        <v>109</v>
      </c>
    </row>
    <row r="159" spans="1:48" ht="70.5" hidden="1" customHeight="1" x14ac:dyDescent="0.3">
      <c r="A159" s="15" t="s">
        <v>25</v>
      </c>
      <c r="B159" s="15" t="s">
        <v>1124</v>
      </c>
      <c r="C159" s="15" t="s">
        <v>342</v>
      </c>
      <c r="D159" s="15" t="s">
        <v>32</v>
      </c>
      <c r="E159" s="18" t="s">
        <v>109</v>
      </c>
      <c r="F159" s="18" t="s">
        <v>109</v>
      </c>
      <c r="G159" s="18" t="s">
        <v>109</v>
      </c>
      <c r="H159" s="18" t="s">
        <v>109</v>
      </c>
      <c r="I159" s="18" t="s">
        <v>19</v>
      </c>
      <c r="J159" s="18" t="s">
        <v>19</v>
      </c>
      <c r="K159" s="18" t="s">
        <v>19</v>
      </c>
      <c r="L159" s="18" t="s">
        <v>19</v>
      </c>
      <c r="M159" s="15" t="s">
        <v>343</v>
      </c>
      <c r="N159" s="4" t="s">
        <v>1174</v>
      </c>
      <c r="O159" s="15"/>
      <c r="P159" s="4" t="s">
        <v>3037</v>
      </c>
      <c r="S159" s="15" t="e" cm="1">
        <f t="array" aca="1" ref="S159" ca="1">COMMONMARKETCOUNT(H159:AV159)</f>
        <v>#NAME?</v>
      </c>
      <c r="T159" s="6" t="e" cm="1">
        <f t="array" aca="1" ref="T159" ca="1">AUTOMATEDCOUNT(H159:AV159)</f>
        <v>#NAME?</v>
      </c>
      <c r="V159" s="18" t="s">
        <v>109</v>
      </c>
      <c r="W159" s="18" t="s">
        <v>109</v>
      </c>
      <c r="X159" s="18" t="s">
        <v>109</v>
      </c>
      <c r="Y159" s="18" t="s">
        <v>109</v>
      </c>
      <c r="Z159" s="18" t="s">
        <v>109</v>
      </c>
      <c r="AA159" s="18" t="s">
        <v>19</v>
      </c>
      <c r="AB159" s="18" t="s">
        <v>19</v>
      </c>
      <c r="AC159" s="18" t="s">
        <v>19</v>
      </c>
      <c r="AD159" s="18" t="s">
        <v>19</v>
      </c>
      <c r="AE159" s="18" t="s">
        <v>19</v>
      </c>
      <c r="AF159" s="18" t="s">
        <v>19</v>
      </c>
      <c r="AG159" s="18" t="s">
        <v>19</v>
      </c>
      <c r="AH159" s="18" t="s">
        <v>19</v>
      </c>
      <c r="AI159" s="18" t="s">
        <v>19</v>
      </c>
      <c r="AJ159" s="18" t="s">
        <v>19</v>
      </c>
      <c r="AK159" s="18" t="s">
        <v>19</v>
      </c>
      <c r="AL159" s="18" t="s">
        <v>19</v>
      </c>
      <c r="AM159" s="18" t="s">
        <v>109</v>
      </c>
      <c r="AN159" s="18" t="s">
        <v>19</v>
      </c>
      <c r="AO159" s="18" t="s">
        <v>19</v>
      </c>
      <c r="AP159" s="18" t="s">
        <v>109</v>
      </c>
      <c r="AQ159" s="18" t="s">
        <v>109</v>
      </c>
      <c r="AR159" s="18" t="s">
        <v>109</v>
      </c>
      <c r="AS159" s="18" t="s">
        <v>109</v>
      </c>
      <c r="AT159" s="18" t="s">
        <v>109</v>
      </c>
      <c r="AU159" s="18" t="s">
        <v>109</v>
      </c>
      <c r="AV159" s="36" t="s">
        <v>109</v>
      </c>
    </row>
    <row r="160" spans="1:48" ht="86.25" hidden="1" customHeight="1" x14ac:dyDescent="0.3">
      <c r="A160" s="15" t="s">
        <v>25</v>
      </c>
      <c r="B160" s="15" t="s">
        <v>1124</v>
      </c>
      <c r="C160" s="15" t="s">
        <v>344</v>
      </c>
      <c r="D160" s="15" t="s">
        <v>19</v>
      </c>
      <c r="E160" s="18" t="s">
        <v>109</v>
      </c>
      <c r="F160" s="18" t="s">
        <v>109</v>
      </c>
      <c r="G160" s="18" t="s">
        <v>109</v>
      </c>
      <c r="H160" s="18" t="s">
        <v>109</v>
      </c>
      <c r="I160" s="18" t="s">
        <v>19</v>
      </c>
      <c r="J160" s="18" t="s">
        <v>19</v>
      </c>
      <c r="K160" s="29" t="s">
        <v>19</v>
      </c>
      <c r="L160" s="29" t="s">
        <v>19</v>
      </c>
      <c r="M160" s="15" t="s">
        <v>345</v>
      </c>
      <c r="N160" s="4" t="s">
        <v>1175</v>
      </c>
      <c r="O160" s="15"/>
      <c r="P160" s="4" t="s">
        <v>1527</v>
      </c>
      <c r="S160" s="15" t="e" cm="1">
        <f t="array" aca="1" ref="S160" ca="1">COMMONMARKETCOUNT(H160:AV160)</f>
        <v>#NAME?</v>
      </c>
      <c r="T160" s="6" t="e" cm="1">
        <f t="array" aca="1" ref="T160" ca="1">AUTOMATEDCOUNT(H160:AV160)</f>
        <v>#NAME?</v>
      </c>
      <c r="V160" s="18" t="s">
        <v>109</v>
      </c>
      <c r="W160" s="18" t="s">
        <v>109</v>
      </c>
      <c r="X160" s="18" t="s">
        <v>109</v>
      </c>
      <c r="Y160" s="18" t="s">
        <v>109</v>
      </c>
      <c r="Z160" s="18" t="s">
        <v>109</v>
      </c>
      <c r="AA160" s="18" t="s">
        <v>19</v>
      </c>
      <c r="AB160" s="18" t="s">
        <v>19</v>
      </c>
      <c r="AC160" s="18" t="s">
        <v>19</v>
      </c>
      <c r="AD160" s="18" t="s">
        <v>19</v>
      </c>
      <c r="AE160" s="18" t="s">
        <v>19</v>
      </c>
      <c r="AF160" s="18" t="s">
        <v>19</v>
      </c>
      <c r="AG160" s="18" t="s">
        <v>19</v>
      </c>
      <c r="AH160" s="18" t="s">
        <v>19</v>
      </c>
      <c r="AI160" s="18" t="s">
        <v>19</v>
      </c>
      <c r="AJ160" s="18" t="s">
        <v>19</v>
      </c>
      <c r="AK160" s="18" t="s">
        <v>19</v>
      </c>
      <c r="AL160" s="18" t="s">
        <v>19</v>
      </c>
      <c r="AM160" s="18" t="s">
        <v>109</v>
      </c>
      <c r="AN160" s="18" t="s">
        <v>19</v>
      </c>
      <c r="AO160" s="18" t="s">
        <v>19</v>
      </c>
      <c r="AP160" s="18" t="s">
        <v>109</v>
      </c>
      <c r="AQ160" s="18" t="s">
        <v>109</v>
      </c>
      <c r="AR160" s="18" t="s">
        <v>109</v>
      </c>
      <c r="AS160" s="18" t="s">
        <v>109</v>
      </c>
      <c r="AT160" s="29" t="s">
        <v>19</v>
      </c>
      <c r="AU160" s="18" t="s">
        <v>109</v>
      </c>
      <c r="AV160" s="36" t="s">
        <v>109</v>
      </c>
    </row>
    <row r="161" spans="1:264" ht="70.5" hidden="1" customHeight="1" x14ac:dyDescent="0.3">
      <c r="A161" s="15" t="s">
        <v>25</v>
      </c>
      <c r="B161" s="15" t="s">
        <v>37</v>
      </c>
      <c r="C161" s="15" t="s">
        <v>346</v>
      </c>
      <c r="D161" s="15" t="s">
        <v>19</v>
      </c>
      <c r="E161" s="70" t="s">
        <v>19</v>
      </c>
      <c r="F161" s="70" t="s">
        <v>19</v>
      </c>
      <c r="G161" s="70" t="s">
        <v>19</v>
      </c>
      <c r="H161" s="70" t="s">
        <v>3178</v>
      </c>
      <c r="I161" s="72" t="s">
        <v>19</v>
      </c>
      <c r="J161" s="72" t="s">
        <v>19</v>
      </c>
      <c r="K161" s="70" t="s">
        <v>19</v>
      </c>
      <c r="L161" s="70" t="s">
        <v>19</v>
      </c>
      <c r="M161" s="15" t="s">
        <v>347</v>
      </c>
      <c r="N161" s="4" t="s">
        <v>1528</v>
      </c>
      <c r="O161" s="15"/>
      <c r="P161" s="4" t="s">
        <v>3038</v>
      </c>
      <c r="S161" s="15" t="e" cm="1">
        <f t="array" aca="1" ref="S161" ca="1">COMMONMARKETCOUNT(H161:AV161)</f>
        <v>#NAME?</v>
      </c>
      <c r="T161" s="6" t="e" cm="1">
        <f t="array" aca="1" ref="T161" ca="1">AUTOMATEDCOUNT(H161:AV161)</f>
        <v>#NAME?</v>
      </c>
      <c r="V161" s="70" t="s">
        <v>19</v>
      </c>
      <c r="W161" s="70" t="s">
        <v>19</v>
      </c>
      <c r="X161" s="70" t="s">
        <v>19</v>
      </c>
      <c r="Y161" s="70" t="s">
        <v>19</v>
      </c>
      <c r="Z161" s="70" t="s">
        <v>19</v>
      </c>
      <c r="AA161" s="72" t="s">
        <v>19</v>
      </c>
      <c r="AB161" s="72" t="s">
        <v>19</v>
      </c>
      <c r="AC161" s="72" t="s">
        <v>19</v>
      </c>
      <c r="AD161" s="72" t="s">
        <v>19</v>
      </c>
      <c r="AE161" s="18" t="s">
        <v>19</v>
      </c>
      <c r="AF161" s="15" t="s">
        <v>19</v>
      </c>
      <c r="AG161" s="20" t="s">
        <v>19</v>
      </c>
      <c r="AH161" s="15" t="s">
        <v>19</v>
      </c>
      <c r="AI161" s="15" t="s">
        <v>19</v>
      </c>
      <c r="AJ161" s="15" t="s">
        <v>19</v>
      </c>
      <c r="AK161" s="15" t="s">
        <v>19</v>
      </c>
      <c r="AL161" s="15" t="s">
        <v>19</v>
      </c>
      <c r="AM161" s="18" t="s">
        <v>19</v>
      </c>
      <c r="AN161" s="18" t="s">
        <v>19</v>
      </c>
      <c r="AO161" s="18" t="s">
        <v>19</v>
      </c>
      <c r="AP161" s="15" t="s">
        <v>19</v>
      </c>
      <c r="AQ161" s="15" t="s">
        <v>19</v>
      </c>
      <c r="AR161" s="15" t="s">
        <v>19</v>
      </c>
      <c r="AS161" s="70" t="s">
        <v>19</v>
      </c>
      <c r="AT161" s="70" t="s">
        <v>19</v>
      </c>
      <c r="AU161" s="20" t="s">
        <v>3153</v>
      </c>
      <c r="AV161" s="36" t="s">
        <v>19</v>
      </c>
    </row>
    <row r="162" spans="1:264" ht="70.5" hidden="1" customHeight="1" x14ac:dyDescent="0.3">
      <c r="A162" s="15" t="s">
        <v>25</v>
      </c>
      <c r="B162" s="15" t="s">
        <v>1124</v>
      </c>
      <c r="C162" s="15" t="s">
        <v>348</v>
      </c>
      <c r="D162" s="15" t="s">
        <v>19</v>
      </c>
      <c r="E162" s="18" t="s">
        <v>109</v>
      </c>
      <c r="F162" s="18" t="s">
        <v>109</v>
      </c>
      <c r="G162" s="18" t="s">
        <v>109</v>
      </c>
      <c r="H162" s="18" t="s">
        <v>109</v>
      </c>
      <c r="I162" s="18" t="s">
        <v>19</v>
      </c>
      <c r="J162" s="18" t="s">
        <v>19</v>
      </c>
      <c r="K162" s="29" t="s">
        <v>19</v>
      </c>
      <c r="L162" s="29" t="s">
        <v>19</v>
      </c>
      <c r="M162" s="15" t="s">
        <v>349</v>
      </c>
      <c r="N162" s="4" t="s">
        <v>1176</v>
      </c>
      <c r="O162" s="15"/>
      <c r="P162" s="4" t="s">
        <v>1529</v>
      </c>
      <c r="S162" s="15" t="e" cm="1">
        <f t="array" aca="1" ref="S162" ca="1">COMMONMARKETCOUNT(H162:AV162)</f>
        <v>#NAME?</v>
      </c>
      <c r="T162" s="6" t="e" cm="1">
        <f t="array" aca="1" ref="T162" ca="1">AUTOMATEDCOUNT(H162:AV162)</f>
        <v>#NAME?</v>
      </c>
      <c r="V162" s="18" t="s">
        <v>109</v>
      </c>
      <c r="W162" s="18" t="s">
        <v>109</v>
      </c>
      <c r="X162" s="18" t="s">
        <v>109</v>
      </c>
      <c r="Y162" s="18" t="s">
        <v>109</v>
      </c>
      <c r="Z162" s="18" t="s">
        <v>109</v>
      </c>
      <c r="AA162" s="18" t="s">
        <v>19</v>
      </c>
      <c r="AB162" s="18" t="s">
        <v>19</v>
      </c>
      <c r="AC162" s="18" t="s">
        <v>19</v>
      </c>
      <c r="AD162" s="18" t="s">
        <v>19</v>
      </c>
      <c r="AE162" s="18" t="s">
        <v>19</v>
      </c>
      <c r="AF162" s="18" t="s">
        <v>19</v>
      </c>
      <c r="AG162" s="18" t="s">
        <v>19</v>
      </c>
      <c r="AH162" s="18" t="s">
        <v>19</v>
      </c>
      <c r="AI162" s="18" t="s">
        <v>19</v>
      </c>
      <c r="AJ162" s="18" t="s">
        <v>19</v>
      </c>
      <c r="AK162" s="18" t="s">
        <v>19</v>
      </c>
      <c r="AL162" s="18" t="s">
        <v>19</v>
      </c>
      <c r="AM162" s="18" t="s">
        <v>109</v>
      </c>
      <c r="AN162" s="18" t="s">
        <v>19</v>
      </c>
      <c r="AO162" s="18" t="s">
        <v>19</v>
      </c>
      <c r="AP162" s="18" t="s">
        <v>109</v>
      </c>
      <c r="AQ162" s="18" t="s">
        <v>109</v>
      </c>
      <c r="AR162" s="18" t="s">
        <v>109</v>
      </c>
      <c r="AS162" s="18" t="s">
        <v>109</v>
      </c>
      <c r="AT162" s="18" t="s">
        <v>109</v>
      </c>
      <c r="AU162" s="18" t="s">
        <v>109</v>
      </c>
      <c r="AV162" s="36" t="s">
        <v>109</v>
      </c>
    </row>
    <row r="163" spans="1:264" ht="70.5" hidden="1" customHeight="1" x14ac:dyDescent="0.3">
      <c r="A163" s="15" t="s">
        <v>25</v>
      </c>
      <c r="B163" s="15" t="s">
        <v>1124</v>
      </c>
      <c r="C163" s="15" t="s">
        <v>350</v>
      </c>
      <c r="D163" s="15" t="s">
        <v>19</v>
      </c>
      <c r="E163" s="18" t="s">
        <v>109</v>
      </c>
      <c r="F163" s="18" t="s">
        <v>109</v>
      </c>
      <c r="G163" s="18" t="s">
        <v>109</v>
      </c>
      <c r="H163" s="18" t="s">
        <v>109</v>
      </c>
      <c r="I163" s="18" t="s">
        <v>19</v>
      </c>
      <c r="J163" s="18" t="s">
        <v>19</v>
      </c>
      <c r="K163" s="29" t="s">
        <v>19</v>
      </c>
      <c r="L163" s="29" t="s">
        <v>19</v>
      </c>
      <c r="M163" s="15" t="s">
        <v>351</v>
      </c>
      <c r="N163" s="4" t="s">
        <v>1177</v>
      </c>
      <c r="O163" s="15"/>
      <c r="P163" s="4" t="s">
        <v>1530</v>
      </c>
      <c r="S163" s="15" t="e" cm="1">
        <f t="array" aca="1" ref="S163" ca="1">COMMONMARKETCOUNT(H163:AV163)</f>
        <v>#NAME?</v>
      </c>
      <c r="T163" s="6" t="e" cm="1">
        <f t="array" aca="1" ref="T163" ca="1">AUTOMATEDCOUNT(H163:AV163)</f>
        <v>#NAME?</v>
      </c>
      <c r="V163" s="18" t="s">
        <v>109</v>
      </c>
      <c r="W163" s="18" t="s">
        <v>109</v>
      </c>
      <c r="X163" s="18" t="s">
        <v>109</v>
      </c>
      <c r="Y163" s="18" t="s">
        <v>109</v>
      </c>
      <c r="Z163" s="18" t="s">
        <v>109</v>
      </c>
      <c r="AA163" s="18" t="s">
        <v>19</v>
      </c>
      <c r="AB163" s="18" t="s">
        <v>19</v>
      </c>
      <c r="AC163" s="18" t="s">
        <v>19</v>
      </c>
      <c r="AD163" s="18" t="s">
        <v>19</v>
      </c>
      <c r="AE163" s="18" t="s">
        <v>19</v>
      </c>
      <c r="AF163" s="18" t="s">
        <v>19</v>
      </c>
      <c r="AG163" s="18" t="s">
        <v>19</v>
      </c>
      <c r="AH163" s="18" t="s">
        <v>19</v>
      </c>
      <c r="AI163" s="18" t="s">
        <v>19</v>
      </c>
      <c r="AJ163" s="18" t="s">
        <v>19</v>
      </c>
      <c r="AK163" s="18" t="s">
        <v>19</v>
      </c>
      <c r="AL163" s="18" t="s">
        <v>19</v>
      </c>
      <c r="AM163" s="18" t="s">
        <v>109</v>
      </c>
      <c r="AN163" s="18" t="s">
        <v>19</v>
      </c>
      <c r="AO163" s="18" t="s">
        <v>19</v>
      </c>
      <c r="AP163" s="18" t="s">
        <v>109</v>
      </c>
      <c r="AQ163" s="18" t="s">
        <v>109</v>
      </c>
      <c r="AR163" s="18" t="s">
        <v>109</v>
      </c>
      <c r="AS163" s="18" t="s">
        <v>109</v>
      </c>
      <c r="AT163" s="18" t="s">
        <v>109</v>
      </c>
      <c r="AU163" s="18" t="s">
        <v>109</v>
      </c>
      <c r="AV163" s="36" t="s">
        <v>109</v>
      </c>
    </row>
    <row r="164" spans="1:264" ht="70.5" hidden="1" customHeight="1" x14ac:dyDescent="0.3">
      <c r="A164" s="15" t="s">
        <v>25</v>
      </c>
      <c r="B164" s="15" t="s">
        <v>1124</v>
      </c>
      <c r="C164" s="15" t="s">
        <v>352</v>
      </c>
      <c r="D164" s="15" t="s">
        <v>19</v>
      </c>
      <c r="E164" s="18" t="s">
        <v>109</v>
      </c>
      <c r="F164" s="18" t="s">
        <v>109</v>
      </c>
      <c r="G164" s="18" t="s">
        <v>109</v>
      </c>
      <c r="H164" s="18" t="s">
        <v>109</v>
      </c>
      <c r="I164" s="18" t="s">
        <v>19</v>
      </c>
      <c r="J164" s="18" t="s">
        <v>19</v>
      </c>
      <c r="K164" s="29" t="s">
        <v>19</v>
      </c>
      <c r="L164" s="29" t="s">
        <v>19</v>
      </c>
      <c r="M164" s="15" t="s">
        <v>353</v>
      </c>
      <c r="N164" s="4" t="s">
        <v>1170</v>
      </c>
      <c r="O164" s="15"/>
      <c r="P164" s="4" t="s">
        <v>3039</v>
      </c>
      <c r="S164" s="15" t="e" cm="1">
        <f t="array" aca="1" ref="S164" ca="1">COMMONMARKETCOUNT(H164:AV164)</f>
        <v>#NAME?</v>
      </c>
      <c r="T164" s="6" t="e" cm="1">
        <f t="array" aca="1" ref="T164" ca="1">AUTOMATEDCOUNT(H164:AV164)</f>
        <v>#NAME?</v>
      </c>
      <c r="V164" s="18" t="s">
        <v>109</v>
      </c>
      <c r="W164" s="18" t="s">
        <v>109</v>
      </c>
      <c r="X164" s="18" t="s">
        <v>109</v>
      </c>
      <c r="Y164" s="18" t="s">
        <v>109</v>
      </c>
      <c r="Z164" s="18" t="s">
        <v>109</v>
      </c>
      <c r="AA164" s="18" t="s">
        <v>19</v>
      </c>
      <c r="AB164" s="18" t="s">
        <v>19</v>
      </c>
      <c r="AC164" s="18" t="s">
        <v>19</v>
      </c>
      <c r="AD164" s="18" t="s">
        <v>19</v>
      </c>
      <c r="AE164" s="18" t="s">
        <v>19</v>
      </c>
      <c r="AF164" s="18" t="s">
        <v>19</v>
      </c>
      <c r="AG164" s="18" t="s">
        <v>19</v>
      </c>
      <c r="AH164" s="18" t="s">
        <v>19</v>
      </c>
      <c r="AI164" s="18" t="s">
        <v>19</v>
      </c>
      <c r="AJ164" s="18" t="s">
        <v>19</v>
      </c>
      <c r="AK164" s="18" t="s">
        <v>19</v>
      </c>
      <c r="AL164" s="18" t="s">
        <v>19</v>
      </c>
      <c r="AM164" s="18" t="s">
        <v>109</v>
      </c>
      <c r="AN164" s="18" t="s">
        <v>19</v>
      </c>
      <c r="AO164" s="18" t="s">
        <v>19</v>
      </c>
      <c r="AP164" s="18" t="s">
        <v>109</v>
      </c>
      <c r="AQ164" s="18" t="s">
        <v>109</v>
      </c>
      <c r="AR164" s="18" t="s">
        <v>109</v>
      </c>
      <c r="AS164" s="18" t="s">
        <v>109</v>
      </c>
      <c r="AT164" s="18" t="s">
        <v>109</v>
      </c>
      <c r="AU164" s="18" t="s">
        <v>109</v>
      </c>
      <c r="AV164" s="36" t="s">
        <v>109</v>
      </c>
    </row>
    <row r="165" spans="1:264" ht="70.5" hidden="1" customHeight="1" x14ac:dyDescent="0.3">
      <c r="A165" s="15" t="s">
        <v>25</v>
      </c>
      <c r="B165" s="15" t="s">
        <v>1124</v>
      </c>
      <c r="C165" s="15" t="s">
        <v>354</v>
      </c>
      <c r="D165" s="15" t="s">
        <v>19</v>
      </c>
      <c r="E165" s="18" t="s">
        <v>109</v>
      </c>
      <c r="F165" s="18" t="s">
        <v>109</v>
      </c>
      <c r="G165" s="18" t="s">
        <v>109</v>
      </c>
      <c r="H165" s="18" t="s">
        <v>109</v>
      </c>
      <c r="I165" s="72" t="s">
        <v>19</v>
      </c>
      <c r="J165" s="72" t="s">
        <v>19</v>
      </c>
      <c r="K165" s="29" t="s">
        <v>19</v>
      </c>
      <c r="L165" s="29" t="s">
        <v>19</v>
      </c>
      <c r="M165" s="15" t="s">
        <v>355</v>
      </c>
      <c r="N165" s="4" t="s">
        <v>1171</v>
      </c>
      <c r="O165" s="15"/>
      <c r="P165" s="4" t="s">
        <v>1531</v>
      </c>
      <c r="S165" s="15" t="e" cm="1">
        <f t="array" aca="1" ref="S165" ca="1">COMMONMARKETCOUNT(H165:AV165)</f>
        <v>#NAME?</v>
      </c>
      <c r="T165" s="6" t="e" cm="1">
        <f t="array" aca="1" ref="T165" ca="1">AUTOMATEDCOUNT(H165:AV165)</f>
        <v>#NAME?</v>
      </c>
      <c r="V165" s="18" t="s">
        <v>109</v>
      </c>
      <c r="W165" s="18" t="s">
        <v>109</v>
      </c>
      <c r="X165" s="18" t="s">
        <v>109</v>
      </c>
      <c r="Y165" s="18" t="s">
        <v>109</v>
      </c>
      <c r="Z165" s="18" t="s">
        <v>109</v>
      </c>
      <c r="AA165" s="72" t="s">
        <v>19</v>
      </c>
      <c r="AB165" s="72" t="s">
        <v>19</v>
      </c>
      <c r="AC165" s="72" t="s">
        <v>19</v>
      </c>
      <c r="AD165" s="72" t="s">
        <v>19</v>
      </c>
      <c r="AE165" s="18" t="s">
        <v>19</v>
      </c>
      <c r="AF165" s="18" t="s">
        <v>19</v>
      </c>
      <c r="AG165" s="18" t="s">
        <v>19</v>
      </c>
      <c r="AH165" s="18" t="s">
        <v>19</v>
      </c>
      <c r="AI165" s="18" t="s">
        <v>19</v>
      </c>
      <c r="AJ165" s="18" t="s">
        <v>19</v>
      </c>
      <c r="AK165" s="18" t="s">
        <v>19</v>
      </c>
      <c r="AL165" s="18" t="s">
        <v>19</v>
      </c>
      <c r="AM165" s="18" t="s">
        <v>109</v>
      </c>
      <c r="AN165" s="18" t="s">
        <v>19</v>
      </c>
      <c r="AO165" s="18" t="s">
        <v>19</v>
      </c>
      <c r="AP165" s="18" t="s">
        <v>109</v>
      </c>
      <c r="AQ165" s="18" t="s">
        <v>109</v>
      </c>
      <c r="AR165" s="18" t="s">
        <v>109</v>
      </c>
      <c r="AS165" s="18" t="s">
        <v>109</v>
      </c>
      <c r="AT165" s="18" t="s">
        <v>109</v>
      </c>
      <c r="AU165" s="18" t="s">
        <v>109</v>
      </c>
      <c r="AV165" s="36" t="s">
        <v>109</v>
      </c>
    </row>
    <row r="166" spans="1:264" ht="70.5" hidden="1" customHeight="1" x14ac:dyDescent="0.3">
      <c r="A166" s="15" t="s">
        <v>25</v>
      </c>
      <c r="B166" s="15" t="s">
        <v>1124</v>
      </c>
      <c r="C166" s="15" t="s">
        <v>356</v>
      </c>
      <c r="D166" s="15" t="s">
        <v>19</v>
      </c>
      <c r="E166" s="18" t="s">
        <v>109</v>
      </c>
      <c r="F166" s="18" t="s">
        <v>109</v>
      </c>
      <c r="G166" s="18" t="s">
        <v>109</v>
      </c>
      <c r="H166" s="18" t="s">
        <v>109</v>
      </c>
      <c r="I166" s="18" t="s">
        <v>19</v>
      </c>
      <c r="J166" s="18" t="s">
        <v>19</v>
      </c>
      <c r="K166" s="29" t="s">
        <v>19</v>
      </c>
      <c r="L166" s="29" t="s">
        <v>19</v>
      </c>
      <c r="M166" s="15" t="s">
        <v>357</v>
      </c>
      <c r="N166" s="4" t="s">
        <v>1173</v>
      </c>
      <c r="O166" s="15"/>
      <c r="P166" s="4" t="s">
        <v>3040</v>
      </c>
      <c r="S166" s="15" t="e" cm="1">
        <f t="array" aca="1" ref="S166" ca="1">COMMONMARKETCOUNT(H166:AV166)</f>
        <v>#NAME?</v>
      </c>
      <c r="T166" s="6" t="e" cm="1">
        <f t="array" aca="1" ref="T166" ca="1">AUTOMATEDCOUNT(H166:AV166)</f>
        <v>#NAME?</v>
      </c>
      <c r="V166" s="18" t="s">
        <v>109</v>
      </c>
      <c r="W166" s="18" t="s">
        <v>109</v>
      </c>
      <c r="X166" s="18" t="s">
        <v>109</v>
      </c>
      <c r="Y166" s="18" t="s">
        <v>109</v>
      </c>
      <c r="Z166" s="18" t="s">
        <v>109</v>
      </c>
      <c r="AA166" s="18" t="s">
        <v>19</v>
      </c>
      <c r="AB166" s="18" t="s">
        <v>19</v>
      </c>
      <c r="AC166" s="18" t="s">
        <v>19</v>
      </c>
      <c r="AD166" s="18" t="s">
        <v>19</v>
      </c>
      <c r="AE166" s="18" t="s">
        <v>19</v>
      </c>
      <c r="AF166" s="18" t="s">
        <v>19</v>
      </c>
      <c r="AG166" s="18" t="s">
        <v>19</v>
      </c>
      <c r="AH166" s="18" t="s">
        <v>19</v>
      </c>
      <c r="AI166" s="18" t="s">
        <v>19</v>
      </c>
      <c r="AJ166" s="18" t="s">
        <v>19</v>
      </c>
      <c r="AK166" s="18" t="s">
        <v>19</v>
      </c>
      <c r="AL166" s="18" t="s">
        <v>19</v>
      </c>
      <c r="AM166" s="18" t="s">
        <v>109</v>
      </c>
      <c r="AN166" s="18" t="s">
        <v>19</v>
      </c>
      <c r="AO166" s="18" t="s">
        <v>19</v>
      </c>
      <c r="AP166" s="18" t="s">
        <v>109</v>
      </c>
      <c r="AQ166" s="18" t="s">
        <v>109</v>
      </c>
      <c r="AR166" s="18" t="s">
        <v>109</v>
      </c>
      <c r="AS166" s="18" t="s">
        <v>109</v>
      </c>
      <c r="AT166" s="18" t="s">
        <v>109</v>
      </c>
      <c r="AU166" s="18" t="s">
        <v>109</v>
      </c>
      <c r="AV166" s="36" t="s">
        <v>109</v>
      </c>
    </row>
    <row r="167" spans="1:264" ht="70.5" hidden="1" customHeight="1" x14ac:dyDescent="0.3">
      <c r="A167" s="15" t="s">
        <v>56</v>
      </c>
      <c r="B167" s="15" t="s">
        <v>1124</v>
      </c>
      <c r="C167" s="15" t="s">
        <v>358</v>
      </c>
      <c r="D167" s="15" t="s">
        <v>19</v>
      </c>
      <c r="E167" s="18" t="s">
        <v>109</v>
      </c>
      <c r="F167" s="18" t="s">
        <v>109</v>
      </c>
      <c r="G167" s="18" t="s">
        <v>109</v>
      </c>
      <c r="H167" s="18" t="s">
        <v>109</v>
      </c>
      <c r="I167" s="18" t="s">
        <v>19</v>
      </c>
      <c r="J167" s="18" t="s">
        <v>19</v>
      </c>
      <c r="K167" s="29" t="s">
        <v>19</v>
      </c>
      <c r="L167" s="29" t="s">
        <v>19</v>
      </c>
      <c r="M167" s="15" t="s">
        <v>359</v>
      </c>
      <c r="N167" s="4" t="s">
        <v>1174</v>
      </c>
      <c r="O167" s="15"/>
      <c r="P167" s="4" t="s">
        <v>3041</v>
      </c>
      <c r="S167" s="15" t="e" cm="1">
        <f t="array" aca="1" ref="S167" ca="1">COMMONMARKETCOUNT(H167:AV167)</f>
        <v>#NAME?</v>
      </c>
      <c r="T167" s="6" t="e" cm="1">
        <f t="array" aca="1" ref="T167" ca="1">AUTOMATEDCOUNT(H167:AV167)</f>
        <v>#NAME?</v>
      </c>
      <c r="V167" s="18" t="s">
        <v>109</v>
      </c>
      <c r="W167" s="18" t="s">
        <v>109</v>
      </c>
      <c r="X167" s="18" t="s">
        <v>109</v>
      </c>
      <c r="Y167" s="18" t="s">
        <v>109</v>
      </c>
      <c r="Z167" s="18" t="s">
        <v>109</v>
      </c>
      <c r="AA167" s="18" t="s">
        <v>19</v>
      </c>
      <c r="AB167" s="18" t="s">
        <v>19</v>
      </c>
      <c r="AC167" s="18" t="s">
        <v>19</v>
      </c>
      <c r="AD167" s="18" t="s">
        <v>19</v>
      </c>
      <c r="AE167" s="18" t="s">
        <v>19</v>
      </c>
      <c r="AF167" s="18" t="s">
        <v>19</v>
      </c>
      <c r="AG167" s="18" t="s">
        <v>19</v>
      </c>
      <c r="AH167" s="18" t="s">
        <v>19</v>
      </c>
      <c r="AI167" s="18" t="s">
        <v>19</v>
      </c>
      <c r="AJ167" s="18" t="s">
        <v>19</v>
      </c>
      <c r="AK167" s="18" t="s">
        <v>19</v>
      </c>
      <c r="AL167" s="18" t="s">
        <v>19</v>
      </c>
      <c r="AM167" s="18" t="s">
        <v>109</v>
      </c>
      <c r="AN167" s="18" t="s">
        <v>19</v>
      </c>
      <c r="AO167" s="18" t="s">
        <v>19</v>
      </c>
      <c r="AP167" s="18" t="s">
        <v>109</v>
      </c>
      <c r="AQ167" s="18" t="s">
        <v>109</v>
      </c>
      <c r="AR167" s="18" t="s">
        <v>109</v>
      </c>
      <c r="AS167" s="18" t="s">
        <v>109</v>
      </c>
      <c r="AT167" s="18" t="s">
        <v>109</v>
      </c>
      <c r="AU167" s="18" t="s">
        <v>109</v>
      </c>
      <c r="AV167" s="36" t="s">
        <v>109</v>
      </c>
      <c r="AW167" s="5"/>
      <c r="AX167" s="5"/>
      <c r="AY167" s="5"/>
      <c r="AZ167" s="5"/>
      <c r="BA167" s="5"/>
      <c r="BB167" s="5"/>
      <c r="BC167" s="5"/>
      <c r="BD167" s="5"/>
      <c r="BE167" s="5"/>
      <c r="BF167" s="5"/>
      <c r="BG167" s="5"/>
      <c r="BH167" s="5"/>
      <c r="BI167" s="5"/>
      <c r="BJ167" s="5"/>
      <c r="BK167" s="5"/>
      <c r="BL167" s="5"/>
      <c r="BM167" s="5"/>
      <c r="BN167" s="5"/>
      <c r="BO167" s="5"/>
      <c r="BP167" s="5"/>
      <c r="BQ167" s="5"/>
      <c r="BR167" s="5"/>
      <c r="BS167" s="5"/>
      <c r="BT167" s="5"/>
      <c r="BU167" s="5"/>
      <c r="BV167" s="5"/>
      <c r="BW167" s="5"/>
      <c r="BX167" s="5"/>
      <c r="BY167" s="5"/>
      <c r="BZ167" s="5"/>
      <c r="CA167" s="5"/>
      <c r="CB167" s="5"/>
      <c r="CC167" s="5"/>
      <c r="CD167" s="5"/>
      <c r="CE167" s="5"/>
      <c r="CF167" s="5"/>
      <c r="CG167" s="5"/>
      <c r="CH167" s="5"/>
      <c r="CI167" s="5"/>
      <c r="CJ167" s="5"/>
      <c r="CK167" s="5"/>
      <c r="CL167" s="5"/>
      <c r="CM167" s="5"/>
      <c r="CN167" s="5"/>
      <c r="CO167" s="5"/>
      <c r="CP167" s="5"/>
      <c r="CQ167" s="5"/>
      <c r="CR167" s="5"/>
      <c r="CS167" s="5"/>
      <c r="CT167" s="5"/>
      <c r="CU167" s="5"/>
      <c r="CV167" s="5"/>
      <c r="CW167" s="5"/>
      <c r="CX167" s="5"/>
      <c r="CY167" s="5"/>
      <c r="CZ167" s="5"/>
      <c r="DA167" s="5"/>
      <c r="DB167" s="5"/>
      <c r="DC167" s="5"/>
      <c r="DD167" s="5"/>
      <c r="DE167" s="5"/>
      <c r="DF167" s="5"/>
      <c r="DG167" s="5"/>
      <c r="DH167" s="5"/>
      <c r="DI167" s="5"/>
      <c r="DJ167" s="5"/>
      <c r="DK167" s="5"/>
      <c r="DL167" s="5"/>
      <c r="DM167" s="5"/>
      <c r="DN167" s="5"/>
      <c r="DO167" s="5"/>
      <c r="DP167" s="5"/>
      <c r="DQ167" s="5"/>
      <c r="DR167" s="5"/>
      <c r="DS167" s="5"/>
      <c r="DT167" s="5"/>
      <c r="DU167" s="5"/>
      <c r="DV167" s="5"/>
      <c r="DW167" s="5"/>
      <c r="DX167" s="5"/>
      <c r="DY167" s="5"/>
      <c r="DZ167" s="5"/>
      <c r="EA167" s="5"/>
      <c r="EB167" s="5"/>
      <c r="EC167" s="5"/>
      <c r="ED167" s="5"/>
      <c r="EE167" s="5"/>
      <c r="EF167" s="5"/>
      <c r="EG167" s="5"/>
      <c r="EH167" s="5"/>
      <c r="EI167" s="5"/>
      <c r="EJ167" s="5"/>
      <c r="EK167" s="5"/>
      <c r="EL167" s="5"/>
      <c r="EM167" s="5"/>
      <c r="EN167" s="5"/>
      <c r="EO167" s="5"/>
      <c r="EP167" s="5"/>
      <c r="EQ167" s="5"/>
      <c r="ER167" s="5"/>
      <c r="ES167" s="5"/>
      <c r="ET167" s="5"/>
      <c r="EU167" s="5"/>
      <c r="EV167" s="5"/>
      <c r="EW167" s="5"/>
      <c r="EX167" s="5"/>
      <c r="EY167" s="5"/>
      <c r="EZ167" s="5"/>
      <c r="FA167" s="5"/>
      <c r="FB167" s="5"/>
      <c r="FC167" s="5"/>
      <c r="FD167" s="5"/>
      <c r="FE167" s="5"/>
      <c r="FF167" s="5"/>
      <c r="FG167" s="5"/>
      <c r="FH167" s="5"/>
      <c r="FI167" s="5"/>
      <c r="FJ167" s="5"/>
      <c r="FK167" s="5"/>
      <c r="FL167" s="5"/>
      <c r="FM167" s="5"/>
      <c r="FN167" s="5"/>
      <c r="FO167" s="5"/>
      <c r="FP167" s="5"/>
      <c r="FQ167" s="5"/>
      <c r="FR167" s="5"/>
      <c r="FS167" s="5"/>
      <c r="FT167" s="5"/>
      <c r="FU167" s="5"/>
      <c r="FV167" s="5"/>
      <c r="FW167" s="5"/>
      <c r="FX167" s="5"/>
      <c r="FY167" s="5"/>
      <c r="FZ167" s="5"/>
      <c r="GA167" s="5"/>
      <c r="GB167" s="5"/>
      <c r="GC167" s="5"/>
      <c r="GD167" s="5"/>
      <c r="GE167" s="5"/>
      <c r="GF167" s="5"/>
      <c r="GG167" s="5"/>
      <c r="GH167" s="5"/>
      <c r="GI167" s="5"/>
      <c r="GJ167" s="5"/>
      <c r="GK167" s="5"/>
      <c r="GL167" s="5"/>
      <c r="GM167" s="5"/>
      <c r="GN167" s="5"/>
      <c r="GO167" s="5"/>
      <c r="GP167" s="5"/>
      <c r="GQ167" s="5"/>
      <c r="GR167" s="5"/>
      <c r="GS167" s="5"/>
      <c r="GT167" s="5"/>
      <c r="GU167" s="5"/>
      <c r="GV167" s="5"/>
      <c r="GW167" s="5"/>
      <c r="GX167" s="5"/>
      <c r="GY167" s="5"/>
      <c r="GZ167" s="5"/>
      <c r="HA167" s="5"/>
      <c r="HB167" s="5"/>
      <c r="HC167" s="5"/>
      <c r="HD167" s="5"/>
      <c r="HE167" s="5"/>
      <c r="HF167" s="5"/>
      <c r="HG167" s="5"/>
      <c r="HH167" s="5"/>
      <c r="HI167" s="5"/>
      <c r="HJ167" s="5"/>
      <c r="HK167" s="5"/>
      <c r="HL167" s="5"/>
      <c r="HM167" s="5"/>
      <c r="HN167" s="5"/>
      <c r="HO167" s="5"/>
      <c r="HP167" s="5"/>
      <c r="HQ167" s="5"/>
      <c r="HR167" s="5"/>
      <c r="HS167" s="5"/>
      <c r="HT167" s="5"/>
      <c r="HU167" s="5"/>
      <c r="HV167" s="5"/>
      <c r="HW167" s="5"/>
      <c r="HX167" s="5"/>
      <c r="HY167" s="5"/>
      <c r="HZ167" s="5"/>
      <c r="IA167" s="5"/>
      <c r="IB167" s="5"/>
      <c r="IC167" s="5"/>
      <c r="ID167" s="5"/>
      <c r="IE167" s="5"/>
      <c r="IF167" s="5"/>
      <c r="IG167" s="5"/>
      <c r="IH167" s="5"/>
      <c r="II167" s="5"/>
      <c r="IJ167" s="5"/>
      <c r="IK167" s="5"/>
      <c r="IL167" s="5"/>
      <c r="IM167" s="5"/>
      <c r="IN167" s="5"/>
      <c r="IO167" s="5"/>
      <c r="IP167" s="5"/>
      <c r="IQ167" s="5"/>
      <c r="IR167" s="5"/>
      <c r="IS167" s="5"/>
      <c r="IT167" s="5"/>
      <c r="IU167" s="5"/>
      <c r="IV167" s="5"/>
      <c r="IW167" s="5"/>
      <c r="IX167" s="5"/>
      <c r="IY167" s="5"/>
      <c r="IZ167" s="5"/>
      <c r="JA167" s="5"/>
      <c r="JB167" s="5"/>
      <c r="JC167" s="5"/>
      <c r="JD167" s="5"/>
    </row>
    <row r="168" spans="1:264" ht="70.5" hidden="1" customHeight="1" x14ac:dyDescent="0.3">
      <c r="A168" s="15" t="s">
        <v>25</v>
      </c>
      <c r="B168" s="15" t="s">
        <v>1124</v>
      </c>
      <c r="C168" s="15" t="s">
        <v>928</v>
      </c>
      <c r="D168" s="15" t="s">
        <v>32</v>
      </c>
      <c r="E168" s="15" t="s">
        <v>109</v>
      </c>
      <c r="F168" s="15" t="s">
        <v>109</v>
      </c>
      <c r="G168" s="15" t="s">
        <v>109</v>
      </c>
      <c r="H168" s="15" t="s">
        <v>109</v>
      </c>
      <c r="I168" s="15" t="s">
        <v>19</v>
      </c>
      <c r="J168" s="15" t="s">
        <v>19</v>
      </c>
      <c r="K168" s="15" t="s">
        <v>19</v>
      </c>
      <c r="L168" s="15" t="s">
        <v>19</v>
      </c>
      <c r="M168" s="15" t="s">
        <v>1045</v>
      </c>
      <c r="N168" s="4" t="s">
        <v>1178</v>
      </c>
      <c r="O168" s="33" t="s">
        <v>1645</v>
      </c>
      <c r="P168" s="4" t="s">
        <v>3042</v>
      </c>
      <c r="S168" s="15" t="e" cm="1">
        <f t="array" aca="1" ref="S168" ca="1">COMMONMARKETCOUNT(H168:AV168)</f>
        <v>#NAME?</v>
      </c>
      <c r="T168" s="6" t="e" cm="1">
        <f t="array" aca="1" ref="T168" ca="1">AUTOMATEDCOUNT(H168:AV168)</f>
        <v>#NAME?</v>
      </c>
      <c r="V168" s="15" t="s">
        <v>109</v>
      </c>
      <c r="W168" s="15" t="s">
        <v>109</v>
      </c>
      <c r="X168" s="15" t="s">
        <v>109</v>
      </c>
      <c r="Y168" s="15" t="s">
        <v>109</v>
      </c>
      <c r="Z168" s="15" t="s">
        <v>109</v>
      </c>
      <c r="AA168" s="15" t="s">
        <v>19</v>
      </c>
      <c r="AB168" s="15" t="s">
        <v>19</v>
      </c>
      <c r="AC168" s="15" t="s">
        <v>19</v>
      </c>
      <c r="AD168" s="18" t="s">
        <v>19</v>
      </c>
      <c r="AE168" s="18" t="s">
        <v>19</v>
      </c>
      <c r="AF168" s="15" t="s">
        <v>19</v>
      </c>
      <c r="AG168" s="15" t="s">
        <v>19</v>
      </c>
      <c r="AH168" s="15" t="s">
        <v>19</v>
      </c>
      <c r="AI168" s="15" t="s">
        <v>19</v>
      </c>
      <c r="AJ168" s="15" t="s">
        <v>19</v>
      </c>
      <c r="AK168" s="15" t="s">
        <v>19</v>
      </c>
      <c r="AL168" s="15" t="s">
        <v>19</v>
      </c>
      <c r="AM168" s="15" t="s">
        <v>19</v>
      </c>
      <c r="AN168" s="15" t="s">
        <v>19</v>
      </c>
      <c r="AO168" s="15" t="s">
        <v>19</v>
      </c>
      <c r="AP168" s="15" t="s">
        <v>19</v>
      </c>
      <c r="AQ168" s="15" t="s">
        <v>19</v>
      </c>
      <c r="AR168" s="15" t="s">
        <v>19</v>
      </c>
      <c r="AS168" s="15" t="s">
        <v>19</v>
      </c>
      <c r="AT168" s="15" t="s">
        <v>19</v>
      </c>
      <c r="AU168" s="15" t="s">
        <v>109</v>
      </c>
      <c r="AV168" s="36" t="s">
        <v>19</v>
      </c>
    </row>
    <row r="169" spans="1:264" ht="70.5" hidden="1" customHeight="1" x14ac:dyDescent="0.3">
      <c r="A169" s="15" t="s">
        <v>25</v>
      </c>
      <c r="B169" s="15" t="s">
        <v>1124</v>
      </c>
      <c r="C169" s="15" t="s">
        <v>360</v>
      </c>
      <c r="D169" s="15" t="s">
        <v>19</v>
      </c>
      <c r="E169" s="18" t="s">
        <v>109</v>
      </c>
      <c r="F169" s="18" t="s">
        <v>109</v>
      </c>
      <c r="G169" s="18" t="s">
        <v>109</v>
      </c>
      <c r="H169" s="18" t="s">
        <v>109</v>
      </c>
      <c r="I169" s="72" t="s">
        <v>19</v>
      </c>
      <c r="J169" s="72" t="s">
        <v>19</v>
      </c>
      <c r="K169" s="29" t="s">
        <v>19</v>
      </c>
      <c r="L169" s="29" t="s">
        <v>19</v>
      </c>
      <c r="M169" s="15" t="s">
        <v>361</v>
      </c>
      <c r="N169" s="4" t="s">
        <v>1175</v>
      </c>
      <c r="O169" s="15"/>
      <c r="P169" s="4" t="s">
        <v>3043</v>
      </c>
      <c r="S169" s="15" t="e" cm="1">
        <f t="array" aca="1" ref="S169" ca="1">COMMONMARKETCOUNT(H169:AV169)</f>
        <v>#NAME?</v>
      </c>
      <c r="T169" s="6" t="e" cm="1">
        <f t="array" aca="1" ref="T169" ca="1">AUTOMATEDCOUNT(H169:AV169)</f>
        <v>#NAME?</v>
      </c>
      <c r="V169" s="18" t="s">
        <v>109</v>
      </c>
      <c r="W169" s="18" t="s">
        <v>109</v>
      </c>
      <c r="X169" s="18" t="s">
        <v>109</v>
      </c>
      <c r="Y169" s="18" t="s">
        <v>109</v>
      </c>
      <c r="Z169" s="18" t="s">
        <v>109</v>
      </c>
      <c r="AA169" s="72" t="s">
        <v>19</v>
      </c>
      <c r="AB169" s="72" t="s">
        <v>19</v>
      </c>
      <c r="AC169" s="72" t="s">
        <v>19</v>
      </c>
      <c r="AD169" s="70" t="s">
        <v>19</v>
      </c>
      <c r="AE169" s="15" t="s">
        <v>19</v>
      </c>
      <c r="AF169" s="18" t="s">
        <v>19</v>
      </c>
      <c r="AG169" s="18" t="s">
        <v>19</v>
      </c>
      <c r="AH169" s="18" t="s">
        <v>19</v>
      </c>
      <c r="AI169" s="18" t="s">
        <v>19</v>
      </c>
      <c r="AJ169" s="18" t="s">
        <v>19</v>
      </c>
      <c r="AK169" s="18" t="s">
        <v>19</v>
      </c>
      <c r="AL169" s="18" t="s">
        <v>19</v>
      </c>
      <c r="AM169" s="18" t="s">
        <v>109</v>
      </c>
      <c r="AN169" s="18" t="s">
        <v>19</v>
      </c>
      <c r="AO169" s="18" t="s">
        <v>19</v>
      </c>
      <c r="AP169" s="18" t="s">
        <v>109</v>
      </c>
      <c r="AQ169" s="18" t="s">
        <v>109</v>
      </c>
      <c r="AR169" s="18" t="s">
        <v>109</v>
      </c>
      <c r="AS169" s="18" t="s">
        <v>109</v>
      </c>
      <c r="AT169" s="18" t="s">
        <v>109</v>
      </c>
      <c r="AU169" s="18" t="s">
        <v>109</v>
      </c>
      <c r="AV169" s="36" t="s">
        <v>109</v>
      </c>
    </row>
    <row r="170" spans="1:264" ht="70.5" hidden="1" customHeight="1" x14ac:dyDescent="0.3">
      <c r="A170" s="15" t="s">
        <v>25</v>
      </c>
      <c r="B170" s="15" t="s">
        <v>1124</v>
      </c>
      <c r="C170" s="15" t="s">
        <v>362</v>
      </c>
      <c r="D170" s="15" t="s">
        <v>19</v>
      </c>
      <c r="E170" s="18" t="s">
        <v>109</v>
      </c>
      <c r="F170" s="18" t="s">
        <v>109</v>
      </c>
      <c r="G170" s="18" t="s">
        <v>109</v>
      </c>
      <c r="H170" s="18" t="s">
        <v>109</v>
      </c>
      <c r="I170" s="18" t="s">
        <v>19</v>
      </c>
      <c r="J170" s="18" t="s">
        <v>19</v>
      </c>
      <c r="K170" s="29" t="s">
        <v>19</v>
      </c>
      <c r="L170" s="29" t="s">
        <v>19</v>
      </c>
      <c r="M170" s="15" t="s">
        <v>363</v>
      </c>
      <c r="N170" s="4" t="s">
        <v>1177</v>
      </c>
      <c r="O170" s="15"/>
      <c r="P170" s="4" t="s">
        <v>3044</v>
      </c>
      <c r="S170" s="15" t="e" cm="1">
        <f t="array" aca="1" ref="S170" ca="1">COMMONMARKETCOUNT(H170:AV170)</f>
        <v>#NAME?</v>
      </c>
      <c r="T170" s="6" t="e" cm="1">
        <f t="array" aca="1" ref="T170" ca="1">AUTOMATEDCOUNT(H170:AV170)</f>
        <v>#NAME?</v>
      </c>
      <c r="V170" s="18" t="s">
        <v>109</v>
      </c>
      <c r="W170" s="18" t="s">
        <v>109</v>
      </c>
      <c r="X170" s="18" t="s">
        <v>109</v>
      </c>
      <c r="Y170" s="18" t="s">
        <v>109</v>
      </c>
      <c r="Z170" s="18" t="s">
        <v>109</v>
      </c>
      <c r="AA170" s="18" t="s">
        <v>19</v>
      </c>
      <c r="AB170" s="18" t="s">
        <v>19</v>
      </c>
      <c r="AC170" s="18" t="s">
        <v>19</v>
      </c>
      <c r="AD170" s="18" t="s">
        <v>19</v>
      </c>
      <c r="AE170" s="18" t="s">
        <v>19</v>
      </c>
      <c r="AF170" s="18" t="s">
        <v>19</v>
      </c>
      <c r="AG170" s="18" t="s">
        <v>19</v>
      </c>
      <c r="AH170" s="18" t="s">
        <v>19</v>
      </c>
      <c r="AI170" s="18" t="s">
        <v>19</v>
      </c>
      <c r="AJ170" s="18" t="s">
        <v>19</v>
      </c>
      <c r="AK170" s="18" t="s">
        <v>19</v>
      </c>
      <c r="AL170" s="18" t="s">
        <v>19</v>
      </c>
      <c r="AM170" s="18" t="s">
        <v>109</v>
      </c>
      <c r="AN170" s="18" t="s">
        <v>19</v>
      </c>
      <c r="AO170" s="18" t="s">
        <v>19</v>
      </c>
      <c r="AP170" s="18" t="s">
        <v>109</v>
      </c>
      <c r="AQ170" s="18" t="s">
        <v>109</v>
      </c>
      <c r="AR170" s="18" t="s">
        <v>109</v>
      </c>
      <c r="AS170" s="18" t="s">
        <v>109</v>
      </c>
      <c r="AT170" s="18" t="s">
        <v>109</v>
      </c>
      <c r="AU170" s="18" t="s">
        <v>109</v>
      </c>
      <c r="AV170" s="36" t="s">
        <v>109</v>
      </c>
      <c r="AW170" s="5"/>
      <c r="AX170" s="5"/>
      <c r="AY170" s="5"/>
      <c r="AZ170" s="5"/>
      <c r="BA170" s="5"/>
      <c r="BB170" s="5"/>
      <c r="BC170" s="5"/>
      <c r="BD170" s="5"/>
      <c r="BE170" s="5"/>
      <c r="BF170" s="5"/>
      <c r="BG170" s="5"/>
      <c r="BH170" s="5"/>
      <c r="BI170" s="5"/>
      <c r="BJ170" s="5"/>
      <c r="BK170" s="5"/>
      <c r="BL170" s="5"/>
      <c r="BM170" s="5"/>
      <c r="BN170" s="5"/>
      <c r="BO170" s="5"/>
      <c r="BP170" s="5"/>
      <c r="BQ170" s="5"/>
      <c r="BR170" s="5"/>
      <c r="BS170" s="5"/>
      <c r="BT170" s="5"/>
      <c r="BU170" s="5"/>
      <c r="BV170" s="5"/>
      <c r="BW170" s="5"/>
      <c r="BX170" s="5"/>
      <c r="BY170" s="5"/>
      <c r="BZ170" s="5"/>
      <c r="CA170" s="5"/>
      <c r="CB170" s="5"/>
      <c r="CC170" s="5"/>
      <c r="CD170" s="5"/>
      <c r="CE170" s="5"/>
      <c r="CF170" s="5"/>
      <c r="CG170" s="5"/>
      <c r="CH170" s="5"/>
      <c r="CI170" s="5"/>
      <c r="CJ170" s="5"/>
      <c r="CK170" s="5"/>
      <c r="CL170" s="5"/>
      <c r="CM170" s="5"/>
      <c r="CN170" s="5"/>
      <c r="CO170" s="5"/>
      <c r="CP170" s="5"/>
      <c r="CQ170" s="5"/>
      <c r="CR170" s="5"/>
      <c r="CS170" s="5"/>
      <c r="CT170" s="5"/>
      <c r="CU170" s="5"/>
      <c r="CV170" s="5"/>
      <c r="CW170" s="5"/>
      <c r="CX170" s="5"/>
      <c r="CY170" s="5"/>
      <c r="CZ170" s="5"/>
      <c r="DA170" s="5"/>
      <c r="DB170" s="5"/>
      <c r="DC170" s="5"/>
      <c r="DD170" s="5"/>
      <c r="DE170" s="5"/>
      <c r="DF170" s="5"/>
      <c r="DG170" s="5"/>
      <c r="DH170" s="5"/>
      <c r="DI170" s="5"/>
      <c r="DJ170" s="5"/>
      <c r="DK170" s="5"/>
      <c r="DL170" s="5"/>
      <c r="DM170" s="5"/>
      <c r="DN170" s="5"/>
      <c r="DO170" s="5"/>
      <c r="DP170" s="5"/>
      <c r="DQ170" s="5"/>
      <c r="DR170" s="5"/>
      <c r="DS170" s="5"/>
      <c r="DT170" s="5"/>
      <c r="DU170" s="5"/>
      <c r="DV170" s="5"/>
      <c r="DW170" s="5"/>
      <c r="DX170" s="5"/>
      <c r="DY170" s="5"/>
      <c r="DZ170" s="5"/>
      <c r="EA170" s="5"/>
      <c r="EB170" s="5"/>
      <c r="EC170" s="5"/>
      <c r="ED170" s="5"/>
      <c r="EE170" s="5"/>
      <c r="EF170" s="5"/>
      <c r="EG170" s="5"/>
      <c r="EH170" s="5"/>
      <c r="EI170" s="5"/>
      <c r="EJ170" s="5"/>
      <c r="EK170" s="5"/>
      <c r="EL170" s="5"/>
      <c r="EM170" s="5"/>
      <c r="EN170" s="5"/>
      <c r="EO170" s="5"/>
      <c r="EP170" s="5"/>
      <c r="EQ170" s="5"/>
      <c r="ER170" s="5"/>
      <c r="ES170" s="5"/>
      <c r="ET170" s="5"/>
      <c r="EU170" s="5"/>
      <c r="EV170" s="5"/>
      <c r="EW170" s="5"/>
      <c r="EX170" s="5"/>
      <c r="EY170" s="5"/>
      <c r="EZ170" s="5"/>
      <c r="FA170" s="5"/>
      <c r="FB170" s="5"/>
      <c r="FC170" s="5"/>
      <c r="FD170" s="5"/>
      <c r="FE170" s="5"/>
      <c r="FF170" s="5"/>
      <c r="FG170" s="5"/>
      <c r="FH170" s="5"/>
      <c r="FI170" s="5"/>
      <c r="FJ170" s="5"/>
      <c r="FK170" s="5"/>
      <c r="FL170" s="5"/>
      <c r="FM170" s="5"/>
      <c r="FN170" s="5"/>
      <c r="FO170" s="5"/>
      <c r="FP170" s="5"/>
      <c r="FQ170" s="5"/>
      <c r="FR170" s="5"/>
      <c r="FS170" s="5"/>
      <c r="FT170" s="5"/>
      <c r="FU170" s="5"/>
      <c r="FV170" s="5"/>
      <c r="FW170" s="5"/>
      <c r="FX170" s="5"/>
      <c r="FY170" s="5"/>
      <c r="FZ170" s="5"/>
      <c r="GA170" s="5"/>
      <c r="GB170" s="5"/>
      <c r="GC170" s="5"/>
      <c r="GD170" s="5"/>
      <c r="GE170" s="5"/>
      <c r="GF170" s="5"/>
      <c r="GG170" s="5"/>
      <c r="GH170" s="5"/>
      <c r="GI170" s="5"/>
      <c r="GJ170" s="5"/>
      <c r="GK170" s="5"/>
      <c r="GL170" s="5"/>
      <c r="GM170" s="5"/>
      <c r="GN170" s="5"/>
      <c r="GO170" s="5"/>
      <c r="GP170" s="5"/>
      <c r="GQ170" s="5"/>
      <c r="GR170" s="5"/>
      <c r="GS170" s="5"/>
      <c r="GT170" s="5"/>
      <c r="GU170" s="5"/>
      <c r="GV170" s="5"/>
      <c r="GW170" s="5"/>
      <c r="GX170" s="5"/>
      <c r="GY170" s="5"/>
      <c r="GZ170" s="5"/>
      <c r="HA170" s="5"/>
      <c r="HB170" s="5"/>
      <c r="HC170" s="5"/>
      <c r="HD170" s="5"/>
      <c r="HE170" s="5"/>
      <c r="HF170" s="5"/>
      <c r="HG170" s="5"/>
      <c r="HH170" s="5"/>
      <c r="HI170" s="5"/>
      <c r="HJ170" s="5"/>
      <c r="HK170" s="5"/>
      <c r="HL170" s="5"/>
      <c r="HM170" s="5"/>
      <c r="HN170" s="5"/>
      <c r="HO170" s="5"/>
      <c r="HP170" s="5"/>
      <c r="HQ170" s="5"/>
      <c r="HR170" s="5"/>
      <c r="HS170" s="5"/>
      <c r="HT170" s="5"/>
      <c r="HU170" s="5"/>
      <c r="HV170" s="5"/>
      <c r="HW170" s="5"/>
      <c r="HX170" s="5"/>
      <c r="HY170" s="5"/>
      <c r="HZ170" s="5"/>
      <c r="IA170" s="5"/>
      <c r="IB170" s="5"/>
      <c r="IC170" s="5"/>
      <c r="ID170" s="5"/>
      <c r="IE170" s="5"/>
      <c r="IF170" s="5"/>
      <c r="IG170" s="5"/>
      <c r="IH170" s="5"/>
      <c r="II170" s="5"/>
      <c r="IJ170" s="5"/>
      <c r="IK170" s="5"/>
      <c r="IL170" s="5"/>
      <c r="IM170" s="5"/>
      <c r="IN170" s="5"/>
      <c r="IO170" s="5"/>
      <c r="IP170" s="5"/>
      <c r="IQ170" s="5"/>
      <c r="IR170" s="5"/>
      <c r="IS170" s="5"/>
      <c r="IT170" s="5"/>
      <c r="IU170" s="5"/>
      <c r="IV170" s="5"/>
      <c r="IW170" s="5"/>
      <c r="IX170" s="5"/>
      <c r="IY170" s="5"/>
      <c r="IZ170" s="5"/>
      <c r="JA170" s="5"/>
      <c r="JB170" s="5"/>
      <c r="JC170" s="5"/>
      <c r="JD170" s="5"/>
    </row>
    <row r="171" spans="1:264" ht="70.5" hidden="1" customHeight="1" x14ac:dyDescent="0.3">
      <c r="A171" s="15" t="s">
        <v>56</v>
      </c>
      <c r="B171" s="15" t="s">
        <v>1124</v>
      </c>
      <c r="C171" s="15" t="s">
        <v>929</v>
      </c>
      <c r="D171" s="18" t="s">
        <v>32</v>
      </c>
      <c r="E171" s="15" t="s">
        <v>109</v>
      </c>
      <c r="F171" s="15" t="s">
        <v>109</v>
      </c>
      <c r="G171" s="15" t="s">
        <v>109</v>
      </c>
      <c r="H171" s="15" t="s">
        <v>109</v>
      </c>
      <c r="I171" s="15" t="s">
        <v>19</v>
      </c>
      <c r="J171" s="15" t="s">
        <v>19</v>
      </c>
      <c r="K171" s="15" t="s">
        <v>19</v>
      </c>
      <c r="L171" s="15" t="s">
        <v>19</v>
      </c>
      <c r="M171" s="15" t="s">
        <v>1666</v>
      </c>
      <c r="N171" s="4" t="s">
        <v>1665</v>
      </c>
      <c r="O171" s="15" t="s">
        <v>1663</v>
      </c>
      <c r="P171" s="4" t="s">
        <v>1806</v>
      </c>
      <c r="S171" s="15" t="e" cm="1">
        <f t="array" aca="1" ref="S171" ca="1">COMMONMARKETCOUNT(H171:AV171)</f>
        <v>#NAME?</v>
      </c>
      <c r="T171" s="6" t="e" cm="1">
        <f t="array" aca="1" ref="T171" ca="1">AUTOMATEDCOUNT(H171:AV171)</f>
        <v>#NAME?</v>
      </c>
      <c r="V171" s="15" t="s">
        <v>109</v>
      </c>
      <c r="W171" s="15" t="s">
        <v>109</v>
      </c>
      <c r="X171" s="15" t="s">
        <v>109</v>
      </c>
      <c r="Y171" s="15" t="s">
        <v>109</v>
      </c>
      <c r="Z171" s="15" t="s">
        <v>109</v>
      </c>
      <c r="AA171" s="15" t="s">
        <v>19</v>
      </c>
      <c r="AB171" s="15" t="s">
        <v>19</v>
      </c>
      <c r="AC171" s="15" t="s">
        <v>19</v>
      </c>
      <c r="AD171" s="18" t="s">
        <v>19</v>
      </c>
      <c r="AE171" s="18" t="s">
        <v>19</v>
      </c>
      <c r="AF171" s="15" t="s">
        <v>19</v>
      </c>
      <c r="AG171" s="15" t="s">
        <v>19</v>
      </c>
      <c r="AH171" s="15" t="s">
        <v>19</v>
      </c>
      <c r="AI171" s="15" t="s">
        <v>19</v>
      </c>
      <c r="AJ171" s="15" t="s">
        <v>19</v>
      </c>
      <c r="AK171" s="15" t="s">
        <v>19</v>
      </c>
      <c r="AL171" s="15" t="s">
        <v>19</v>
      </c>
      <c r="AM171" s="15" t="s">
        <v>19</v>
      </c>
      <c r="AN171" s="15" t="s">
        <v>19</v>
      </c>
      <c r="AO171" s="15" t="s">
        <v>19</v>
      </c>
      <c r="AP171" s="15" t="s">
        <v>109</v>
      </c>
      <c r="AQ171" s="15" t="s">
        <v>109</v>
      </c>
      <c r="AR171" s="15" t="s">
        <v>109</v>
      </c>
      <c r="AS171" s="15" t="s">
        <v>109</v>
      </c>
      <c r="AT171" s="15" t="s">
        <v>109</v>
      </c>
      <c r="AU171" s="15" t="s">
        <v>109</v>
      </c>
      <c r="AV171" s="36" t="s">
        <v>109</v>
      </c>
    </row>
    <row r="172" spans="1:264" ht="70.5" hidden="1" customHeight="1" x14ac:dyDescent="0.3">
      <c r="A172" s="15" t="s">
        <v>25</v>
      </c>
      <c r="B172" s="15" t="s">
        <v>1124</v>
      </c>
      <c r="C172" s="15" t="s">
        <v>1809</v>
      </c>
      <c r="D172" s="15" t="s">
        <v>32</v>
      </c>
      <c r="E172" s="15" t="s">
        <v>109</v>
      </c>
      <c r="F172" s="15" t="s">
        <v>109</v>
      </c>
      <c r="G172" s="15" t="s">
        <v>109</v>
      </c>
      <c r="H172" s="15" t="s">
        <v>109</v>
      </c>
      <c r="I172" s="15" t="s">
        <v>109</v>
      </c>
      <c r="J172" s="15" t="s">
        <v>109</v>
      </c>
      <c r="K172" s="15" t="s">
        <v>109</v>
      </c>
      <c r="L172" s="15" t="s">
        <v>109</v>
      </c>
      <c r="M172" s="15" t="s">
        <v>897</v>
      </c>
      <c r="N172" s="4" t="s">
        <v>1179</v>
      </c>
      <c r="O172" s="33" t="s">
        <v>1645</v>
      </c>
      <c r="P172" s="4" t="s">
        <v>3045</v>
      </c>
      <c r="S172" s="15" t="e" cm="1">
        <f t="array" aca="1" ref="S172" ca="1">COMMONMARKETCOUNT(H172:AV172)</f>
        <v>#NAME?</v>
      </c>
      <c r="T172" s="6" t="e" cm="1">
        <f t="array" aca="1" ref="T172" ca="1">AUTOMATEDCOUNT(H172:AV172)</f>
        <v>#NAME?</v>
      </c>
      <c r="V172" s="15" t="s">
        <v>109</v>
      </c>
      <c r="W172" s="15" t="s">
        <v>109</v>
      </c>
      <c r="X172" s="15" t="s">
        <v>109</v>
      </c>
      <c r="Y172" s="15" t="s">
        <v>109</v>
      </c>
      <c r="Z172" s="15" t="s">
        <v>109</v>
      </c>
      <c r="AA172" s="15" t="s">
        <v>109</v>
      </c>
      <c r="AB172" s="15" t="s">
        <v>109</v>
      </c>
      <c r="AC172" s="15" t="s">
        <v>109</v>
      </c>
      <c r="AD172" s="15" t="s">
        <v>19</v>
      </c>
      <c r="AE172" s="15" t="s">
        <v>19</v>
      </c>
      <c r="AF172" s="15" t="s">
        <v>109</v>
      </c>
      <c r="AG172" s="15" t="s">
        <v>109</v>
      </c>
      <c r="AH172" s="15" t="s">
        <v>109</v>
      </c>
      <c r="AI172" s="15" t="s">
        <v>109</v>
      </c>
      <c r="AJ172" s="15" t="s">
        <v>109</v>
      </c>
      <c r="AK172" s="15" t="s">
        <v>109</v>
      </c>
      <c r="AL172" s="15" t="s">
        <v>109</v>
      </c>
      <c r="AM172" s="15" t="s">
        <v>109</v>
      </c>
      <c r="AN172" s="15" t="s">
        <v>109</v>
      </c>
      <c r="AO172" s="15" t="s">
        <v>109</v>
      </c>
      <c r="AP172" s="15" t="s">
        <v>109</v>
      </c>
      <c r="AQ172" s="15" t="s">
        <v>109</v>
      </c>
      <c r="AR172" s="15" t="s">
        <v>109</v>
      </c>
      <c r="AS172" s="15" t="s">
        <v>109</v>
      </c>
      <c r="AT172" s="15" t="s">
        <v>109</v>
      </c>
      <c r="AU172" s="15" t="s">
        <v>109</v>
      </c>
      <c r="AV172" s="36" t="s">
        <v>109</v>
      </c>
    </row>
    <row r="173" spans="1:264" ht="70.5" hidden="1" customHeight="1" x14ac:dyDescent="0.3">
      <c r="A173" s="15" t="s">
        <v>25</v>
      </c>
      <c r="B173" s="15" t="s">
        <v>1125</v>
      </c>
      <c r="C173" s="15" t="s">
        <v>364</v>
      </c>
      <c r="D173" s="15" t="s">
        <v>19</v>
      </c>
      <c r="E173" s="18" t="s">
        <v>109</v>
      </c>
      <c r="F173" s="18" t="s">
        <v>109</v>
      </c>
      <c r="G173" s="18" t="s">
        <v>109</v>
      </c>
      <c r="H173" s="18" t="s">
        <v>109</v>
      </c>
      <c r="I173" s="72" t="s">
        <v>19</v>
      </c>
      <c r="J173" s="72" t="s">
        <v>19</v>
      </c>
      <c r="K173" s="72" t="s">
        <v>19</v>
      </c>
      <c r="L173" s="72" t="s">
        <v>19</v>
      </c>
      <c r="M173" s="15" t="s">
        <v>365</v>
      </c>
      <c r="N173" s="4" t="s">
        <v>1180</v>
      </c>
      <c r="O173" s="15"/>
      <c r="P173" s="4" t="s">
        <v>3046</v>
      </c>
      <c r="S173" s="15" t="e" cm="1">
        <f t="array" aca="1" ref="S173" ca="1">COMMONMARKETCOUNT(H173:AV173)</f>
        <v>#NAME?</v>
      </c>
      <c r="T173" s="6" t="e" cm="1">
        <f t="array" aca="1" ref="T173" ca="1">AUTOMATEDCOUNT(H173:AV173)</f>
        <v>#NAME?</v>
      </c>
      <c r="V173" s="18" t="s">
        <v>109</v>
      </c>
      <c r="W173" s="18" t="s">
        <v>109</v>
      </c>
      <c r="X173" s="18" t="s">
        <v>109</v>
      </c>
      <c r="Y173" s="18" t="s">
        <v>109</v>
      </c>
      <c r="Z173" s="18" t="s">
        <v>109</v>
      </c>
      <c r="AA173" s="72" t="s">
        <v>19</v>
      </c>
      <c r="AB173" s="72" t="s">
        <v>19</v>
      </c>
      <c r="AC173" s="72" t="s">
        <v>19</v>
      </c>
      <c r="AD173" s="15" t="s">
        <v>109</v>
      </c>
      <c r="AE173" s="15" t="s">
        <v>109</v>
      </c>
      <c r="AF173" s="18" t="s">
        <v>19</v>
      </c>
      <c r="AG173" s="18" t="s">
        <v>19</v>
      </c>
      <c r="AH173" s="18" t="s">
        <v>19</v>
      </c>
      <c r="AI173" s="18" t="s">
        <v>19</v>
      </c>
      <c r="AJ173" s="18" t="s">
        <v>19</v>
      </c>
      <c r="AK173" s="18" t="s">
        <v>19</v>
      </c>
      <c r="AL173" s="18" t="s">
        <v>19</v>
      </c>
      <c r="AM173" s="18" t="s">
        <v>19</v>
      </c>
      <c r="AN173" s="18" t="s">
        <v>19</v>
      </c>
      <c r="AO173" s="18" t="s">
        <v>19</v>
      </c>
      <c r="AP173" s="18" t="s">
        <v>109</v>
      </c>
      <c r="AQ173" s="18" t="s">
        <v>109</v>
      </c>
      <c r="AR173" s="18" t="s">
        <v>109</v>
      </c>
      <c r="AS173" s="18" t="s">
        <v>109</v>
      </c>
      <c r="AT173" s="18" t="s">
        <v>109</v>
      </c>
      <c r="AU173" s="18" t="s">
        <v>109</v>
      </c>
      <c r="AV173" s="36" t="s">
        <v>109</v>
      </c>
      <c r="AW173" s="5"/>
      <c r="AX173" s="5"/>
      <c r="AY173" s="5"/>
      <c r="AZ173" s="5"/>
      <c r="BA173" s="5"/>
      <c r="BB173" s="5"/>
      <c r="BC173" s="5"/>
      <c r="BD173" s="5"/>
      <c r="BE173" s="5"/>
      <c r="BF173" s="5"/>
      <c r="BG173" s="5"/>
      <c r="BH173" s="5"/>
      <c r="BI173" s="5"/>
      <c r="BJ173" s="5"/>
      <c r="BK173" s="5"/>
      <c r="BL173" s="5"/>
      <c r="BM173" s="5"/>
      <c r="BN173" s="5"/>
      <c r="BO173" s="5"/>
      <c r="BP173" s="5"/>
      <c r="BQ173" s="5"/>
      <c r="BR173" s="5"/>
      <c r="BS173" s="5"/>
      <c r="BT173" s="5"/>
      <c r="BU173" s="5"/>
      <c r="BV173" s="5"/>
      <c r="BW173" s="5"/>
      <c r="BX173" s="5"/>
      <c r="BY173" s="5"/>
      <c r="BZ173" s="5"/>
      <c r="CA173" s="5"/>
      <c r="CB173" s="5"/>
      <c r="CC173" s="5"/>
      <c r="CD173" s="5"/>
      <c r="CE173" s="5"/>
      <c r="CF173" s="5"/>
      <c r="CG173" s="5"/>
      <c r="CH173" s="5"/>
      <c r="CI173" s="5"/>
      <c r="CJ173" s="5"/>
      <c r="CK173" s="5"/>
      <c r="CL173" s="5"/>
      <c r="CM173" s="5"/>
      <c r="CN173" s="5"/>
      <c r="CO173" s="5"/>
      <c r="CP173" s="5"/>
      <c r="CQ173" s="5"/>
      <c r="CR173" s="5"/>
      <c r="CS173" s="5"/>
      <c r="CT173" s="5"/>
      <c r="CU173" s="5"/>
      <c r="CV173" s="5"/>
      <c r="CW173" s="5"/>
      <c r="CX173" s="5"/>
      <c r="CY173" s="5"/>
      <c r="CZ173" s="5"/>
      <c r="DA173" s="5"/>
      <c r="DB173" s="5"/>
      <c r="DC173" s="5"/>
      <c r="DD173" s="5"/>
      <c r="DE173" s="5"/>
      <c r="DF173" s="5"/>
      <c r="DG173" s="5"/>
      <c r="DH173" s="5"/>
      <c r="DI173" s="5"/>
      <c r="DJ173" s="5"/>
      <c r="DK173" s="5"/>
      <c r="DL173" s="5"/>
      <c r="DM173" s="5"/>
      <c r="DN173" s="5"/>
      <c r="DO173" s="5"/>
      <c r="DP173" s="5"/>
      <c r="DQ173" s="5"/>
      <c r="DR173" s="5"/>
      <c r="DS173" s="5"/>
      <c r="DT173" s="5"/>
      <c r="DU173" s="5"/>
      <c r="DV173" s="5"/>
      <c r="DW173" s="5"/>
      <c r="DX173" s="5"/>
      <c r="DY173" s="5"/>
      <c r="DZ173" s="5"/>
      <c r="EA173" s="5"/>
      <c r="EB173" s="5"/>
      <c r="EC173" s="5"/>
      <c r="ED173" s="5"/>
      <c r="EE173" s="5"/>
      <c r="EF173" s="5"/>
      <c r="EG173" s="5"/>
      <c r="EH173" s="5"/>
      <c r="EI173" s="5"/>
      <c r="EJ173" s="5"/>
      <c r="EK173" s="5"/>
      <c r="EL173" s="5"/>
      <c r="EM173" s="5"/>
      <c r="EN173" s="5"/>
      <c r="EO173" s="5"/>
      <c r="EP173" s="5"/>
      <c r="EQ173" s="5"/>
      <c r="ER173" s="5"/>
      <c r="ES173" s="5"/>
      <c r="ET173" s="5"/>
      <c r="EU173" s="5"/>
      <c r="EV173" s="5"/>
      <c r="EW173" s="5"/>
      <c r="EX173" s="5"/>
      <c r="EY173" s="5"/>
      <c r="EZ173" s="5"/>
      <c r="FA173" s="5"/>
      <c r="FB173" s="5"/>
      <c r="FC173" s="5"/>
      <c r="FD173" s="5"/>
      <c r="FE173" s="5"/>
      <c r="FF173" s="5"/>
      <c r="FG173" s="5"/>
      <c r="FH173" s="5"/>
      <c r="FI173" s="5"/>
      <c r="FJ173" s="5"/>
      <c r="FK173" s="5"/>
      <c r="FL173" s="5"/>
      <c r="FM173" s="5"/>
      <c r="FN173" s="5"/>
      <c r="FO173" s="5"/>
      <c r="FP173" s="5"/>
      <c r="FQ173" s="5"/>
      <c r="FR173" s="5"/>
      <c r="FS173" s="5"/>
      <c r="FT173" s="5"/>
      <c r="FU173" s="5"/>
      <c r="FV173" s="5"/>
      <c r="FW173" s="5"/>
      <c r="FX173" s="5"/>
      <c r="FY173" s="5"/>
      <c r="FZ173" s="5"/>
      <c r="GA173" s="5"/>
      <c r="GB173" s="5"/>
      <c r="GC173" s="5"/>
      <c r="GD173" s="5"/>
      <c r="GE173" s="5"/>
      <c r="GF173" s="5"/>
      <c r="GG173" s="5"/>
      <c r="GH173" s="5"/>
      <c r="GI173" s="5"/>
      <c r="GJ173" s="5"/>
      <c r="GK173" s="5"/>
      <c r="GL173" s="5"/>
      <c r="GM173" s="5"/>
      <c r="GN173" s="5"/>
      <c r="GO173" s="5"/>
      <c r="GP173" s="5"/>
      <c r="GQ173" s="5"/>
      <c r="GR173" s="5"/>
      <c r="GS173" s="5"/>
      <c r="GT173" s="5"/>
      <c r="GU173" s="5"/>
      <c r="GV173" s="5"/>
      <c r="GW173" s="5"/>
      <c r="GX173" s="5"/>
      <c r="GY173" s="5"/>
      <c r="GZ173" s="5"/>
      <c r="HA173" s="5"/>
      <c r="HB173" s="5"/>
      <c r="HC173" s="5"/>
      <c r="HD173" s="5"/>
      <c r="HE173" s="5"/>
      <c r="HF173" s="5"/>
      <c r="HG173" s="5"/>
      <c r="HH173" s="5"/>
      <c r="HI173" s="5"/>
      <c r="HJ173" s="5"/>
      <c r="HK173" s="5"/>
      <c r="HL173" s="5"/>
      <c r="HM173" s="5"/>
      <c r="HN173" s="5"/>
      <c r="HO173" s="5"/>
      <c r="HP173" s="5"/>
      <c r="HQ173" s="5"/>
      <c r="HR173" s="5"/>
      <c r="HS173" s="5"/>
      <c r="HT173" s="5"/>
      <c r="HU173" s="5"/>
      <c r="HV173" s="5"/>
      <c r="HW173" s="5"/>
      <c r="HX173" s="5"/>
      <c r="HY173" s="5"/>
      <c r="HZ173" s="5"/>
      <c r="IA173" s="5"/>
      <c r="IB173" s="5"/>
      <c r="IC173" s="5"/>
      <c r="ID173" s="5"/>
      <c r="IE173" s="5"/>
      <c r="IF173" s="5"/>
      <c r="IG173" s="5"/>
      <c r="IH173" s="5"/>
      <c r="II173" s="5"/>
      <c r="IJ173" s="5"/>
      <c r="IK173" s="5"/>
      <c r="IL173" s="5"/>
      <c r="IM173" s="5"/>
      <c r="IN173" s="5"/>
      <c r="IO173" s="5"/>
      <c r="IP173" s="5"/>
      <c r="IQ173" s="5"/>
      <c r="IR173" s="5"/>
      <c r="IS173" s="5"/>
      <c r="IT173" s="5"/>
      <c r="IU173" s="5"/>
      <c r="IV173" s="5"/>
      <c r="IW173" s="5"/>
      <c r="IX173" s="5"/>
      <c r="IY173" s="5"/>
      <c r="IZ173" s="5"/>
      <c r="JA173" s="5"/>
      <c r="JB173" s="5"/>
      <c r="JC173" s="5"/>
      <c r="JD173" s="5"/>
    </row>
    <row r="174" spans="1:264" ht="70.5" hidden="1" customHeight="1" x14ac:dyDescent="0.3">
      <c r="A174" s="15" t="s">
        <v>25</v>
      </c>
      <c r="B174" s="15" t="s">
        <v>1125</v>
      </c>
      <c r="C174" s="15" t="s">
        <v>366</v>
      </c>
      <c r="D174" s="15" t="s">
        <v>19</v>
      </c>
      <c r="E174" s="18" t="s">
        <v>109</v>
      </c>
      <c r="F174" s="18" t="s">
        <v>109</v>
      </c>
      <c r="G174" s="18" t="s">
        <v>109</v>
      </c>
      <c r="H174" s="18" t="s">
        <v>109</v>
      </c>
      <c r="I174" s="72" t="s">
        <v>19</v>
      </c>
      <c r="J174" s="72" t="s">
        <v>19</v>
      </c>
      <c r="K174" s="72" t="s">
        <v>19</v>
      </c>
      <c r="L174" s="72" t="s">
        <v>19</v>
      </c>
      <c r="M174" s="15" t="s">
        <v>367</v>
      </c>
      <c r="N174" s="4" t="s">
        <v>1181</v>
      </c>
      <c r="O174" s="15"/>
      <c r="P174" s="4" t="s">
        <v>3047</v>
      </c>
      <c r="S174" s="15" t="e" cm="1">
        <f t="array" aca="1" ref="S174" ca="1">COMMONMARKETCOUNT(H174:AV174)</f>
        <v>#NAME?</v>
      </c>
      <c r="T174" s="6" t="e" cm="1">
        <f t="array" aca="1" ref="T174" ca="1">AUTOMATEDCOUNT(H174:AV174)</f>
        <v>#NAME?</v>
      </c>
      <c r="V174" s="18" t="s">
        <v>109</v>
      </c>
      <c r="W174" s="18" t="s">
        <v>109</v>
      </c>
      <c r="X174" s="18" t="s">
        <v>109</v>
      </c>
      <c r="Y174" s="18" t="s">
        <v>109</v>
      </c>
      <c r="Z174" s="18" t="s">
        <v>109</v>
      </c>
      <c r="AA174" s="72" t="s">
        <v>19</v>
      </c>
      <c r="AB174" s="72" t="s">
        <v>19</v>
      </c>
      <c r="AC174" s="72" t="s">
        <v>19</v>
      </c>
      <c r="AD174" s="72" t="s">
        <v>19</v>
      </c>
      <c r="AE174" s="18" t="s">
        <v>19</v>
      </c>
      <c r="AF174" s="18" t="s">
        <v>19</v>
      </c>
      <c r="AG174" s="18" t="s">
        <v>19</v>
      </c>
      <c r="AH174" s="18" t="s">
        <v>19</v>
      </c>
      <c r="AI174" s="18" t="s">
        <v>19</v>
      </c>
      <c r="AJ174" s="18" t="s">
        <v>19</v>
      </c>
      <c r="AK174" s="18" t="s">
        <v>19</v>
      </c>
      <c r="AL174" s="18" t="s">
        <v>19</v>
      </c>
      <c r="AM174" s="18" t="s">
        <v>19</v>
      </c>
      <c r="AN174" s="18" t="s">
        <v>19</v>
      </c>
      <c r="AO174" s="18" t="s">
        <v>19</v>
      </c>
      <c r="AP174" s="18" t="s">
        <v>109</v>
      </c>
      <c r="AQ174" s="18" t="s">
        <v>109</v>
      </c>
      <c r="AR174" s="18" t="s">
        <v>109</v>
      </c>
      <c r="AS174" s="18" t="s">
        <v>109</v>
      </c>
      <c r="AT174" s="18" t="s">
        <v>109</v>
      </c>
      <c r="AU174" s="18" t="s">
        <v>109</v>
      </c>
      <c r="AV174" s="36" t="s">
        <v>109</v>
      </c>
      <c r="AW174" s="5"/>
      <c r="AX174" s="5"/>
      <c r="AY174" s="5"/>
      <c r="AZ174" s="5"/>
      <c r="BA174" s="5"/>
      <c r="BB174" s="5"/>
      <c r="BC174" s="5"/>
      <c r="BD174" s="5"/>
      <c r="BE174" s="5"/>
      <c r="BF174" s="5"/>
      <c r="BG174" s="5"/>
      <c r="BH174" s="5"/>
      <c r="BI174" s="5"/>
      <c r="BJ174" s="5"/>
      <c r="BK174" s="5"/>
      <c r="BL174" s="5"/>
      <c r="BM174" s="5"/>
      <c r="BN174" s="5"/>
      <c r="BO174" s="5"/>
      <c r="BP174" s="5"/>
      <c r="BQ174" s="5"/>
      <c r="BR174" s="5"/>
      <c r="BS174" s="5"/>
      <c r="BT174" s="5"/>
      <c r="BU174" s="5"/>
      <c r="BV174" s="5"/>
      <c r="BW174" s="5"/>
      <c r="BX174" s="5"/>
      <c r="BY174" s="5"/>
      <c r="BZ174" s="5"/>
      <c r="CA174" s="5"/>
      <c r="CB174" s="5"/>
      <c r="CC174" s="5"/>
      <c r="CD174" s="5"/>
      <c r="CE174" s="5"/>
      <c r="CF174" s="5"/>
      <c r="CG174" s="5"/>
      <c r="CH174" s="5"/>
      <c r="CI174" s="5"/>
      <c r="CJ174" s="5"/>
      <c r="CK174" s="5"/>
      <c r="CL174" s="5"/>
      <c r="CM174" s="5"/>
      <c r="CN174" s="5"/>
      <c r="CO174" s="5"/>
      <c r="CP174" s="5"/>
      <c r="CQ174" s="5"/>
      <c r="CR174" s="5"/>
      <c r="CS174" s="5"/>
      <c r="CT174" s="5"/>
      <c r="CU174" s="5"/>
      <c r="CV174" s="5"/>
      <c r="CW174" s="5"/>
      <c r="CX174" s="5"/>
      <c r="CY174" s="5"/>
      <c r="CZ174" s="5"/>
      <c r="DA174" s="5"/>
      <c r="DB174" s="5"/>
      <c r="DC174" s="5"/>
      <c r="DD174" s="5"/>
      <c r="DE174" s="5"/>
      <c r="DF174" s="5"/>
      <c r="DG174" s="5"/>
      <c r="DH174" s="5"/>
      <c r="DI174" s="5"/>
      <c r="DJ174" s="5"/>
      <c r="DK174" s="5"/>
      <c r="DL174" s="5"/>
      <c r="DM174" s="5"/>
      <c r="DN174" s="5"/>
      <c r="DO174" s="5"/>
      <c r="DP174" s="5"/>
      <c r="DQ174" s="5"/>
      <c r="DR174" s="5"/>
      <c r="DS174" s="5"/>
      <c r="DT174" s="5"/>
      <c r="DU174" s="5"/>
      <c r="DV174" s="5"/>
      <c r="DW174" s="5"/>
      <c r="DX174" s="5"/>
      <c r="DY174" s="5"/>
      <c r="DZ174" s="5"/>
      <c r="EA174" s="5"/>
      <c r="EB174" s="5"/>
      <c r="EC174" s="5"/>
      <c r="ED174" s="5"/>
      <c r="EE174" s="5"/>
      <c r="EF174" s="5"/>
      <c r="EG174" s="5"/>
      <c r="EH174" s="5"/>
      <c r="EI174" s="5"/>
      <c r="EJ174" s="5"/>
      <c r="EK174" s="5"/>
      <c r="EL174" s="5"/>
      <c r="EM174" s="5"/>
      <c r="EN174" s="5"/>
      <c r="EO174" s="5"/>
      <c r="EP174" s="5"/>
      <c r="EQ174" s="5"/>
      <c r="ER174" s="5"/>
      <c r="ES174" s="5"/>
      <c r="ET174" s="5"/>
      <c r="EU174" s="5"/>
      <c r="EV174" s="5"/>
      <c r="EW174" s="5"/>
      <c r="EX174" s="5"/>
      <c r="EY174" s="5"/>
      <c r="EZ174" s="5"/>
      <c r="FA174" s="5"/>
      <c r="FB174" s="5"/>
      <c r="FC174" s="5"/>
      <c r="FD174" s="5"/>
      <c r="FE174" s="5"/>
      <c r="FF174" s="5"/>
      <c r="FG174" s="5"/>
      <c r="FH174" s="5"/>
      <c r="FI174" s="5"/>
      <c r="FJ174" s="5"/>
      <c r="FK174" s="5"/>
      <c r="FL174" s="5"/>
      <c r="FM174" s="5"/>
      <c r="FN174" s="5"/>
      <c r="FO174" s="5"/>
      <c r="FP174" s="5"/>
      <c r="FQ174" s="5"/>
      <c r="FR174" s="5"/>
      <c r="FS174" s="5"/>
      <c r="FT174" s="5"/>
      <c r="FU174" s="5"/>
      <c r="FV174" s="5"/>
      <c r="FW174" s="5"/>
      <c r="FX174" s="5"/>
      <c r="FY174" s="5"/>
      <c r="FZ174" s="5"/>
      <c r="GA174" s="5"/>
      <c r="GB174" s="5"/>
      <c r="GC174" s="5"/>
      <c r="GD174" s="5"/>
      <c r="GE174" s="5"/>
      <c r="GF174" s="5"/>
      <c r="GG174" s="5"/>
      <c r="GH174" s="5"/>
      <c r="GI174" s="5"/>
      <c r="GJ174" s="5"/>
      <c r="GK174" s="5"/>
      <c r="GL174" s="5"/>
      <c r="GM174" s="5"/>
      <c r="GN174" s="5"/>
      <c r="GO174" s="5"/>
      <c r="GP174" s="5"/>
      <c r="GQ174" s="5"/>
      <c r="GR174" s="5"/>
      <c r="GS174" s="5"/>
      <c r="GT174" s="5"/>
      <c r="GU174" s="5"/>
      <c r="GV174" s="5"/>
      <c r="GW174" s="5"/>
      <c r="GX174" s="5"/>
      <c r="GY174" s="5"/>
      <c r="GZ174" s="5"/>
      <c r="HA174" s="5"/>
      <c r="HB174" s="5"/>
      <c r="HC174" s="5"/>
      <c r="HD174" s="5"/>
      <c r="HE174" s="5"/>
      <c r="HF174" s="5"/>
      <c r="HG174" s="5"/>
      <c r="HH174" s="5"/>
      <c r="HI174" s="5"/>
      <c r="HJ174" s="5"/>
      <c r="HK174" s="5"/>
      <c r="HL174" s="5"/>
      <c r="HM174" s="5"/>
      <c r="HN174" s="5"/>
      <c r="HO174" s="5"/>
      <c r="HP174" s="5"/>
      <c r="HQ174" s="5"/>
      <c r="HR174" s="5"/>
      <c r="HS174" s="5"/>
      <c r="HT174" s="5"/>
      <c r="HU174" s="5"/>
      <c r="HV174" s="5"/>
      <c r="HW174" s="5"/>
      <c r="HX174" s="5"/>
      <c r="HY174" s="5"/>
      <c r="HZ174" s="5"/>
      <c r="IA174" s="5"/>
      <c r="IB174" s="5"/>
      <c r="IC174" s="5"/>
      <c r="ID174" s="5"/>
      <c r="IE174" s="5"/>
      <c r="IF174" s="5"/>
      <c r="IG174" s="5"/>
      <c r="IH174" s="5"/>
      <c r="II174" s="5"/>
      <c r="IJ174" s="5"/>
      <c r="IK174" s="5"/>
      <c r="IL174" s="5"/>
      <c r="IM174" s="5"/>
      <c r="IN174" s="5"/>
      <c r="IO174" s="5"/>
      <c r="IP174" s="5"/>
      <c r="IQ174" s="5"/>
      <c r="IR174" s="5"/>
      <c r="IS174" s="5"/>
      <c r="IT174" s="5"/>
      <c r="IU174" s="5"/>
      <c r="IV174" s="5"/>
      <c r="IW174" s="5"/>
      <c r="IX174" s="5"/>
      <c r="IY174" s="5"/>
      <c r="IZ174" s="5"/>
      <c r="JA174" s="5"/>
      <c r="JB174" s="5"/>
      <c r="JC174" s="5"/>
      <c r="JD174" s="5"/>
    </row>
    <row r="175" spans="1:264" ht="70.5" hidden="1" customHeight="1" x14ac:dyDescent="0.3">
      <c r="A175" s="15" t="s">
        <v>25</v>
      </c>
      <c r="B175" s="15" t="s">
        <v>37</v>
      </c>
      <c r="C175" s="15" t="s">
        <v>925</v>
      </c>
      <c r="D175" s="15" t="s">
        <v>32</v>
      </c>
      <c r="E175" s="15" t="s">
        <v>19</v>
      </c>
      <c r="F175" s="15" t="s">
        <v>19</v>
      </c>
      <c r="G175" s="15" t="s">
        <v>19</v>
      </c>
      <c r="H175" s="15" t="s">
        <v>19</v>
      </c>
      <c r="I175" s="15" t="s">
        <v>19</v>
      </c>
      <c r="J175" s="15" t="s">
        <v>19</v>
      </c>
      <c r="K175" s="15" t="s">
        <v>109</v>
      </c>
      <c r="L175" s="15" t="s">
        <v>109</v>
      </c>
      <c r="M175" s="15" t="s">
        <v>883</v>
      </c>
      <c r="N175" s="4" t="s">
        <v>1182</v>
      </c>
      <c r="O175" s="33" t="s">
        <v>1645</v>
      </c>
      <c r="P175" s="4" t="s">
        <v>3048</v>
      </c>
      <c r="S175" s="15" t="e" cm="1">
        <f t="array" aca="1" ref="S175" ca="1">COMMONMARKETCOUNT(H175:AV175)</f>
        <v>#NAME?</v>
      </c>
      <c r="T175" s="6" t="e" cm="1">
        <f t="array" aca="1" ref="T175" ca="1">AUTOMATEDCOUNT(H175:AV175)</f>
        <v>#NAME?</v>
      </c>
      <c r="V175" s="15" t="s">
        <v>19</v>
      </c>
      <c r="W175" s="15" t="s">
        <v>19</v>
      </c>
      <c r="X175" s="15" t="s">
        <v>19</v>
      </c>
      <c r="Y175" s="15" t="s">
        <v>19</v>
      </c>
      <c r="Z175" s="15" t="s">
        <v>19</v>
      </c>
      <c r="AA175" s="15" t="s">
        <v>19</v>
      </c>
      <c r="AB175" s="15" t="s">
        <v>19</v>
      </c>
      <c r="AC175" s="15" t="s">
        <v>19</v>
      </c>
      <c r="AD175" s="18" t="s">
        <v>19</v>
      </c>
      <c r="AE175" s="18" t="s">
        <v>19</v>
      </c>
      <c r="AF175" s="15" t="s">
        <v>109</v>
      </c>
      <c r="AG175" s="15" t="s">
        <v>109</v>
      </c>
      <c r="AH175" s="15" t="s">
        <v>19</v>
      </c>
      <c r="AI175" s="15" t="s">
        <v>19</v>
      </c>
      <c r="AJ175" s="15" t="s">
        <v>19</v>
      </c>
      <c r="AK175" s="15" t="s">
        <v>19</v>
      </c>
      <c r="AL175" s="15" t="s">
        <v>19</v>
      </c>
      <c r="AM175" s="15" t="s">
        <v>19</v>
      </c>
      <c r="AN175" s="15" t="s">
        <v>19</v>
      </c>
      <c r="AO175" s="15" t="s">
        <v>19</v>
      </c>
      <c r="AP175" s="15" t="s">
        <v>19</v>
      </c>
      <c r="AQ175" s="15" t="s">
        <v>19</v>
      </c>
      <c r="AR175" s="15" t="s">
        <v>19</v>
      </c>
      <c r="AS175" s="15" t="s">
        <v>19</v>
      </c>
      <c r="AT175" s="15" t="s">
        <v>19</v>
      </c>
      <c r="AU175" s="15" t="s">
        <v>3153</v>
      </c>
      <c r="AV175" s="36" t="s">
        <v>19</v>
      </c>
    </row>
    <row r="176" spans="1:264" ht="70.5" customHeight="1" x14ac:dyDescent="0.3">
      <c r="A176" s="15" t="s">
        <v>25</v>
      </c>
      <c r="B176" s="15" t="s">
        <v>1365</v>
      </c>
      <c r="C176" s="15" t="s">
        <v>368</v>
      </c>
      <c r="D176" s="15" t="s">
        <v>19</v>
      </c>
      <c r="E176" s="20" t="s">
        <v>19</v>
      </c>
      <c r="F176" s="20" t="s">
        <v>19</v>
      </c>
      <c r="G176" s="70" t="s">
        <v>19</v>
      </c>
      <c r="H176" s="70" t="s">
        <v>19</v>
      </c>
      <c r="I176" s="72" t="s">
        <v>19</v>
      </c>
      <c r="J176" s="72" t="s">
        <v>19</v>
      </c>
      <c r="K176" s="29" t="s">
        <v>19</v>
      </c>
      <c r="L176" s="29" t="s">
        <v>19</v>
      </c>
      <c r="M176" s="15" t="s">
        <v>369</v>
      </c>
      <c r="N176" s="4" t="s">
        <v>1532</v>
      </c>
      <c r="O176" s="15"/>
      <c r="P176" s="4" t="s">
        <v>977</v>
      </c>
      <c r="S176" s="15" t="e" cm="1">
        <f t="array" aca="1" ref="S176" ca="1">COMMONMARKETCOUNT(H176:AV176)</f>
        <v>#NAME?</v>
      </c>
      <c r="T176" s="6" t="e" cm="1">
        <f t="array" aca="1" ref="T176" ca="1">AUTOMATEDCOUNT(H176:AV176)</f>
        <v>#NAME?</v>
      </c>
      <c r="V176" s="70" t="s">
        <v>19</v>
      </c>
      <c r="W176" s="70" t="s">
        <v>19</v>
      </c>
      <c r="X176" s="20" t="s">
        <v>19</v>
      </c>
      <c r="Y176" s="20" t="s">
        <v>19</v>
      </c>
      <c r="Z176" s="20" t="s">
        <v>19</v>
      </c>
      <c r="AA176" s="72" t="s">
        <v>19</v>
      </c>
      <c r="AB176" s="72" t="s">
        <v>19</v>
      </c>
      <c r="AC176" s="72" t="s">
        <v>19</v>
      </c>
      <c r="AD176" s="70" t="s">
        <v>19</v>
      </c>
      <c r="AE176" s="15" t="s">
        <v>19</v>
      </c>
      <c r="AF176" s="18" t="s">
        <v>19</v>
      </c>
      <c r="AG176" s="18" t="s">
        <v>19</v>
      </c>
      <c r="AH176" s="29" t="s">
        <v>19</v>
      </c>
      <c r="AI176" s="18" t="s">
        <v>19</v>
      </c>
      <c r="AJ176" s="18" t="s">
        <v>19</v>
      </c>
      <c r="AK176" s="29" t="s">
        <v>19</v>
      </c>
      <c r="AL176" s="29" t="s">
        <v>19</v>
      </c>
      <c r="AM176" s="18" t="s">
        <v>19</v>
      </c>
      <c r="AN176" s="18" t="s">
        <v>19</v>
      </c>
      <c r="AO176" s="18" t="s">
        <v>19</v>
      </c>
      <c r="AP176" s="18" t="s">
        <v>19</v>
      </c>
      <c r="AQ176" s="18" t="s">
        <v>19</v>
      </c>
      <c r="AR176" s="18" t="s">
        <v>19</v>
      </c>
      <c r="AS176" s="70" t="s">
        <v>19</v>
      </c>
      <c r="AT176" s="72" t="s">
        <v>19</v>
      </c>
      <c r="AU176" s="29" t="s">
        <v>3153</v>
      </c>
      <c r="AV176" s="36" t="s">
        <v>19</v>
      </c>
    </row>
    <row r="177" spans="1:264" ht="86.25" hidden="1" customHeight="1" x14ac:dyDescent="0.3">
      <c r="A177" s="15" t="s">
        <v>25</v>
      </c>
      <c r="B177" s="15" t="s">
        <v>1125</v>
      </c>
      <c r="C177" s="15" t="s">
        <v>370</v>
      </c>
      <c r="D177" s="15" t="s">
        <v>19</v>
      </c>
      <c r="E177" s="18" t="s">
        <v>109</v>
      </c>
      <c r="F177" s="18" t="s">
        <v>109</v>
      </c>
      <c r="G177" s="18" t="s">
        <v>109</v>
      </c>
      <c r="H177" s="18" t="s">
        <v>109</v>
      </c>
      <c r="I177" s="72" t="s">
        <v>19</v>
      </c>
      <c r="J177" s="72" t="s">
        <v>19</v>
      </c>
      <c r="K177" s="72" t="s">
        <v>19</v>
      </c>
      <c r="L177" s="72" t="s">
        <v>19</v>
      </c>
      <c r="M177" s="15" t="s">
        <v>371</v>
      </c>
      <c r="N177" s="4" t="s">
        <v>1183</v>
      </c>
      <c r="O177" s="15"/>
      <c r="P177" s="4" t="s">
        <v>3049</v>
      </c>
      <c r="S177" s="15" t="e" cm="1">
        <f t="array" aca="1" ref="S177" ca="1">COMMONMARKETCOUNT(H177:AV177)</f>
        <v>#NAME?</v>
      </c>
      <c r="T177" s="6" t="e" cm="1">
        <f t="array" aca="1" ref="T177" ca="1">AUTOMATEDCOUNT(H177:AV177)</f>
        <v>#NAME?</v>
      </c>
      <c r="V177" s="18" t="s">
        <v>109</v>
      </c>
      <c r="W177" s="18" t="s">
        <v>109</v>
      </c>
      <c r="X177" s="18" t="s">
        <v>109</v>
      </c>
      <c r="Y177" s="18" t="s">
        <v>109</v>
      </c>
      <c r="Z177" s="18" t="s">
        <v>109</v>
      </c>
      <c r="AA177" s="72" t="s">
        <v>19</v>
      </c>
      <c r="AB177" s="72" t="s">
        <v>19</v>
      </c>
      <c r="AC177" s="72" t="s">
        <v>19</v>
      </c>
      <c r="AD177" s="72" t="s">
        <v>19</v>
      </c>
      <c r="AE177" s="18" t="s">
        <v>19</v>
      </c>
      <c r="AF177" s="18" t="s">
        <v>19</v>
      </c>
      <c r="AG177" s="29" t="s">
        <v>19</v>
      </c>
      <c r="AH177" s="18" t="s">
        <v>19</v>
      </c>
      <c r="AI177" s="18" t="s">
        <v>19</v>
      </c>
      <c r="AJ177" s="18" t="s">
        <v>19</v>
      </c>
      <c r="AK177" s="18" t="s">
        <v>19</v>
      </c>
      <c r="AL177" s="18" t="s">
        <v>19</v>
      </c>
      <c r="AM177" s="18" t="s">
        <v>19</v>
      </c>
      <c r="AN177" s="18" t="s">
        <v>19</v>
      </c>
      <c r="AO177" s="18" t="s">
        <v>19</v>
      </c>
      <c r="AP177" s="18" t="s">
        <v>19</v>
      </c>
      <c r="AQ177" s="18" t="s">
        <v>19</v>
      </c>
      <c r="AR177" s="18" t="s">
        <v>19</v>
      </c>
      <c r="AS177" s="18" t="s">
        <v>19</v>
      </c>
      <c r="AT177" s="18" t="s">
        <v>19</v>
      </c>
      <c r="AU177" s="18" t="s">
        <v>3153</v>
      </c>
      <c r="AV177" s="36" t="s">
        <v>19</v>
      </c>
      <c r="AW177" s="5"/>
      <c r="AX177" s="5"/>
      <c r="AY177" s="5"/>
      <c r="AZ177" s="5"/>
      <c r="BA177" s="5"/>
      <c r="BB177" s="5"/>
      <c r="BC177" s="5"/>
      <c r="BD177" s="5"/>
      <c r="BE177" s="5"/>
      <c r="BF177" s="5"/>
      <c r="BG177" s="5"/>
      <c r="BH177" s="5"/>
      <c r="BI177" s="5"/>
      <c r="BJ177" s="5"/>
      <c r="BK177" s="5"/>
      <c r="BL177" s="5"/>
      <c r="BM177" s="5"/>
      <c r="BN177" s="5"/>
      <c r="BO177" s="5"/>
      <c r="BP177" s="5"/>
      <c r="BQ177" s="5"/>
      <c r="BR177" s="5"/>
      <c r="BS177" s="5"/>
      <c r="BT177" s="5"/>
      <c r="BU177" s="5"/>
      <c r="BV177" s="5"/>
      <c r="BW177" s="5"/>
      <c r="BX177" s="5"/>
      <c r="BY177" s="5"/>
      <c r="BZ177" s="5"/>
      <c r="CA177" s="5"/>
      <c r="CB177" s="5"/>
      <c r="CC177" s="5"/>
      <c r="CD177" s="5"/>
      <c r="CE177" s="5"/>
      <c r="CF177" s="5"/>
      <c r="CG177" s="5"/>
      <c r="CH177" s="5"/>
      <c r="CI177" s="5"/>
      <c r="CJ177" s="5"/>
      <c r="CK177" s="5"/>
      <c r="CL177" s="5"/>
      <c r="CM177" s="5"/>
      <c r="CN177" s="5"/>
      <c r="CO177" s="5"/>
      <c r="CP177" s="5"/>
      <c r="CQ177" s="5"/>
      <c r="CR177" s="5"/>
      <c r="CS177" s="5"/>
      <c r="CT177" s="5"/>
      <c r="CU177" s="5"/>
      <c r="CV177" s="5"/>
      <c r="CW177" s="5"/>
      <c r="CX177" s="5"/>
      <c r="CY177" s="5"/>
      <c r="CZ177" s="5"/>
      <c r="DA177" s="5"/>
      <c r="DB177" s="5"/>
      <c r="DC177" s="5"/>
      <c r="DD177" s="5"/>
      <c r="DE177" s="5"/>
      <c r="DF177" s="5"/>
      <c r="DG177" s="5"/>
      <c r="DH177" s="5"/>
      <c r="DI177" s="5"/>
      <c r="DJ177" s="5"/>
      <c r="DK177" s="5"/>
      <c r="DL177" s="5"/>
      <c r="DM177" s="5"/>
      <c r="DN177" s="5"/>
      <c r="DO177" s="5"/>
      <c r="DP177" s="5"/>
      <c r="DQ177" s="5"/>
      <c r="DR177" s="5"/>
      <c r="DS177" s="5"/>
      <c r="DT177" s="5"/>
      <c r="DU177" s="5"/>
      <c r="DV177" s="5"/>
      <c r="DW177" s="5"/>
      <c r="DX177" s="5"/>
      <c r="DY177" s="5"/>
      <c r="DZ177" s="5"/>
      <c r="EA177" s="5"/>
      <c r="EB177" s="5"/>
      <c r="EC177" s="5"/>
      <c r="ED177" s="5"/>
      <c r="EE177" s="5"/>
      <c r="EF177" s="5"/>
      <c r="EG177" s="5"/>
      <c r="EH177" s="5"/>
      <c r="EI177" s="5"/>
      <c r="EJ177" s="5"/>
      <c r="EK177" s="5"/>
      <c r="EL177" s="5"/>
      <c r="EM177" s="5"/>
      <c r="EN177" s="5"/>
      <c r="EO177" s="5"/>
      <c r="EP177" s="5"/>
      <c r="EQ177" s="5"/>
      <c r="ER177" s="5"/>
      <c r="ES177" s="5"/>
      <c r="ET177" s="5"/>
      <c r="EU177" s="5"/>
      <c r="EV177" s="5"/>
      <c r="EW177" s="5"/>
      <c r="EX177" s="5"/>
      <c r="EY177" s="5"/>
      <c r="EZ177" s="5"/>
      <c r="FA177" s="5"/>
      <c r="FB177" s="5"/>
      <c r="FC177" s="5"/>
      <c r="FD177" s="5"/>
      <c r="FE177" s="5"/>
      <c r="FF177" s="5"/>
      <c r="FG177" s="5"/>
      <c r="FH177" s="5"/>
      <c r="FI177" s="5"/>
      <c r="FJ177" s="5"/>
      <c r="FK177" s="5"/>
      <c r="FL177" s="5"/>
      <c r="FM177" s="5"/>
      <c r="FN177" s="5"/>
      <c r="FO177" s="5"/>
      <c r="FP177" s="5"/>
      <c r="FQ177" s="5"/>
      <c r="FR177" s="5"/>
      <c r="FS177" s="5"/>
      <c r="FT177" s="5"/>
      <c r="FU177" s="5"/>
      <c r="FV177" s="5"/>
      <c r="FW177" s="5"/>
      <c r="FX177" s="5"/>
      <c r="FY177" s="5"/>
      <c r="FZ177" s="5"/>
      <c r="GA177" s="5"/>
      <c r="GB177" s="5"/>
      <c r="GC177" s="5"/>
      <c r="GD177" s="5"/>
      <c r="GE177" s="5"/>
      <c r="GF177" s="5"/>
      <c r="GG177" s="5"/>
      <c r="GH177" s="5"/>
      <c r="GI177" s="5"/>
      <c r="GJ177" s="5"/>
      <c r="GK177" s="5"/>
      <c r="GL177" s="5"/>
      <c r="GM177" s="5"/>
      <c r="GN177" s="5"/>
      <c r="GO177" s="5"/>
      <c r="GP177" s="5"/>
      <c r="GQ177" s="5"/>
      <c r="GR177" s="5"/>
      <c r="GS177" s="5"/>
      <c r="GT177" s="5"/>
      <c r="GU177" s="5"/>
      <c r="GV177" s="5"/>
      <c r="GW177" s="5"/>
      <c r="GX177" s="5"/>
      <c r="GY177" s="5"/>
      <c r="GZ177" s="5"/>
      <c r="HA177" s="5"/>
      <c r="HB177" s="5"/>
      <c r="HC177" s="5"/>
      <c r="HD177" s="5"/>
      <c r="HE177" s="5"/>
      <c r="HF177" s="5"/>
      <c r="HG177" s="5"/>
      <c r="HH177" s="5"/>
      <c r="HI177" s="5"/>
      <c r="HJ177" s="5"/>
      <c r="HK177" s="5"/>
      <c r="HL177" s="5"/>
      <c r="HM177" s="5"/>
      <c r="HN177" s="5"/>
      <c r="HO177" s="5"/>
      <c r="HP177" s="5"/>
      <c r="HQ177" s="5"/>
      <c r="HR177" s="5"/>
      <c r="HS177" s="5"/>
      <c r="HT177" s="5"/>
      <c r="HU177" s="5"/>
      <c r="HV177" s="5"/>
      <c r="HW177" s="5"/>
      <c r="HX177" s="5"/>
      <c r="HY177" s="5"/>
      <c r="HZ177" s="5"/>
      <c r="IA177" s="5"/>
      <c r="IB177" s="5"/>
      <c r="IC177" s="5"/>
      <c r="ID177" s="5"/>
      <c r="IE177" s="5"/>
      <c r="IF177" s="5"/>
      <c r="IG177" s="5"/>
      <c r="IH177" s="5"/>
      <c r="II177" s="5"/>
      <c r="IJ177" s="5"/>
      <c r="IK177" s="5"/>
      <c r="IL177" s="5"/>
      <c r="IM177" s="5"/>
      <c r="IN177" s="5"/>
      <c r="IO177" s="5"/>
      <c r="IP177" s="5"/>
      <c r="IQ177" s="5"/>
      <c r="IR177" s="5"/>
      <c r="IS177" s="5"/>
      <c r="IT177" s="5"/>
      <c r="IU177" s="5"/>
      <c r="IV177" s="5"/>
      <c r="IW177" s="5"/>
      <c r="IX177" s="5"/>
      <c r="IY177" s="5"/>
      <c r="IZ177" s="5"/>
      <c r="JA177" s="5"/>
      <c r="JB177" s="5"/>
      <c r="JC177" s="5"/>
      <c r="JD177" s="5"/>
    </row>
    <row r="178" spans="1:264" ht="70.5" hidden="1" customHeight="1" x14ac:dyDescent="0.3">
      <c r="A178" s="15" t="s">
        <v>25</v>
      </c>
      <c r="B178" s="15" t="s">
        <v>1125</v>
      </c>
      <c r="C178" s="15" t="s">
        <v>372</v>
      </c>
      <c r="D178" s="15" t="s">
        <v>19</v>
      </c>
      <c r="E178" s="18" t="s">
        <v>109</v>
      </c>
      <c r="F178" s="18" t="s">
        <v>109</v>
      </c>
      <c r="G178" s="18" t="s">
        <v>109</v>
      </c>
      <c r="H178" s="18" t="s">
        <v>109</v>
      </c>
      <c r="I178" s="72" t="s">
        <v>19</v>
      </c>
      <c r="J178" s="72" t="s">
        <v>19</v>
      </c>
      <c r="K178" s="72" t="s">
        <v>19</v>
      </c>
      <c r="L178" s="72" t="s">
        <v>19</v>
      </c>
      <c r="M178" s="15" t="s">
        <v>373</v>
      </c>
      <c r="N178" s="4" t="s">
        <v>1184</v>
      </c>
      <c r="O178" s="15"/>
      <c r="P178" s="4" t="s">
        <v>3050</v>
      </c>
      <c r="S178" s="15" t="e" cm="1">
        <f t="array" aca="1" ref="S178" ca="1">COMMONMARKETCOUNT(H178:AV178)</f>
        <v>#NAME?</v>
      </c>
      <c r="T178" s="6" t="e" cm="1">
        <f t="array" aca="1" ref="T178" ca="1">AUTOMATEDCOUNT(H178:AV178)</f>
        <v>#NAME?</v>
      </c>
      <c r="V178" s="18" t="s">
        <v>109</v>
      </c>
      <c r="W178" s="18" t="s">
        <v>109</v>
      </c>
      <c r="X178" s="18" t="s">
        <v>109</v>
      </c>
      <c r="Y178" s="18" t="s">
        <v>109</v>
      </c>
      <c r="Z178" s="18" t="s">
        <v>109</v>
      </c>
      <c r="AA178" s="72" t="s">
        <v>19</v>
      </c>
      <c r="AB178" s="72" t="s">
        <v>19</v>
      </c>
      <c r="AC178" s="72" t="s">
        <v>19</v>
      </c>
      <c r="AD178" s="72" t="s">
        <v>19</v>
      </c>
      <c r="AE178" s="18" t="s">
        <v>19</v>
      </c>
      <c r="AF178" s="18" t="s">
        <v>19</v>
      </c>
      <c r="AG178" s="18" t="s">
        <v>19</v>
      </c>
      <c r="AH178" s="18" t="s">
        <v>19</v>
      </c>
      <c r="AI178" s="18" t="s">
        <v>19</v>
      </c>
      <c r="AJ178" s="18" t="s">
        <v>19</v>
      </c>
      <c r="AK178" s="18" t="s">
        <v>19</v>
      </c>
      <c r="AL178" s="18" t="s">
        <v>19</v>
      </c>
      <c r="AM178" s="18" t="s">
        <v>19</v>
      </c>
      <c r="AN178" s="18" t="s">
        <v>19</v>
      </c>
      <c r="AO178" s="18" t="s">
        <v>19</v>
      </c>
      <c r="AP178" s="18" t="s">
        <v>19</v>
      </c>
      <c r="AQ178" s="18" t="s">
        <v>19</v>
      </c>
      <c r="AR178" s="18" t="s">
        <v>19</v>
      </c>
      <c r="AS178" s="18" t="s">
        <v>19</v>
      </c>
      <c r="AT178" s="18" t="s">
        <v>19</v>
      </c>
      <c r="AU178" s="18" t="s">
        <v>3153</v>
      </c>
      <c r="AV178" s="36" t="s">
        <v>19</v>
      </c>
    </row>
    <row r="179" spans="1:264" ht="70.5" hidden="1" customHeight="1" x14ac:dyDescent="0.3">
      <c r="A179" s="15" t="s">
        <v>25</v>
      </c>
      <c r="B179" s="15" t="s">
        <v>1125</v>
      </c>
      <c r="C179" s="15" t="s">
        <v>374</v>
      </c>
      <c r="D179" s="15" t="s">
        <v>19</v>
      </c>
      <c r="E179" s="18" t="s">
        <v>109</v>
      </c>
      <c r="F179" s="18" t="s">
        <v>109</v>
      </c>
      <c r="G179" s="18" t="s">
        <v>109</v>
      </c>
      <c r="H179" s="18" t="s">
        <v>109</v>
      </c>
      <c r="I179" s="18" t="s">
        <v>19</v>
      </c>
      <c r="J179" s="18" t="s">
        <v>19</v>
      </c>
      <c r="K179" s="29" t="s">
        <v>19</v>
      </c>
      <c r="L179" s="29" t="s">
        <v>19</v>
      </c>
      <c r="M179" s="15" t="s">
        <v>375</v>
      </c>
      <c r="N179" s="4" t="s">
        <v>1185</v>
      </c>
      <c r="O179" s="15"/>
      <c r="P179" s="4" t="s">
        <v>3051</v>
      </c>
      <c r="S179" s="15" t="e" cm="1">
        <f t="array" aca="1" ref="S179" ca="1">COMMONMARKETCOUNT(H179:AV179)</f>
        <v>#NAME?</v>
      </c>
      <c r="T179" s="6" t="e" cm="1">
        <f t="array" aca="1" ref="T179" ca="1">AUTOMATEDCOUNT(H179:AV179)</f>
        <v>#NAME?</v>
      </c>
      <c r="V179" s="18" t="s">
        <v>109</v>
      </c>
      <c r="W179" s="18" t="s">
        <v>109</v>
      </c>
      <c r="X179" s="18" t="s">
        <v>109</v>
      </c>
      <c r="Y179" s="18" t="s">
        <v>109</v>
      </c>
      <c r="Z179" s="18" t="s">
        <v>109</v>
      </c>
      <c r="AA179" s="18" t="s">
        <v>19</v>
      </c>
      <c r="AB179" s="18" t="s">
        <v>19</v>
      </c>
      <c r="AC179" s="18" t="s">
        <v>19</v>
      </c>
      <c r="AD179" s="18" t="s">
        <v>19</v>
      </c>
      <c r="AE179" s="18" t="s">
        <v>19</v>
      </c>
      <c r="AF179" s="18" t="s">
        <v>19</v>
      </c>
      <c r="AG179" s="18" t="s">
        <v>19</v>
      </c>
      <c r="AH179" s="18" t="s">
        <v>19</v>
      </c>
      <c r="AI179" s="18" t="s">
        <v>19</v>
      </c>
      <c r="AJ179" s="18" t="s">
        <v>19</v>
      </c>
      <c r="AK179" s="18" t="s">
        <v>19</v>
      </c>
      <c r="AL179" s="18" t="s">
        <v>19</v>
      </c>
      <c r="AM179" s="18" t="s">
        <v>19</v>
      </c>
      <c r="AN179" s="18" t="s">
        <v>19</v>
      </c>
      <c r="AO179" s="18" t="s">
        <v>19</v>
      </c>
      <c r="AP179" s="18" t="s">
        <v>109</v>
      </c>
      <c r="AQ179" s="18" t="s">
        <v>109</v>
      </c>
      <c r="AR179" s="18" t="s">
        <v>109</v>
      </c>
      <c r="AS179" s="18" t="s">
        <v>109</v>
      </c>
      <c r="AT179" s="18" t="s">
        <v>109</v>
      </c>
      <c r="AU179" s="18" t="s">
        <v>109</v>
      </c>
      <c r="AV179" s="36" t="s">
        <v>109</v>
      </c>
    </row>
    <row r="180" spans="1:264" ht="70.5" hidden="1" customHeight="1" x14ac:dyDescent="0.3">
      <c r="A180" s="15" t="s">
        <v>25</v>
      </c>
      <c r="B180" s="15" t="s">
        <v>1125</v>
      </c>
      <c r="C180" s="15" t="s">
        <v>376</v>
      </c>
      <c r="D180" s="15" t="s">
        <v>19</v>
      </c>
      <c r="E180" s="18" t="s">
        <v>109</v>
      </c>
      <c r="F180" s="18" t="s">
        <v>109</v>
      </c>
      <c r="G180" s="18" t="s">
        <v>109</v>
      </c>
      <c r="H180" s="18" t="s">
        <v>109</v>
      </c>
      <c r="I180" s="18" t="s">
        <v>19</v>
      </c>
      <c r="J180" s="18" t="s">
        <v>19</v>
      </c>
      <c r="K180" s="29" t="s">
        <v>19</v>
      </c>
      <c r="L180" s="29" t="s">
        <v>19</v>
      </c>
      <c r="M180" s="15" t="s">
        <v>1725</v>
      </c>
      <c r="N180" s="4" t="s">
        <v>1186</v>
      </c>
      <c r="O180" s="15"/>
      <c r="P180" s="4" t="s">
        <v>3052</v>
      </c>
      <c r="S180" s="15" t="e" cm="1">
        <f t="array" aca="1" ref="S180" ca="1">COMMONMARKETCOUNT(H180:AV180)</f>
        <v>#NAME?</v>
      </c>
      <c r="T180" s="6" t="e" cm="1">
        <f t="array" aca="1" ref="T180" ca="1">AUTOMATEDCOUNT(H180:AV180)</f>
        <v>#NAME?</v>
      </c>
      <c r="V180" s="18" t="s">
        <v>109</v>
      </c>
      <c r="W180" s="18" t="s">
        <v>109</v>
      </c>
      <c r="X180" s="18" t="s">
        <v>109</v>
      </c>
      <c r="Y180" s="18" t="s">
        <v>109</v>
      </c>
      <c r="Z180" s="18" t="s">
        <v>109</v>
      </c>
      <c r="AA180" s="18" t="s">
        <v>19</v>
      </c>
      <c r="AB180" s="18" t="s">
        <v>19</v>
      </c>
      <c r="AC180" s="18" t="s">
        <v>19</v>
      </c>
      <c r="AD180" s="18" t="s">
        <v>19</v>
      </c>
      <c r="AE180" s="18" t="s">
        <v>19</v>
      </c>
      <c r="AF180" s="18" t="s">
        <v>19</v>
      </c>
      <c r="AG180" s="18" t="s">
        <v>19</v>
      </c>
      <c r="AH180" s="18" t="s">
        <v>19</v>
      </c>
      <c r="AI180" s="18" t="s">
        <v>19</v>
      </c>
      <c r="AJ180" s="18" t="s">
        <v>19</v>
      </c>
      <c r="AK180" s="18" t="s">
        <v>19</v>
      </c>
      <c r="AL180" s="18" t="s">
        <v>19</v>
      </c>
      <c r="AM180" s="18" t="s">
        <v>19</v>
      </c>
      <c r="AN180" s="18" t="s">
        <v>19</v>
      </c>
      <c r="AO180" s="18" t="s">
        <v>19</v>
      </c>
      <c r="AP180" s="18" t="s">
        <v>109</v>
      </c>
      <c r="AQ180" s="18" t="s">
        <v>109</v>
      </c>
      <c r="AR180" s="18" t="s">
        <v>109</v>
      </c>
      <c r="AS180" s="18" t="s">
        <v>109</v>
      </c>
      <c r="AT180" s="18" t="s">
        <v>109</v>
      </c>
      <c r="AU180" s="18" t="s">
        <v>109</v>
      </c>
      <c r="AV180" s="36" t="s">
        <v>109</v>
      </c>
    </row>
    <row r="181" spans="1:264" s="37" customFormat="1" ht="70.5" hidden="1" customHeight="1" x14ac:dyDescent="0.3">
      <c r="A181" s="15" t="s">
        <v>25</v>
      </c>
      <c r="B181" s="15" t="s">
        <v>1125</v>
      </c>
      <c r="C181" s="15" t="s">
        <v>377</v>
      </c>
      <c r="D181" s="15" t="s">
        <v>19</v>
      </c>
      <c r="E181" s="18" t="s">
        <v>109</v>
      </c>
      <c r="F181" s="18" t="s">
        <v>109</v>
      </c>
      <c r="G181" s="18" t="s">
        <v>109</v>
      </c>
      <c r="H181" s="18" t="s">
        <v>109</v>
      </c>
      <c r="I181" s="72" t="s">
        <v>19</v>
      </c>
      <c r="J181" s="72" t="s">
        <v>19</v>
      </c>
      <c r="K181" s="72" t="s">
        <v>19</v>
      </c>
      <c r="L181" s="72" t="s">
        <v>19</v>
      </c>
      <c r="M181" s="15" t="s">
        <v>378</v>
      </c>
      <c r="N181" s="4" t="s">
        <v>1187</v>
      </c>
      <c r="O181" s="15"/>
      <c r="P181" s="4" t="s">
        <v>3053</v>
      </c>
      <c r="S181" s="15" t="e" cm="1">
        <f t="array" aca="1" ref="S181" ca="1">COMMONMARKETCOUNT(H181:AV181)</f>
        <v>#NAME?</v>
      </c>
      <c r="T181" s="6" t="e" cm="1">
        <f t="array" aca="1" ref="T181" ca="1">AUTOMATEDCOUNT(H181:AV181)</f>
        <v>#NAME?</v>
      </c>
      <c r="V181" s="18" t="s">
        <v>109</v>
      </c>
      <c r="W181" s="18" t="s">
        <v>109</v>
      </c>
      <c r="X181" s="18" t="s">
        <v>109</v>
      </c>
      <c r="Y181" s="18" t="s">
        <v>109</v>
      </c>
      <c r="Z181" s="18" t="s">
        <v>109</v>
      </c>
      <c r="AA181" s="72" t="s">
        <v>19</v>
      </c>
      <c r="AB181" s="72" t="s">
        <v>19</v>
      </c>
      <c r="AC181" s="72" t="s">
        <v>19</v>
      </c>
      <c r="AD181" s="72" t="s">
        <v>19</v>
      </c>
      <c r="AE181" s="18" t="s">
        <v>19</v>
      </c>
      <c r="AF181" s="18" t="s">
        <v>19</v>
      </c>
      <c r="AG181" s="18" t="s">
        <v>19</v>
      </c>
      <c r="AH181" s="18" t="s">
        <v>19</v>
      </c>
      <c r="AI181" s="18" t="s">
        <v>19</v>
      </c>
      <c r="AJ181" s="18" t="s">
        <v>19</v>
      </c>
      <c r="AK181" s="18" t="s">
        <v>19</v>
      </c>
      <c r="AL181" s="18" t="s">
        <v>19</v>
      </c>
      <c r="AM181" s="18" t="s">
        <v>19</v>
      </c>
      <c r="AN181" s="18" t="s">
        <v>19</v>
      </c>
      <c r="AO181" s="18" t="s">
        <v>19</v>
      </c>
      <c r="AP181" s="18" t="s">
        <v>19</v>
      </c>
      <c r="AQ181" s="18" t="s">
        <v>19</v>
      </c>
      <c r="AR181" s="18" t="s">
        <v>19</v>
      </c>
      <c r="AS181" s="18" t="s">
        <v>19</v>
      </c>
      <c r="AT181" s="18" t="s">
        <v>19</v>
      </c>
      <c r="AU181" s="18" t="s">
        <v>3153</v>
      </c>
      <c r="AV181" s="36" t="s">
        <v>19</v>
      </c>
      <c r="AW181" s="16"/>
      <c r="AX181" s="16"/>
      <c r="AY181" s="16"/>
      <c r="AZ181" s="16"/>
      <c r="BA181" s="16"/>
      <c r="BB181" s="16"/>
      <c r="BC181" s="16"/>
      <c r="BD181" s="16"/>
      <c r="BE181" s="16"/>
      <c r="BF181" s="16"/>
      <c r="BG181" s="16"/>
      <c r="BH181" s="16"/>
      <c r="BI181" s="16"/>
      <c r="BJ181" s="16"/>
      <c r="BK181" s="16"/>
      <c r="BL181" s="16"/>
      <c r="BM181" s="16"/>
      <c r="BN181" s="16"/>
      <c r="BO181" s="16"/>
      <c r="BP181" s="16"/>
      <c r="BQ181" s="16"/>
      <c r="BR181" s="16"/>
      <c r="BS181" s="16"/>
      <c r="BT181" s="16"/>
      <c r="BU181" s="16"/>
      <c r="BV181" s="16"/>
      <c r="BW181" s="16"/>
      <c r="BX181" s="16"/>
      <c r="BY181" s="16"/>
      <c r="BZ181" s="16"/>
      <c r="CA181" s="16"/>
      <c r="CB181" s="16"/>
      <c r="CC181" s="16"/>
      <c r="CD181" s="16"/>
      <c r="CE181" s="16"/>
      <c r="CF181" s="16"/>
      <c r="CG181" s="16"/>
      <c r="CH181" s="16"/>
      <c r="CI181" s="16"/>
      <c r="CJ181" s="16"/>
      <c r="CK181" s="16"/>
      <c r="CL181" s="16"/>
      <c r="CM181" s="16"/>
      <c r="CN181" s="16"/>
      <c r="CO181" s="16"/>
      <c r="CP181" s="16"/>
      <c r="CQ181" s="16"/>
      <c r="CR181" s="16"/>
      <c r="CS181" s="16"/>
      <c r="CT181" s="16"/>
      <c r="CU181" s="16"/>
      <c r="CV181" s="16"/>
      <c r="CW181" s="16"/>
      <c r="CX181" s="16"/>
      <c r="CY181" s="16"/>
      <c r="CZ181" s="16"/>
      <c r="DA181" s="16"/>
      <c r="DB181" s="16"/>
      <c r="DC181" s="16"/>
      <c r="DD181" s="16"/>
      <c r="DE181" s="16"/>
      <c r="DF181" s="16"/>
      <c r="DG181" s="16"/>
      <c r="DH181" s="16"/>
      <c r="DI181" s="16"/>
      <c r="DJ181" s="16"/>
      <c r="DK181" s="16"/>
      <c r="DL181" s="16"/>
      <c r="DM181" s="16"/>
      <c r="DN181" s="16"/>
      <c r="DO181" s="16"/>
      <c r="DP181" s="16"/>
      <c r="DQ181" s="16"/>
      <c r="DR181" s="16"/>
      <c r="DS181" s="16"/>
      <c r="DT181" s="16"/>
      <c r="DU181" s="16"/>
      <c r="DV181" s="16"/>
      <c r="DW181" s="16"/>
      <c r="DX181" s="16"/>
      <c r="DY181" s="16"/>
      <c r="DZ181" s="16"/>
      <c r="EA181" s="16"/>
      <c r="EB181" s="16"/>
      <c r="EC181" s="16"/>
      <c r="ED181" s="16"/>
      <c r="EE181" s="16"/>
      <c r="EF181" s="16"/>
      <c r="EG181" s="16"/>
      <c r="EH181" s="16"/>
      <c r="EI181" s="16"/>
      <c r="EJ181" s="16"/>
      <c r="EK181" s="16"/>
      <c r="EL181" s="16"/>
      <c r="EM181" s="16"/>
      <c r="EN181" s="16"/>
      <c r="EO181" s="16"/>
      <c r="EP181" s="16"/>
      <c r="EQ181" s="16"/>
      <c r="ER181" s="16"/>
      <c r="ES181" s="16"/>
      <c r="ET181" s="16"/>
      <c r="EU181" s="16"/>
      <c r="EV181" s="16"/>
      <c r="EW181" s="16"/>
      <c r="EX181" s="16"/>
      <c r="EY181" s="16"/>
      <c r="EZ181" s="16"/>
      <c r="FA181" s="16"/>
      <c r="FB181" s="16"/>
      <c r="FC181" s="16"/>
      <c r="FD181" s="16"/>
      <c r="FE181" s="16"/>
      <c r="FF181" s="16"/>
      <c r="FG181" s="16"/>
      <c r="FH181" s="16"/>
      <c r="FI181" s="16"/>
      <c r="FJ181" s="16"/>
      <c r="FK181" s="16"/>
      <c r="FL181" s="16"/>
      <c r="FM181" s="16"/>
      <c r="FN181" s="16"/>
      <c r="FO181" s="16"/>
      <c r="FP181" s="16"/>
      <c r="FQ181" s="16"/>
      <c r="FR181" s="16"/>
      <c r="FS181" s="16"/>
      <c r="FT181" s="16"/>
      <c r="FU181" s="16"/>
      <c r="FV181" s="16"/>
      <c r="FW181" s="16"/>
      <c r="FX181" s="16"/>
      <c r="FY181" s="16"/>
      <c r="FZ181" s="16"/>
      <c r="GA181" s="16"/>
      <c r="GB181" s="16"/>
      <c r="GC181" s="16"/>
      <c r="GD181" s="16"/>
      <c r="GE181" s="16"/>
      <c r="GF181" s="16"/>
      <c r="GG181" s="16"/>
      <c r="GH181" s="16"/>
      <c r="GI181" s="16"/>
      <c r="GJ181" s="16"/>
      <c r="GK181" s="16"/>
      <c r="GL181" s="16"/>
      <c r="GM181" s="16"/>
      <c r="GN181" s="16"/>
      <c r="GO181" s="16"/>
      <c r="GP181" s="16"/>
      <c r="GQ181" s="16"/>
      <c r="GR181" s="16"/>
      <c r="GS181" s="16"/>
      <c r="GT181" s="16"/>
      <c r="GU181" s="16"/>
      <c r="GV181" s="16"/>
      <c r="GW181" s="16"/>
      <c r="GX181" s="16"/>
      <c r="GY181" s="16"/>
      <c r="GZ181" s="16"/>
      <c r="HA181" s="16"/>
      <c r="HB181" s="16"/>
      <c r="HC181" s="16"/>
      <c r="HD181" s="16"/>
      <c r="HE181" s="16"/>
      <c r="HF181" s="16"/>
      <c r="HG181" s="16"/>
      <c r="HH181" s="16"/>
      <c r="HI181" s="16"/>
      <c r="HJ181" s="16"/>
      <c r="HK181" s="16"/>
      <c r="HL181" s="16"/>
      <c r="HM181" s="16"/>
      <c r="HN181" s="16"/>
      <c r="HO181" s="16"/>
      <c r="HP181" s="16"/>
      <c r="HQ181" s="16"/>
      <c r="HR181" s="16"/>
      <c r="HS181" s="16"/>
      <c r="HT181" s="16"/>
      <c r="HU181" s="16"/>
      <c r="HV181" s="16"/>
      <c r="HW181" s="16"/>
      <c r="HX181" s="16"/>
      <c r="HY181" s="16"/>
      <c r="HZ181" s="16"/>
      <c r="IA181" s="16"/>
      <c r="IB181" s="16"/>
      <c r="IC181" s="16"/>
      <c r="ID181" s="16"/>
      <c r="IE181" s="16"/>
      <c r="IF181" s="16"/>
      <c r="IG181" s="16"/>
      <c r="IH181" s="16"/>
      <c r="II181" s="16"/>
      <c r="IJ181" s="16"/>
      <c r="IK181" s="16"/>
      <c r="IL181" s="16"/>
      <c r="IM181" s="16"/>
      <c r="IN181" s="16"/>
      <c r="IO181" s="16"/>
      <c r="IP181" s="16"/>
      <c r="IQ181" s="16"/>
      <c r="IR181" s="16"/>
      <c r="IS181" s="16"/>
      <c r="IT181" s="16"/>
      <c r="IU181" s="16"/>
      <c r="IV181" s="16"/>
      <c r="IW181" s="16"/>
      <c r="IX181" s="16"/>
      <c r="IY181" s="16"/>
      <c r="IZ181" s="16"/>
      <c r="JA181" s="16"/>
      <c r="JB181" s="16"/>
      <c r="JC181" s="16"/>
      <c r="JD181" s="16"/>
    </row>
    <row r="182" spans="1:264" ht="70.5" hidden="1" customHeight="1" x14ac:dyDescent="0.3">
      <c r="A182" s="15" t="s">
        <v>25</v>
      </c>
      <c r="B182" s="15" t="s">
        <v>1125</v>
      </c>
      <c r="C182" s="15" t="s">
        <v>379</v>
      </c>
      <c r="D182" s="15" t="s">
        <v>19</v>
      </c>
      <c r="E182" s="18" t="s">
        <v>109</v>
      </c>
      <c r="F182" s="18" t="s">
        <v>109</v>
      </c>
      <c r="G182" s="18" t="s">
        <v>109</v>
      </c>
      <c r="H182" s="18" t="s">
        <v>109</v>
      </c>
      <c r="I182" s="72" t="s">
        <v>19</v>
      </c>
      <c r="J182" s="72" t="s">
        <v>19</v>
      </c>
      <c r="K182" s="72" t="s">
        <v>19</v>
      </c>
      <c r="L182" s="72" t="s">
        <v>19</v>
      </c>
      <c r="M182" s="15" t="s">
        <v>380</v>
      </c>
      <c r="N182" s="4" t="s">
        <v>1188</v>
      </c>
      <c r="O182" s="15"/>
      <c r="P182" s="4" t="s">
        <v>3054</v>
      </c>
      <c r="S182" s="15" t="e" cm="1">
        <f t="array" aca="1" ref="S182" ca="1">COMMONMARKETCOUNT(H182:AV182)</f>
        <v>#NAME?</v>
      </c>
      <c r="T182" s="6" t="e" cm="1">
        <f t="array" aca="1" ref="T182" ca="1">AUTOMATEDCOUNT(H182:AV182)</f>
        <v>#NAME?</v>
      </c>
      <c r="V182" s="18" t="s">
        <v>109</v>
      </c>
      <c r="W182" s="18" t="s">
        <v>109</v>
      </c>
      <c r="X182" s="18" t="s">
        <v>109</v>
      </c>
      <c r="Y182" s="18" t="s">
        <v>109</v>
      </c>
      <c r="Z182" s="18" t="s">
        <v>109</v>
      </c>
      <c r="AA182" s="72" t="s">
        <v>19</v>
      </c>
      <c r="AB182" s="72" t="s">
        <v>19</v>
      </c>
      <c r="AC182" s="72" t="s">
        <v>19</v>
      </c>
      <c r="AD182" s="72" t="s">
        <v>19</v>
      </c>
      <c r="AE182" s="18" t="s">
        <v>19</v>
      </c>
      <c r="AF182" s="18" t="s">
        <v>19</v>
      </c>
      <c r="AG182" s="18" t="s">
        <v>19</v>
      </c>
      <c r="AH182" s="18" t="s">
        <v>19</v>
      </c>
      <c r="AI182" s="18" t="s">
        <v>19</v>
      </c>
      <c r="AJ182" s="18" t="s">
        <v>19</v>
      </c>
      <c r="AK182" s="18" t="s">
        <v>19</v>
      </c>
      <c r="AL182" s="18" t="s">
        <v>19</v>
      </c>
      <c r="AM182" s="18" t="s">
        <v>19</v>
      </c>
      <c r="AN182" s="18" t="s">
        <v>19</v>
      </c>
      <c r="AO182" s="18" t="s">
        <v>19</v>
      </c>
      <c r="AP182" s="18" t="s">
        <v>19</v>
      </c>
      <c r="AQ182" s="18" t="s">
        <v>19</v>
      </c>
      <c r="AR182" s="18" t="s">
        <v>19</v>
      </c>
      <c r="AS182" s="18" t="s">
        <v>19</v>
      </c>
      <c r="AT182" s="18" t="s">
        <v>19</v>
      </c>
      <c r="AU182" s="18" t="s">
        <v>3153</v>
      </c>
      <c r="AV182" s="36" t="s">
        <v>19</v>
      </c>
    </row>
    <row r="183" spans="1:264" ht="70.5" hidden="1" customHeight="1" x14ac:dyDescent="0.3">
      <c r="A183" s="15" t="s">
        <v>25</v>
      </c>
      <c r="B183" s="15" t="s">
        <v>1125</v>
      </c>
      <c r="C183" s="15" t="s">
        <v>381</v>
      </c>
      <c r="D183" s="15" t="s">
        <v>32</v>
      </c>
      <c r="E183" s="18" t="s">
        <v>109</v>
      </c>
      <c r="F183" s="18" t="s">
        <v>109</v>
      </c>
      <c r="G183" s="18" t="s">
        <v>109</v>
      </c>
      <c r="H183" s="18" t="s">
        <v>109</v>
      </c>
      <c r="I183" s="18" t="s">
        <v>19</v>
      </c>
      <c r="J183" s="18" t="s">
        <v>19</v>
      </c>
      <c r="K183" s="18" t="s">
        <v>19</v>
      </c>
      <c r="L183" s="18" t="s">
        <v>19</v>
      </c>
      <c r="M183" s="15" t="s">
        <v>382</v>
      </c>
      <c r="N183" s="4" t="s">
        <v>1189</v>
      </c>
      <c r="O183" s="15"/>
      <c r="P183" s="4" t="s">
        <v>3055</v>
      </c>
      <c r="S183" s="15" t="e" cm="1">
        <f t="array" aca="1" ref="S183" ca="1">COMMONMARKETCOUNT(H183:AV183)</f>
        <v>#NAME?</v>
      </c>
      <c r="T183" s="6" t="e" cm="1">
        <f t="array" aca="1" ref="T183" ca="1">AUTOMATEDCOUNT(H183:AV183)</f>
        <v>#NAME?</v>
      </c>
      <c r="V183" s="18" t="s">
        <v>109</v>
      </c>
      <c r="W183" s="18" t="s">
        <v>109</v>
      </c>
      <c r="X183" s="18" t="s">
        <v>109</v>
      </c>
      <c r="Y183" s="18" t="s">
        <v>109</v>
      </c>
      <c r="Z183" s="18" t="s">
        <v>109</v>
      </c>
      <c r="AA183" s="18" t="s">
        <v>19</v>
      </c>
      <c r="AB183" s="18" t="s">
        <v>19</v>
      </c>
      <c r="AC183" s="18" t="s">
        <v>19</v>
      </c>
      <c r="AD183" s="18" t="s">
        <v>19</v>
      </c>
      <c r="AE183" s="18" t="s">
        <v>19</v>
      </c>
      <c r="AF183" s="18" t="s">
        <v>19</v>
      </c>
      <c r="AG183" s="18" t="s">
        <v>19</v>
      </c>
      <c r="AH183" s="18" t="s">
        <v>19</v>
      </c>
      <c r="AI183" s="18" t="s">
        <v>19</v>
      </c>
      <c r="AJ183" s="18" t="s">
        <v>19</v>
      </c>
      <c r="AK183" s="18" t="s">
        <v>19</v>
      </c>
      <c r="AL183" s="18" t="s">
        <v>19</v>
      </c>
      <c r="AM183" s="18" t="s">
        <v>19</v>
      </c>
      <c r="AN183" s="18" t="s">
        <v>19</v>
      </c>
      <c r="AO183" s="18" t="s">
        <v>19</v>
      </c>
      <c r="AP183" s="18" t="s">
        <v>109</v>
      </c>
      <c r="AQ183" s="18" t="s">
        <v>109</v>
      </c>
      <c r="AR183" s="18" t="s">
        <v>109</v>
      </c>
      <c r="AS183" s="18" t="s">
        <v>109</v>
      </c>
      <c r="AT183" s="18" t="s">
        <v>109</v>
      </c>
      <c r="AU183" s="18" t="s">
        <v>109</v>
      </c>
      <c r="AV183" s="36" t="s">
        <v>109</v>
      </c>
    </row>
    <row r="184" spans="1:264" ht="87.75" hidden="1" customHeight="1" x14ac:dyDescent="0.3">
      <c r="A184" s="15" t="s">
        <v>25</v>
      </c>
      <c r="B184" s="15" t="s">
        <v>1125</v>
      </c>
      <c r="C184" s="15" t="s">
        <v>383</v>
      </c>
      <c r="D184" s="15" t="s">
        <v>32</v>
      </c>
      <c r="E184" s="18" t="s">
        <v>109</v>
      </c>
      <c r="F184" s="18" t="s">
        <v>109</v>
      </c>
      <c r="G184" s="18" t="s">
        <v>109</v>
      </c>
      <c r="H184" s="18" t="s">
        <v>109</v>
      </c>
      <c r="I184" s="18" t="s">
        <v>19</v>
      </c>
      <c r="J184" s="18" t="s">
        <v>19</v>
      </c>
      <c r="K184" s="18" t="s">
        <v>19</v>
      </c>
      <c r="L184" s="18" t="s">
        <v>19</v>
      </c>
      <c r="M184" s="15" t="s">
        <v>384</v>
      </c>
      <c r="N184" s="4" t="s">
        <v>1190</v>
      </c>
      <c r="O184" s="15"/>
      <c r="P184" s="4" t="s">
        <v>3056</v>
      </c>
      <c r="S184" s="15" t="e" cm="1">
        <f t="array" aca="1" ref="S184" ca="1">COMMONMARKETCOUNT(H184:AV184)</f>
        <v>#NAME?</v>
      </c>
      <c r="T184" s="6" t="e" cm="1">
        <f t="array" aca="1" ref="T184" ca="1">AUTOMATEDCOUNT(H184:AV184)</f>
        <v>#NAME?</v>
      </c>
      <c r="V184" s="18" t="s">
        <v>109</v>
      </c>
      <c r="W184" s="18" t="s">
        <v>109</v>
      </c>
      <c r="X184" s="18" t="s">
        <v>109</v>
      </c>
      <c r="Y184" s="18" t="s">
        <v>109</v>
      </c>
      <c r="Z184" s="18" t="s">
        <v>109</v>
      </c>
      <c r="AA184" s="18" t="s">
        <v>19</v>
      </c>
      <c r="AB184" s="18" t="s">
        <v>19</v>
      </c>
      <c r="AC184" s="18" t="s">
        <v>19</v>
      </c>
      <c r="AD184" s="18" t="s">
        <v>19</v>
      </c>
      <c r="AE184" s="18" t="s">
        <v>19</v>
      </c>
      <c r="AF184" s="18" t="s">
        <v>19</v>
      </c>
      <c r="AG184" s="18" t="s">
        <v>19</v>
      </c>
      <c r="AH184" s="18" t="s">
        <v>19</v>
      </c>
      <c r="AI184" s="18" t="s">
        <v>19</v>
      </c>
      <c r="AJ184" s="18" t="s">
        <v>19</v>
      </c>
      <c r="AK184" s="18" t="s">
        <v>19</v>
      </c>
      <c r="AL184" s="18" t="s">
        <v>19</v>
      </c>
      <c r="AM184" s="18" t="s">
        <v>19</v>
      </c>
      <c r="AN184" s="18" t="s">
        <v>19</v>
      </c>
      <c r="AO184" s="18" t="s">
        <v>19</v>
      </c>
      <c r="AP184" s="18" t="s">
        <v>109</v>
      </c>
      <c r="AQ184" s="18" t="s">
        <v>109</v>
      </c>
      <c r="AR184" s="18" t="s">
        <v>109</v>
      </c>
      <c r="AS184" s="18" t="s">
        <v>109</v>
      </c>
      <c r="AT184" s="18" t="s">
        <v>109</v>
      </c>
      <c r="AU184" s="18" t="s">
        <v>109</v>
      </c>
      <c r="AV184" s="36" t="s">
        <v>109</v>
      </c>
    </row>
    <row r="185" spans="1:264" s="37" customFormat="1" ht="70.5" hidden="1" customHeight="1" x14ac:dyDescent="0.3">
      <c r="A185" s="15" t="s">
        <v>25</v>
      </c>
      <c r="B185" s="15" t="s">
        <v>1126</v>
      </c>
      <c r="C185" s="15" t="s">
        <v>385</v>
      </c>
      <c r="D185" s="15" t="s">
        <v>32</v>
      </c>
      <c r="E185" s="18" t="s">
        <v>109</v>
      </c>
      <c r="F185" s="18" t="s">
        <v>109</v>
      </c>
      <c r="G185" s="18" t="s">
        <v>109</v>
      </c>
      <c r="H185" s="18" t="s">
        <v>109</v>
      </c>
      <c r="I185" s="18" t="s">
        <v>19</v>
      </c>
      <c r="J185" s="18" t="s">
        <v>19</v>
      </c>
      <c r="K185" s="18" t="s">
        <v>19</v>
      </c>
      <c r="L185" s="18" t="s">
        <v>19</v>
      </c>
      <c r="M185" s="15" t="s">
        <v>386</v>
      </c>
      <c r="N185" s="4" t="s">
        <v>1191</v>
      </c>
      <c r="O185" s="15"/>
      <c r="P185" s="4" t="s">
        <v>1533</v>
      </c>
      <c r="S185" s="15" t="e" cm="1">
        <f t="array" aca="1" ref="S185" ca="1">COMMONMARKETCOUNT(H185:AV185)</f>
        <v>#NAME?</v>
      </c>
      <c r="T185" s="6" t="e" cm="1">
        <f t="array" aca="1" ref="T185" ca="1">AUTOMATEDCOUNT(H185:AV185)</f>
        <v>#NAME?</v>
      </c>
      <c r="V185" s="18" t="s">
        <v>109</v>
      </c>
      <c r="W185" s="18" t="s">
        <v>109</v>
      </c>
      <c r="X185" s="18" t="s">
        <v>109</v>
      </c>
      <c r="Y185" s="18" t="s">
        <v>109</v>
      </c>
      <c r="Z185" s="18" t="s">
        <v>109</v>
      </c>
      <c r="AA185" s="18" t="s">
        <v>19</v>
      </c>
      <c r="AB185" s="18" t="s">
        <v>19</v>
      </c>
      <c r="AC185" s="18" t="s">
        <v>19</v>
      </c>
      <c r="AD185" s="18" t="s">
        <v>19</v>
      </c>
      <c r="AE185" s="18" t="s">
        <v>19</v>
      </c>
      <c r="AF185" s="18" t="s">
        <v>19</v>
      </c>
      <c r="AG185" s="18" t="s">
        <v>109</v>
      </c>
      <c r="AH185" s="18" t="s">
        <v>109</v>
      </c>
      <c r="AI185" s="18" t="s">
        <v>109</v>
      </c>
      <c r="AJ185" s="18" t="s">
        <v>109</v>
      </c>
      <c r="AK185" s="18" t="s">
        <v>109</v>
      </c>
      <c r="AL185" s="18" t="s">
        <v>109</v>
      </c>
      <c r="AM185" s="18" t="s">
        <v>109</v>
      </c>
      <c r="AN185" s="18" t="s">
        <v>109</v>
      </c>
      <c r="AO185" s="18" t="s">
        <v>109</v>
      </c>
      <c r="AP185" s="18" t="s">
        <v>109</v>
      </c>
      <c r="AQ185" s="18" t="s">
        <v>109</v>
      </c>
      <c r="AR185" s="18" t="s">
        <v>109</v>
      </c>
      <c r="AS185" s="18" t="s">
        <v>109</v>
      </c>
      <c r="AT185" s="18" t="s">
        <v>109</v>
      </c>
      <c r="AU185" s="18" t="s">
        <v>109</v>
      </c>
      <c r="AV185" s="36" t="s">
        <v>109</v>
      </c>
      <c r="AW185" s="16"/>
      <c r="AX185" s="16"/>
      <c r="AY185" s="16"/>
      <c r="AZ185" s="16"/>
      <c r="BA185" s="16"/>
      <c r="BB185" s="16"/>
      <c r="BC185" s="16"/>
      <c r="BD185" s="16"/>
      <c r="BE185" s="16"/>
      <c r="BF185" s="16"/>
      <c r="BG185" s="16"/>
      <c r="BH185" s="16"/>
      <c r="BI185" s="16"/>
      <c r="BJ185" s="16"/>
      <c r="BK185" s="16"/>
      <c r="BL185" s="16"/>
      <c r="BM185" s="16"/>
      <c r="BN185" s="16"/>
      <c r="BO185" s="16"/>
      <c r="BP185" s="16"/>
      <c r="BQ185" s="16"/>
      <c r="BR185" s="16"/>
      <c r="BS185" s="16"/>
      <c r="BT185" s="16"/>
      <c r="BU185" s="16"/>
      <c r="BV185" s="16"/>
      <c r="BW185" s="16"/>
      <c r="BX185" s="16"/>
      <c r="BY185" s="16"/>
      <c r="BZ185" s="16"/>
      <c r="CA185" s="16"/>
      <c r="CB185" s="16"/>
      <c r="CC185" s="16"/>
      <c r="CD185" s="16"/>
      <c r="CE185" s="16"/>
      <c r="CF185" s="16"/>
      <c r="CG185" s="16"/>
      <c r="CH185" s="16"/>
      <c r="CI185" s="16"/>
      <c r="CJ185" s="16"/>
      <c r="CK185" s="16"/>
      <c r="CL185" s="16"/>
      <c r="CM185" s="16"/>
      <c r="CN185" s="16"/>
      <c r="CO185" s="16"/>
      <c r="CP185" s="16"/>
      <c r="CQ185" s="16"/>
      <c r="CR185" s="16"/>
      <c r="CS185" s="16"/>
      <c r="CT185" s="16"/>
      <c r="CU185" s="16"/>
      <c r="CV185" s="16"/>
      <c r="CW185" s="16"/>
      <c r="CX185" s="16"/>
      <c r="CY185" s="16"/>
      <c r="CZ185" s="16"/>
      <c r="DA185" s="16"/>
      <c r="DB185" s="16"/>
      <c r="DC185" s="16"/>
      <c r="DD185" s="16"/>
      <c r="DE185" s="16"/>
      <c r="DF185" s="16"/>
      <c r="DG185" s="16"/>
      <c r="DH185" s="16"/>
      <c r="DI185" s="16"/>
      <c r="DJ185" s="16"/>
      <c r="DK185" s="16"/>
      <c r="DL185" s="16"/>
      <c r="DM185" s="16"/>
      <c r="DN185" s="16"/>
      <c r="DO185" s="16"/>
      <c r="DP185" s="16"/>
      <c r="DQ185" s="16"/>
      <c r="DR185" s="16"/>
      <c r="DS185" s="16"/>
      <c r="DT185" s="16"/>
      <c r="DU185" s="16"/>
      <c r="DV185" s="16"/>
      <c r="DW185" s="16"/>
      <c r="DX185" s="16"/>
      <c r="DY185" s="16"/>
      <c r="DZ185" s="16"/>
      <c r="EA185" s="16"/>
      <c r="EB185" s="16"/>
      <c r="EC185" s="16"/>
      <c r="ED185" s="16"/>
      <c r="EE185" s="16"/>
      <c r="EF185" s="16"/>
      <c r="EG185" s="16"/>
      <c r="EH185" s="16"/>
      <c r="EI185" s="16"/>
      <c r="EJ185" s="16"/>
      <c r="EK185" s="16"/>
      <c r="EL185" s="16"/>
      <c r="EM185" s="16"/>
      <c r="EN185" s="16"/>
      <c r="EO185" s="16"/>
      <c r="EP185" s="16"/>
      <c r="EQ185" s="16"/>
      <c r="ER185" s="16"/>
      <c r="ES185" s="16"/>
      <c r="ET185" s="16"/>
      <c r="EU185" s="16"/>
      <c r="EV185" s="16"/>
      <c r="EW185" s="16"/>
      <c r="EX185" s="16"/>
      <c r="EY185" s="16"/>
      <c r="EZ185" s="16"/>
      <c r="FA185" s="16"/>
      <c r="FB185" s="16"/>
      <c r="FC185" s="16"/>
      <c r="FD185" s="16"/>
      <c r="FE185" s="16"/>
      <c r="FF185" s="16"/>
      <c r="FG185" s="16"/>
      <c r="FH185" s="16"/>
      <c r="FI185" s="16"/>
      <c r="FJ185" s="16"/>
      <c r="FK185" s="16"/>
      <c r="FL185" s="16"/>
      <c r="FM185" s="16"/>
      <c r="FN185" s="16"/>
      <c r="FO185" s="16"/>
      <c r="FP185" s="16"/>
      <c r="FQ185" s="16"/>
      <c r="FR185" s="16"/>
      <c r="FS185" s="16"/>
      <c r="FT185" s="16"/>
      <c r="FU185" s="16"/>
      <c r="FV185" s="16"/>
      <c r="FW185" s="16"/>
      <c r="FX185" s="16"/>
      <c r="FY185" s="16"/>
      <c r="FZ185" s="16"/>
      <c r="GA185" s="16"/>
      <c r="GB185" s="16"/>
      <c r="GC185" s="16"/>
      <c r="GD185" s="16"/>
      <c r="GE185" s="16"/>
      <c r="GF185" s="16"/>
      <c r="GG185" s="16"/>
      <c r="GH185" s="16"/>
      <c r="GI185" s="16"/>
      <c r="GJ185" s="16"/>
      <c r="GK185" s="16"/>
      <c r="GL185" s="16"/>
      <c r="GM185" s="16"/>
      <c r="GN185" s="16"/>
      <c r="GO185" s="16"/>
      <c r="GP185" s="16"/>
      <c r="GQ185" s="16"/>
      <c r="GR185" s="16"/>
      <c r="GS185" s="16"/>
      <c r="GT185" s="16"/>
      <c r="GU185" s="16"/>
      <c r="GV185" s="16"/>
      <c r="GW185" s="16"/>
      <c r="GX185" s="16"/>
      <c r="GY185" s="16"/>
      <c r="GZ185" s="16"/>
      <c r="HA185" s="16"/>
      <c r="HB185" s="16"/>
      <c r="HC185" s="16"/>
      <c r="HD185" s="16"/>
      <c r="HE185" s="16"/>
      <c r="HF185" s="16"/>
      <c r="HG185" s="16"/>
      <c r="HH185" s="16"/>
      <c r="HI185" s="16"/>
      <c r="HJ185" s="16"/>
      <c r="HK185" s="16"/>
      <c r="HL185" s="16"/>
      <c r="HM185" s="16"/>
      <c r="HN185" s="16"/>
      <c r="HO185" s="16"/>
      <c r="HP185" s="16"/>
      <c r="HQ185" s="16"/>
      <c r="HR185" s="16"/>
      <c r="HS185" s="16"/>
      <c r="HT185" s="16"/>
      <c r="HU185" s="16"/>
      <c r="HV185" s="16"/>
      <c r="HW185" s="16"/>
      <c r="HX185" s="16"/>
      <c r="HY185" s="16"/>
      <c r="HZ185" s="16"/>
      <c r="IA185" s="16"/>
      <c r="IB185" s="16"/>
      <c r="IC185" s="16"/>
      <c r="ID185" s="16"/>
      <c r="IE185" s="16"/>
      <c r="IF185" s="16"/>
      <c r="IG185" s="16"/>
      <c r="IH185" s="16"/>
      <c r="II185" s="16"/>
      <c r="IJ185" s="16"/>
      <c r="IK185" s="16"/>
      <c r="IL185" s="16"/>
      <c r="IM185" s="16"/>
      <c r="IN185" s="16"/>
      <c r="IO185" s="16"/>
      <c r="IP185" s="16"/>
      <c r="IQ185" s="16"/>
      <c r="IR185" s="16"/>
      <c r="IS185" s="16"/>
      <c r="IT185" s="16"/>
      <c r="IU185" s="16"/>
      <c r="IV185" s="16"/>
      <c r="IW185" s="16"/>
      <c r="IX185" s="16"/>
      <c r="IY185" s="16"/>
      <c r="IZ185" s="16"/>
      <c r="JA185" s="16"/>
      <c r="JB185" s="16"/>
      <c r="JC185" s="16"/>
      <c r="JD185" s="16"/>
    </row>
    <row r="186" spans="1:264" ht="70.5" hidden="1" customHeight="1" x14ac:dyDescent="0.3">
      <c r="A186" s="15" t="s">
        <v>25</v>
      </c>
      <c r="B186" s="15" t="s">
        <v>1126</v>
      </c>
      <c r="C186" s="15" t="s">
        <v>387</v>
      </c>
      <c r="D186" s="15" t="s">
        <v>19</v>
      </c>
      <c r="E186" s="18" t="s">
        <v>109</v>
      </c>
      <c r="F186" s="18" t="s">
        <v>109</v>
      </c>
      <c r="G186" s="18" t="s">
        <v>109</v>
      </c>
      <c r="H186" s="18" t="s">
        <v>109</v>
      </c>
      <c r="I186" s="18" t="s">
        <v>19</v>
      </c>
      <c r="J186" s="18" t="s">
        <v>19</v>
      </c>
      <c r="K186" s="29" t="s">
        <v>19</v>
      </c>
      <c r="L186" s="29" t="s">
        <v>3203</v>
      </c>
      <c r="M186" s="15" t="s">
        <v>1277</v>
      </c>
      <c r="N186" s="4" t="s">
        <v>1192</v>
      </c>
      <c r="O186" s="15"/>
      <c r="P186" s="4" t="s">
        <v>1534</v>
      </c>
      <c r="S186" s="15" t="e" cm="1">
        <f t="array" aca="1" ref="S186" ca="1">COMMONMARKETCOUNT(H186:AV186)</f>
        <v>#NAME?</v>
      </c>
      <c r="T186" s="6" t="e" cm="1">
        <f t="array" aca="1" ref="T186" ca="1">AUTOMATEDCOUNT(H186:AV186)</f>
        <v>#NAME?</v>
      </c>
      <c r="V186" s="18" t="s">
        <v>109</v>
      </c>
      <c r="W186" s="18" t="s">
        <v>109</v>
      </c>
      <c r="X186" s="18" t="s">
        <v>109</v>
      </c>
      <c r="Y186" s="18" t="s">
        <v>109</v>
      </c>
      <c r="Z186" s="18" t="s">
        <v>109</v>
      </c>
      <c r="AA186" s="18" t="s">
        <v>19</v>
      </c>
      <c r="AB186" s="18" t="s">
        <v>19</v>
      </c>
      <c r="AC186" s="18" t="s">
        <v>19</v>
      </c>
      <c r="AD186" s="18" t="s">
        <v>19</v>
      </c>
      <c r="AE186" s="18" t="s">
        <v>19</v>
      </c>
      <c r="AF186" s="18" t="s">
        <v>19</v>
      </c>
      <c r="AG186" s="18" t="s">
        <v>109</v>
      </c>
      <c r="AH186" s="18" t="s">
        <v>109</v>
      </c>
      <c r="AI186" s="18" t="s">
        <v>109</v>
      </c>
      <c r="AJ186" s="18" t="s">
        <v>109</v>
      </c>
      <c r="AK186" s="18" t="s">
        <v>109</v>
      </c>
      <c r="AL186" s="18" t="s">
        <v>109</v>
      </c>
      <c r="AM186" s="18" t="s">
        <v>109</v>
      </c>
      <c r="AN186" s="18" t="s">
        <v>109</v>
      </c>
      <c r="AO186" s="18" t="s">
        <v>109</v>
      </c>
      <c r="AP186" s="18" t="s">
        <v>109</v>
      </c>
      <c r="AQ186" s="18" t="s">
        <v>109</v>
      </c>
      <c r="AR186" s="18" t="s">
        <v>109</v>
      </c>
      <c r="AS186" s="18" t="s">
        <v>109</v>
      </c>
      <c r="AT186" s="18" t="s">
        <v>109</v>
      </c>
      <c r="AU186" s="18" t="s">
        <v>109</v>
      </c>
      <c r="AV186" s="36" t="s">
        <v>109</v>
      </c>
      <c r="AW186" s="5"/>
      <c r="AX186" s="5"/>
      <c r="AY186" s="5"/>
      <c r="AZ186" s="5"/>
      <c r="BA186" s="5"/>
      <c r="BB186" s="5"/>
      <c r="BC186" s="5"/>
      <c r="BD186" s="5"/>
      <c r="BE186" s="5"/>
      <c r="BF186" s="5"/>
      <c r="BG186" s="5"/>
      <c r="BH186" s="5"/>
      <c r="BI186" s="5"/>
      <c r="BJ186" s="5"/>
      <c r="BK186" s="5"/>
      <c r="BL186" s="5"/>
      <c r="BM186" s="5"/>
      <c r="BN186" s="5"/>
      <c r="BO186" s="5"/>
      <c r="BP186" s="5"/>
      <c r="BQ186" s="5"/>
      <c r="BR186" s="5"/>
      <c r="BS186" s="5"/>
      <c r="BT186" s="5"/>
      <c r="BU186" s="5"/>
      <c r="BV186" s="5"/>
      <c r="BW186" s="5"/>
      <c r="BX186" s="5"/>
      <c r="BY186" s="5"/>
      <c r="BZ186" s="5"/>
      <c r="CA186" s="5"/>
      <c r="CB186" s="5"/>
      <c r="CC186" s="5"/>
      <c r="CD186" s="5"/>
      <c r="CE186" s="5"/>
      <c r="CF186" s="5"/>
      <c r="CG186" s="5"/>
      <c r="CH186" s="5"/>
      <c r="CI186" s="5"/>
      <c r="CJ186" s="5"/>
      <c r="CK186" s="5"/>
      <c r="CL186" s="5"/>
      <c r="CM186" s="5"/>
      <c r="CN186" s="5"/>
      <c r="CO186" s="5"/>
      <c r="CP186" s="5"/>
      <c r="CQ186" s="5"/>
      <c r="CR186" s="5"/>
      <c r="CS186" s="5"/>
      <c r="CT186" s="5"/>
      <c r="CU186" s="5"/>
      <c r="CV186" s="5"/>
      <c r="CW186" s="5"/>
      <c r="CX186" s="5"/>
      <c r="CY186" s="5"/>
      <c r="CZ186" s="5"/>
      <c r="DA186" s="5"/>
      <c r="DB186" s="5"/>
      <c r="DC186" s="5"/>
      <c r="DD186" s="5"/>
      <c r="DE186" s="5"/>
      <c r="DF186" s="5"/>
      <c r="DG186" s="5"/>
      <c r="DH186" s="5"/>
      <c r="DI186" s="5"/>
      <c r="DJ186" s="5"/>
      <c r="DK186" s="5"/>
      <c r="DL186" s="5"/>
      <c r="DM186" s="5"/>
      <c r="DN186" s="5"/>
      <c r="DO186" s="5"/>
      <c r="DP186" s="5"/>
      <c r="DQ186" s="5"/>
      <c r="DR186" s="5"/>
      <c r="DS186" s="5"/>
      <c r="DT186" s="5"/>
      <c r="DU186" s="5"/>
      <c r="DV186" s="5"/>
      <c r="DW186" s="5"/>
      <c r="DX186" s="5"/>
      <c r="DY186" s="5"/>
      <c r="DZ186" s="5"/>
      <c r="EA186" s="5"/>
      <c r="EB186" s="5"/>
      <c r="EC186" s="5"/>
      <c r="ED186" s="5"/>
      <c r="EE186" s="5"/>
      <c r="EF186" s="5"/>
      <c r="EG186" s="5"/>
      <c r="EH186" s="5"/>
      <c r="EI186" s="5"/>
      <c r="EJ186" s="5"/>
      <c r="EK186" s="5"/>
      <c r="EL186" s="5"/>
      <c r="EM186" s="5"/>
      <c r="EN186" s="5"/>
      <c r="EO186" s="5"/>
      <c r="EP186" s="5"/>
      <c r="EQ186" s="5"/>
      <c r="ER186" s="5"/>
      <c r="ES186" s="5"/>
      <c r="ET186" s="5"/>
      <c r="EU186" s="5"/>
      <c r="EV186" s="5"/>
      <c r="EW186" s="5"/>
      <c r="EX186" s="5"/>
      <c r="EY186" s="5"/>
      <c r="EZ186" s="5"/>
      <c r="FA186" s="5"/>
      <c r="FB186" s="5"/>
      <c r="FC186" s="5"/>
      <c r="FD186" s="5"/>
      <c r="FE186" s="5"/>
      <c r="FF186" s="5"/>
      <c r="FG186" s="5"/>
      <c r="FH186" s="5"/>
      <c r="FI186" s="5"/>
      <c r="FJ186" s="5"/>
      <c r="FK186" s="5"/>
      <c r="FL186" s="5"/>
      <c r="FM186" s="5"/>
      <c r="FN186" s="5"/>
      <c r="FO186" s="5"/>
      <c r="FP186" s="5"/>
      <c r="FQ186" s="5"/>
      <c r="FR186" s="5"/>
      <c r="FS186" s="5"/>
      <c r="FT186" s="5"/>
      <c r="FU186" s="5"/>
      <c r="FV186" s="5"/>
      <c r="FW186" s="5"/>
      <c r="FX186" s="5"/>
      <c r="FY186" s="5"/>
      <c r="FZ186" s="5"/>
      <c r="GA186" s="5"/>
      <c r="GB186" s="5"/>
      <c r="GC186" s="5"/>
      <c r="GD186" s="5"/>
      <c r="GE186" s="5"/>
      <c r="GF186" s="5"/>
      <c r="GG186" s="5"/>
      <c r="GH186" s="5"/>
      <c r="GI186" s="5"/>
      <c r="GJ186" s="5"/>
      <c r="GK186" s="5"/>
      <c r="GL186" s="5"/>
      <c r="GM186" s="5"/>
      <c r="GN186" s="5"/>
      <c r="GO186" s="5"/>
      <c r="GP186" s="5"/>
      <c r="GQ186" s="5"/>
      <c r="GR186" s="5"/>
      <c r="GS186" s="5"/>
      <c r="GT186" s="5"/>
      <c r="GU186" s="5"/>
      <c r="GV186" s="5"/>
      <c r="GW186" s="5"/>
      <c r="GX186" s="5"/>
      <c r="GY186" s="5"/>
      <c r="GZ186" s="5"/>
      <c r="HA186" s="5"/>
      <c r="HB186" s="5"/>
      <c r="HC186" s="5"/>
      <c r="HD186" s="5"/>
      <c r="HE186" s="5"/>
      <c r="HF186" s="5"/>
      <c r="HG186" s="5"/>
      <c r="HH186" s="5"/>
      <c r="HI186" s="5"/>
      <c r="HJ186" s="5"/>
      <c r="HK186" s="5"/>
      <c r="HL186" s="5"/>
      <c r="HM186" s="5"/>
      <c r="HN186" s="5"/>
      <c r="HO186" s="5"/>
      <c r="HP186" s="5"/>
      <c r="HQ186" s="5"/>
      <c r="HR186" s="5"/>
      <c r="HS186" s="5"/>
      <c r="HT186" s="5"/>
      <c r="HU186" s="5"/>
      <c r="HV186" s="5"/>
      <c r="HW186" s="5"/>
      <c r="HX186" s="5"/>
      <c r="HY186" s="5"/>
      <c r="HZ186" s="5"/>
      <c r="IA186" s="5"/>
      <c r="IB186" s="5"/>
      <c r="IC186" s="5"/>
      <c r="ID186" s="5"/>
      <c r="IE186" s="5"/>
      <c r="IF186" s="5"/>
      <c r="IG186" s="5"/>
      <c r="IH186" s="5"/>
      <c r="II186" s="5"/>
      <c r="IJ186" s="5"/>
      <c r="IK186" s="5"/>
      <c r="IL186" s="5"/>
      <c r="IM186" s="5"/>
      <c r="IN186" s="5"/>
      <c r="IO186" s="5"/>
      <c r="IP186" s="5"/>
      <c r="IQ186" s="5"/>
      <c r="IR186" s="5"/>
      <c r="IS186" s="5"/>
      <c r="IT186" s="5"/>
      <c r="IU186" s="5"/>
      <c r="IV186" s="5"/>
      <c r="IW186" s="5"/>
      <c r="IX186" s="5"/>
      <c r="IY186" s="5"/>
      <c r="IZ186" s="5"/>
      <c r="JA186" s="5"/>
      <c r="JB186" s="5"/>
      <c r="JC186" s="5"/>
      <c r="JD186" s="5"/>
    </row>
    <row r="187" spans="1:264" ht="70.5" customHeight="1" x14ac:dyDescent="0.3">
      <c r="A187" s="15" t="s">
        <v>25</v>
      </c>
      <c r="B187" s="15" t="s">
        <v>1365</v>
      </c>
      <c r="C187" s="15" t="s">
        <v>388</v>
      </c>
      <c r="D187" s="15" t="s">
        <v>19</v>
      </c>
      <c r="E187" s="70" t="s">
        <v>19</v>
      </c>
      <c r="F187" s="70" t="s">
        <v>19</v>
      </c>
      <c r="G187" s="70" t="s">
        <v>19</v>
      </c>
      <c r="H187" s="70" t="s">
        <v>19</v>
      </c>
      <c r="I187" s="72" t="s">
        <v>19</v>
      </c>
      <c r="J187" s="72" t="s">
        <v>19</v>
      </c>
      <c r="K187" s="70" t="s">
        <v>19</v>
      </c>
      <c r="L187" s="70" t="s">
        <v>19</v>
      </c>
      <c r="M187" s="15" t="s">
        <v>389</v>
      </c>
      <c r="N187" s="4" t="s">
        <v>1535</v>
      </c>
      <c r="O187" s="15"/>
      <c r="P187" s="4" t="s">
        <v>1601</v>
      </c>
      <c r="S187" s="15" t="e" cm="1">
        <f t="array" aca="1" ref="S187" ca="1">COMMONMARKETCOUNT(H187:AV187)</f>
        <v>#NAME?</v>
      </c>
      <c r="T187" s="6" t="e" cm="1">
        <f t="array" aca="1" ref="T187" ca="1">AUTOMATEDCOUNT(H187:AV187)</f>
        <v>#NAME?</v>
      </c>
      <c r="V187" s="70" t="s">
        <v>19</v>
      </c>
      <c r="W187" s="70" t="s">
        <v>19</v>
      </c>
      <c r="X187" s="70" t="s">
        <v>19</v>
      </c>
      <c r="Y187" s="70" t="s">
        <v>19</v>
      </c>
      <c r="Z187" s="70" t="s">
        <v>19</v>
      </c>
      <c r="AA187" s="72" t="s">
        <v>19</v>
      </c>
      <c r="AB187" s="72" t="s">
        <v>19</v>
      </c>
      <c r="AC187" s="72" t="s">
        <v>19</v>
      </c>
      <c r="AD187" s="72" t="s">
        <v>19</v>
      </c>
      <c r="AE187" s="18" t="s">
        <v>19</v>
      </c>
      <c r="AF187" s="15" t="s">
        <v>19</v>
      </c>
      <c r="AG187" s="20" t="s">
        <v>19</v>
      </c>
      <c r="AH187" s="15" t="s">
        <v>19</v>
      </c>
      <c r="AI187" s="15" t="s">
        <v>19</v>
      </c>
      <c r="AJ187" s="15" t="s">
        <v>19</v>
      </c>
      <c r="AK187" s="15" t="s">
        <v>19</v>
      </c>
      <c r="AL187" s="15" t="s">
        <v>19</v>
      </c>
      <c r="AM187" s="18" t="s">
        <v>19</v>
      </c>
      <c r="AN187" s="18" t="s">
        <v>19</v>
      </c>
      <c r="AO187" s="18" t="s">
        <v>19</v>
      </c>
      <c r="AP187" s="15" t="s">
        <v>19</v>
      </c>
      <c r="AQ187" s="15" t="s">
        <v>19</v>
      </c>
      <c r="AR187" s="15" t="s">
        <v>19</v>
      </c>
      <c r="AS187" s="70" t="s">
        <v>19</v>
      </c>
      <c r="AT187" s="70" t="s">
        <v>19</v>
      </c>
      <c r="AU187" s="20" t="s">
        <v>3153</v>
      </c>
      <c r="AV187" s="36" t="s">
        <v>19</v>
      </c>
    </row>
    <row r="188" spans="1:264" ht="70.5" hidden="1" customHeight="1" x14ac:dyDescent="0.3">
      <c r="A188" s="15" t="s">
        <v>25</v>
      </c>
      <c r="B188" s="15" t="s">
        <v>1126</v>
      </c>
      <c r="C188" s="15" t="s">
        <v>390</v>
      </c>
      <c r="D188" s="15" t="s">
        <v>19</v>
      </c>
      <c r="E188" s="18" t="s">
        <v>109</v>
      </c>
      <c r="F188" s="18" t="s">
        <v>109</v>
      </c>
      <c r="G188" s="18" t="s">
        <v>109</v>
      </c>
      <c r="H188" s="18" t="s">
        <v>109</v>
      </c>
      <c r="I188" s="18" t="s">
        <v>109</v>
      </c>
      <c r="J188" s="18" t="s">
        <v>109</v>
      </c>
      <c r="K188" s="29" t="s">
        <v>19</v>
      </c>
      <c r="L188" s="29" t="s">
        <v>3203</v>
      </c>
      <c r="M188" s="15" t="s">
        <v>1407</v>
      </c>
      <c r="N188" s="4" t="s">
        <v>1408</v>
      </c>
      <c r="O188" s="15"/>
      <c r="P188" s="4" t="s">
        <v>3057</v>
      </c>
      <c r="S188" s="15" t="e" cm="1">
        <f t="array" aca="1" ref="S188" ca="1">COMMONMARKETCOUNT(H188:AV188)</f>
        <v>#NAME?</v>
      </c>
      <c r="T188" s="6" t="e" cm="1">
        <f t="array" aca="1" ref="T188" ca="1">AUTOMATEDCOUNT(H188:AV188)</f>
        <v>#NAME?</v>
      </c>
      <c r="V188" s="18" t="s">
        <v>109</v>
      </c>
      <c r="W188" s="18" t="s">
        <v>109</v>
      </c>
      <c r="X188" s="18" t="s">
        <v>109</v>
      </c>
      <c r="Y188" s="18" t="s">
        <v>109</v>
      </c>
      <c r="Z188" s="18" t="s">
        <v>109</v>
      </c>
      <c r="AA188" s="18" t="s">
        <v>109</v>
      </c>
      <c r="AB188" s="18" t="s">
        <v>109</v>
      </c>
      <c r="AC188" s="18" t="s">
        <v>109</v>
      </c>
      <c r="AD188" s="18" t="s">
        <v>19</v>
      </c>
      <c r="AE188" s="18" t="s">
        <v>19</v>
      </c>
      <c r="AF188" s="18" t="s">
        <v>19</v>
      </c>
      <c r="AG188" s="18" t="s">
        <v>109</v>
      </c>
      <c r="AH188" s="18" t="s">
        <v>109</v>
      </c>
      <c r="AI188" s="18" t="s">
        <v>109</v>
      </c>
      <c r="AJ188" s="18" t="s">
        <v>109</v>
      </c>
      <c r="AK188" s="18" t="s">
        <v>109</v>
      </c>
      <c r="AL188" s="18" t="s">
        <v>109</v>
      </c>
      <c r="AM188" s="18" t="s">
        <v>109</v>
      </c>
      <c r="AN188" s="18" t="s">
        <v>109</v>
      </c>
      <c r="AO188" s="18" t="s">
        <v>109</v>
      </c>
      <c r="AP188" s="18" t="s">
        <v>109</v>
      </c>
      <c r="AQ188" s="18" t="s">
        <v>109</v>
      </c>
      <c r="AR188" s="18" t="s">
        <v>109</v>
      </c>
      <c r="AS188" s="18" t="s">
        <v>109</v>
      </c>
      <c r="AT188" s="18" t="s">
        <v>109</v>
      </c>
      <c r="AU188" s="18" t="s">
        <v>109</v>
      </c>
      <c r="AV188" s="36" t="s">
        <v>109</v>
      </c>
    </row>
    <row r="189" spans="1:264" s="37" customFormat="1" ht="70.5" hidden="1" customHeight="1" x14ac:dyDescent="0.3">
      <c r="A189" s="15" t="s">
        <v>25</v>
      </c>
      <c r="B189" s="15" t="s">
        <v>1126</v>
      </c>
      <c r="C189" s="15" t="s">
        <v>391</v>
      </c>
      <c r="D189" s="15" t="s">
        <v>19</v>
      </c>
      <c r="E189" s="18" t="s">
        <v>109</v>
      </c>
      <c r="F189" s="18" t="s">
        <v>109</v>
      </c>
      <c r="G189" s="18" t="s">
        <v>109</v>
      </c>
      <c r="H189" s="18" t="s">
        <v>109</v>
      </c>
      <c r="I189" s="18" t="s">
        <v>109</v>
      </c>
      <c r="J189" s="18" t="s">
        <v>109</v>
      </c>
      <c r="K189" s="29" t="s">
        <v>19</v>
      </c>
      <c r="L189" s="29" t="s">
        <v>3203</v>
      </c>
      <c r="M189" s="15" t="s">
        <v>1726</v>
      </c>
      <c r="N189" s="4" t="s">
        <v>1409</v>
      </c>
      <c r="O189" s="15"/>
      <c r="P189" s="4" t="s">
        <v>3058</v>
      </c>
      <c r="S189" s="15" t="e" cm="1">
        <f t="array" aca="1" ref="S189" ca="1">COMMONMARKETCOUNT(H189:AV189)</f>
        <v>#NAME?</v>
      </c>
      <c r="T189" s="6" t="e" cm="1">
        <f t="array" aca="1" ref="T189" ca="1">AUTOMATEDCOUNT(H189:AV189)</f>
        <v>#NAME?</v>
      </c>
      <c r="V189" s="18" t="s">
        <v>109</v>
      </c>
      <c r="W189" s="18" t="s">
        <v>109</v>
      </c>
      <c r="X189" s="18" t="s">
        <v>109</v>
      </c>
      <c r="Y189" s="18" t="s">
        <v>109</v>
      </c>
      <c r="Z189" s="18" t="s">
        <v>109</v>
      </c>
      <c r="AA189" s="18" t="s">
        <v>109</v>
      </c>
      <c r="AB189" s="18" t="s">
        <v>109</v>
      </c>
      <c r="AC189" s="18" t="s">
        <v>109</v>
      </c>
      <c r="AD189" s="18" t="s">
        <v>109</v>
      </c>
      <c r="AE189" s="18" t="s">
        <v>109</v>
      </c>
      <c r="AF189" s="18" t="s">
        <v>19</v>
      </c>
      <c r="AG189" s="18" t="s">
        <v>109</v>
      </c>
      <c r="AH189" s="18" t="s">
        <v>109</v>
      </c>
      <c r="AI189" s="18" t="s">
        <v>109</v>
      </c>
      <c r="AJ189" s="18" t="s">
        <v>109</v>
      </c>
      <c r="AK189" s="18" t="s">
        <v>109</v>
      </c>
      <c r="AL189" s="18" t="s">
        <v>109</v>
      </c>
      <c r="AM189" s="18" t="s">
        <v>109</v>
      </c>
      <c r="AN189" s="18" t="s">
        <v>109</v>
      </c>
      <c r="AO189" s="18" t="s">
        <v>109</v>
      </c>
      <c r="AP189" s="18" t="s">
        <v>109</v>
      </c>
      <c r="AQ189" s="18" t="s">
        <v>109</v>
      </c>
      <c r="AR189" s="18" t="s">
        <v>109</v>
      </c>
      <c r="AS189" s="18" t="s">
        <v>109</v>
      </c>
      <c r="AT189" s="18" t="s">
        <v>109</v>
      </c>
      <c r="AU189" s="18" t="s">
        <v>109</v>
      </c>
      <c r="AV189" s="36" t="s">
        <v>109</v>
      </c>
      <c r="AW189" s="16"/>
      <c r="AX189" s="16"/>
      <c r="AY189" s="16"/>
      <c r="AZ189" s="16"/>
      <c r="BA189" s="16"/>
      <c r="BB189" s="16"/>
      <c r="BC189" s="16"/>
      <c r="BD189" s="16"/>
      <c r="BE189" s="16"/>
      <c r="BF189" s="16"/>
      <c r="BG189" s="16"/>
      <c r="BH189" s="16"/>
      <c r="BI189" s="16"/>
      <c r="BJ189" s="16"/>
      <c r="BK189" s="16"/>
      <c r="BL189" s="16"/>
      <c r="BM189" s="16"/>
      <c r="BN189" s="16"/>
      <c r="BO189" s="16"/>
      <c r="BP189" s="16"/>
      <c r="BQ189" s="16"/>
      <c r="BR189" s="16"/>
      <c r="BS189" s="16"/>
      <c r="BT189" s="16"/>
      <c r="BU189" s="16"/>
      <c r="BV189" s="16"/>
      <c r="BW189" s="16"/>
      <c r="BX189" s="16"/>
      <c r="BY189" s="16"/>
      <c r="BZ189" s="16"/>
      <c r="CA189" s="16"/>
      <c r="CB189" s="16"/>
      <c r="CC189" s="16"/>
      <c r="CD189" s="16"/>
      <c r="CE189" s="16"/>
      <c r="CF189" s="16"/>
      <c r="CG189" s="16"/>
      <c r="CH189" s="16"/>
      <c r="CI189" s="16"/>
      <c r="CJ189" s="16"/>
      <c r="CK189" s="16"/>
      <c r="CL189" s="16"/>
      <c r="CM189" s="16"/>
      <c r="CN189" s="16"/>
      <c r="CO189" s="16"/>
      <c r="CP189" s="16"/>
      <c r="CQ189" s="16"/>
      <c r="CR189" s="16"/>
      <c r="CS189" s="16"/>
      <c r="CT189" s="16"/>
      <c r="CU189" s="16"/>
      <c r="CV189" s="16"/>
      <c r="CW189" s="16"/>
      <c r="CX189" s="16"/>
      <c r="CY189" s="16"/>
      <c r="CZ189" s="16"/>
      <c r="DA189" s="16"/>
      <c r="DB189" s="16"/>
      <c r="DC189" s="16"/>
      <c r="DD189" s="16"/>
      <c r="DE189" s="16"/>
      <c r="DF189" s="16"/>
      <c r="DG189" s="16"/>
      <c r="DH189" s="16"/>
      <c r="DI189" s="16"/>
      <c r="DJ189" s="16"/>
      <c r="DK189" s="16"/>
      <c r="DL189" s="16"/>
      <c r="DM189" s="16"/>
      <c r="DN189" s="16"/>
      <c r="DO189" s="16"/>
      <c r="DP189" s="16"/>
      <c r="DQ189" s="16"/>
      <c r="DR189" s="16"/>
      <c r="DS189" s="16"/>
      <c r="DT189" s="16"/>
      <c r="DU189" s="16"/>
      <c r="DV189" s="16"/>
      <c r="DW189" s="16"/>
      <c r="DX189" s="16"/>
      <c r="DY189" s="16"/>
      <c r="DZ189" s="16"/>
      <c r="EA189" s="16"/>
      <c r="EB189" s="16"/>
      <c r="EC189" s="16"/>
      <c r="ED189" s="16"/>
      <c r="EE189" s="16"/>
      <c r="EF189" s="16"/>
      <c r="EG189" s="16"/>
      <c r="EH189" s="16"/>
      <c r="EI189" s="16"/>
      <c r="EJ189" s="16"/>
      <c r="EK189" s="16"/>
      <c r="EL189" s="16"/>
      <c r="EM189" s="16"/>
      <c r="EN189" s="16"/>
      <c r="EO189" s="16"/>
      <c r="EP189" s="16"/>
      <c r="EQ189" s="16"/>
      <c r="ER189" s="16"/>
      <c r="ES189" s="16"/>
      <c r="ET189" s="16"/>
      <c r="EU189" s="16"/>
      <c r="EV189" s="16"/>
      <c r="EW189" s="16"/>
      <c r="EX189" s="16"/>
      <c r="EY189" s="16"/>
      <c r="EZ189" s="16"/>
      <c r="FA189" s="16"/>
      <c r="FB189" s="16"/>
      <c r="FC189" s="16"/>
      <c r="FD189" s="16"/>
      <c r="FE189" s="16"/>
      <c r="FF189" s="16"/>
      <c r="FG189" s="16"/>
      <c r="FH189" s="16"/>
      <c r="FI189" s="16"/>
      <c r="FJ189" s="16"/>
      <c r="FK189" s="16"/>
      <c r="FL189" s="16"/>
      <c r="FM189" s="16"/>
      <c r="FN189" s="16"/>
      <c r="FO189" s="16"/>
      <c r="FP189" s="16"/>
      <c r="FQ189" s="16"/>
      <c r="FR189" s="16"/>
      <c r="FS189" s="16"/>
      <c r="FT189" s="16"/>
      <c r="FU189" s="16"/>
      <c r="FV189" s="16"/>
      <c r="FW189" s="16"/>
      <c r="FX189" s="16"/>
      <c r="FY189" s="16"/>
      <c r="FZ189" s="16"/>
      <c r="GA189" s="16"/>
      <c r="GB189" s="16"/>
      <c r="GC189" s="16"/>
      <c r="GD189" s="16"/>
      <c r="GE189" s="16"/>
      <c r="GF189" s="16"/>
      <c r="GG189" s="16"/>
      <c r="GH189" s="16"/>
      <c r="GI189" s="16"/>
      <c r="GJ189" s="16"/>
      <c r="GK189" s="16"/>
      <c r="GL189" s="16"/>
      <c r="GM189" s="16"/>
      <c r="GN189" s="16"/>
      <c r="GO189" s="16"/>
      <c r="GP189" s="16"/>
      <c r="GQ189" s="16"/>
      <c r="GR189" s="16"/>
      <c r="GS189" s="16"/>
      <c r="GT189" s="16"/>
      <c r="GU189" s="16"/>
      <c r="GV189" s="16"/>
      <c r="GW189" s="16"/>
      <c r="GX189" s="16"/>
      <c r="GY189" s="16"/>
      <c r="GZ189" s="16"/>
      <c r="HA189" s="16"/>
      <c r="HB189" s="16"/>
      <c r="HC189" s="16"/>
      <c r="HD189" s="16"/>
      <c r="HE189" s="16"/>
      <c r="HF189" s="16"/>
      <c r="HG189" s="16"/>
      <c r="HH189" s="16"/>
      <c r="HI189" s="16"/>
      <c r="HJ189" s="16"/>
      <c r="HK189" s="16"/>
      <c r="HL189" s="16"/>
      <c r="HM189" s="16"/>
      <c r="HN189" s="16"/>
      <c r="HO189" s="16"/>
      <c r="HP189" s="16"/>
      <c r="HQ189" s="16"/>
      <c r="HR189" s="16"/>
      <c r="HS189" s="16"/>
      <c r="HT189" s="16"/>
      <c r="HU189" s="16"/>
      <c r="HV189" s="16"/>
      <c r="HW189" s="16"/>
      <c r="HX189" s="16"/>
      <c r="HY189" s="16"/>
      <c r="HZ189" s="16"/>
      <c r="IA189" s="16"/>
      <c r="IB189" s="16"/>
      <c r="IC189" s="16"/>
      <c r="ID189" s="16"/>
      <c r="IE189" s="16"/>
      <c r="IF189" s="16"/>
      <c r="IG189" s="16"/>
      <c r="IH189" s="16"/>
      <c r="II189" s="16"/>
      <c r="IJ189" s="16"/>
      <c r="IK189" s="16"/>
      <c r="IL189" s="16"/>
      <c r="IM189" s="16"/>
      <c r="IN189" s="16"/>
      <c r="IO189" s="16"/>
      <c r="IP189" s="16"/>
      <c r="IQ189" s="16"/>
      <c r="IR189" s="16"/>
      <c r="IS189" s="16"/>
      <c r="IT189" s="16"/>
      <c r="IU189" s="16"/>
      <c r="IV189" s="16"/>
      <c r="IW189" s="16"/>
      <c r="IX189" s="16"/>
      <c r="IY189" s="16"/>
      <c r="IZ189" s="16"/>
      <c r="JA189" s="16"/>
      <c r="JB189" s="16"/>
      <c r="JC189" s="16"/>
      <c r="JD189" s="16"/>
    </row>
    <row r="190" spans="1:264" ht="70.5" hidden="1" customHeight="1" x14ac:dyDescent="0.3">
      <c r="A190" s="15" t="s">
        <v>25</v>
      </c>
      <c r="B190" s="15" t="s">
        <v>1823</v>
      </c>
      <c r="C190" s="15" t="s">
        <v>392</v>
      </c>
      <c r="D190" s="15" t="s">
        <v>19</v>
      </c>
      <c r="E190" s="18" t="s">
        <v>109</v>
      </c>
      <c r="F190" s="18" t="s">
        <v>109</v>
      </c>
      <c r="G190" s="18" t="s">
        <v>109</v>
      </c>
      <c r="H190" s="18" t="s">
        <v>109</v>
      </c>
      <c r="I190" s="18" t="s">
        <v>109</v>
      </c>
      <c r="J190" s="18" t="s">
        <v>109</v>
      </c>
      <c r="K190" s="72" t="s">
        <v>19</v>
      </c>
      <c r="L190" s="72" t="s">
        <v>19</v>
      </c>
      <c r="M190" s="15" t="s">
        <v>1904</v>
      </c>
      <c r="N190" s="4" t="s">
        <v>1904</v>
      </c>
      <c r="O190" s="15"/>
      <c r="P190" s="4" t="s">
        <v>2309</v>
      </c>
      <c r="S190" s="15" t="e" cm="1">
        <f t="array" aca="1" ref="S190" ca="1">COMMONMARKETCOUNT(H190:AV190)</f>
        <v>#NAME?</v>
      </c>
      <c r="T190" s="6" t="e" cm="1">
        <f t="array" aca="1" ref="T190" ca="1">AUTOMATEDCOUNT(H190:AV190)</f>
        <v>#NAME?</v>
      </c>
      <c r="V190" s="18" t="s">
        <v>109</v>
      </c>
      <c r="W190" s="18" t="s">
        <v>109</v>
      </c>
      <c r="X190" s="18" t="s">
        <v>109</v>
      </c>
      <c r="Y190" s="18" t="s">
        <v>109</v>
      </c>
      <c r="Z190" s="18" t="s">
        <v>109</v>
      </c>
      <c r="AA190" s="18" t="s">
        <v>109</v>
      </c>
      <c r="AB190" s="18" t="s">
        <v>109</v>
      </c>
      <c r="AC190" s="18" t="s">
        <v>109</v>
      </c>
      <c r="AD190" s="18" t="s">
        <v>109</v>
      </c>
      <c r="AE190" s="18" t="s">
        <v>109</v>
      </c>
      <c r="AF190" s="18" t="s">
        <v>19</v>
      </c>
      <c r="AG190" s="18" t="s">
        <v>19</v>
      </c>
      <c r="AH190" s="18" t="s">
        <v>19</v>
      </c>
      <c r="AI190" s="18" t="s">
        <v>19</v>
      </c>
      <c r="AJ190" s="18" t="s">
        <v>19</v>
      </c>
      <c r="AK190" s="18" t="s">
        <v>19</v>
      </c>
      <c r="AL190" s="18" t="s">
        <v>19</v>
      </c>
      <c r="AM190" s="18" t="s">
        <v>109</v>
      </c>
      <c r="AN190" s="18" t="s">
        <v>19</v>
      </c>
      <c r="AO190" s="18" t="s">
        <v>19</v>
      </c>
      <c r="AP190" s="18" t="s">
        <v>109</v>
      </c>
      <c r="AQ190" s="18" t="s">
        <v>109</v>
      </c>
      <c r="AR190" s="18" t="s">
        <v>109</v>
      </c>
      <c r="AS190" s="18" t="s">
        <v>109</v>
      </c>
      <c r="AT190" s="18" t="s">
        <v>109</v>
      </c>
      <c r="AU190" s="18" t="s">
        <v>109</v>
      </c>
      <c r="AV190" s="36" t="s">
        <v>109</v>
      </c>
      <c r="AW190" s="5"/>
      <c r="AX190" s="5"/>
      <c r="AY190" s="5"/>
      <c r="AZ190" s="5"/>
      <c r="BA190" s="5"/>
      <c r="BB190" s="5"/>
      <c r="BC190" s="5"/>
      <c r="BD190" s="5"/>
      <c r="BE190" s="5"/>
      <c r="BF190" s="5"/>
      <c r="BG190" s="5"/>
      <c r="BH190" s="5"/>
      <c r="BI190" s="5"/>
      <c r="BJ190" s="5"/>
      <c r="BK190" s="5"/>
      <c r="BL190" s="5"/>
      <c r="BM190" s="5"/>
      <c r="BN190" s="5"/>
      <c r="BO190" s="5"/>
      <c r="BP190" s="5"/>
      <c r="BQ190" s="5"/>
      <c r="BR190" s="5"/>
      <c r="BS190" s="5"/>
      <c r="BT190" s="5"/>
      <c r="BU190" s="5"/>
      <c r="BV190" s="5"/>
      <c r="BW190" s="5"/>
      <c r="BX190" s="5"/>
      <c r="BY190" s="5"/>
      <c r="BZ190" s="5"/>
      <c r="CA190" s="5"/>
      <c r="CB190" s="5"/>
      <c r="CC190" s="5"/>
      <c r="CD190" s="5"/>
      <c r="CE190" s="5"/>
      <c r="CF190" s="5"/>
      <c r="CG190" s="5"/>
      <c r="CH190" s="5"/>
      <c r="CI190" s="5"/>
      <c r="CJ190" s="5"/>
      <c r="CK190" s="5"/>
      <c r="CL190" s="5"/>
      <c r="CM190" s="5"/>
      <c r="CN190" s="5"/>
      <c r="CO190" s="5"/>
      <c r="CP190" s="5"/>
      <c r="CQ190" s="5"/>
      <c r="CR190" s="5"/>
      <c r="CS190" s="5"/>
      <c r="CT190" s="5"/>
      <c r="CU190" s="5"/>
      <c r="CV190" s="5"/>
      <c r="CW190" s="5"/>
      <c r="CX190" s="5"/>
      <c r="CY190" s="5"/>
      <c r="CZ190" s="5"/>
      <c r="DA190" s="5"/>
      <c r="DB190" s="5"/>
      <c r="DC190" s="5"/>
      <c r="DD190" s="5"/>
      <c r="DE190" s="5"/>
      <c r="DF190" s="5"/>
      <c r="DG190" s="5"/>
      <c r="DH190" s="5"/>
      <c r="DI190" s="5"/>
      <c r="DJ190" s="5"/>
      <c r="DK190" s="5"/>
      <c r="DL190" s="5"/>
      <c r="DM190" s="5"/>
      <c r="DN190" s="5"/>
      <c r="DO190" s="5"/>
      <c r="DP190" s="5"/>
      <c r="DQ190" s="5"/>
      <c r="DR190" s="5"/>
      <c r="DS190" s="5"/>
      <c r="DT190" s="5"/>
      <c r="DU190" s="5"/>
      <c r="DV190" s="5"/>
      <c r="DW190" s="5"/>
      <c r="DX190" s="5"/>
      <c r="DY190" s="5"/>
      <c r="DZ190" s="5"/>
      <c r="EA190" s="5"/>
      <c r="EB190" s="5"/>
      <c r="EC190" s="5"/>
      <c r="ED190" s="5"/>
      <c r="EE190" s="5"/>
      <c r="EF190" s="5"/>
      <c r="EG190" s="5"/>
      <c r="EH190" s="5"/>
      <c r="EI190" s="5"/>
      <c r="EJ190" s="5"/>
      <c r="EK190" s="5"/>
      <c r="EL190" s="5"/>
      <c r="EM190" s="5"/>
      <c r="EN190" s="5"/>
      <c r="EO190" s="5"/>
      <c r="EP190" s="5"/>
      <c r="EQ190" s="5"/>
      <c r="ER190" s="5"/>
      <c r="ES190" s="5"/>
      <c r="ET190" s="5"/>
      <c r="EU190" s="5"/>
      <c r="EV190" s="5"/>
      <c r="EW190" s="5"/>
      <c r="EX190" s="5"/>
      <c r="EY190" s="5"/>
      <c r="EZ190" s="5"/>
      <c r="FA190" s="5"/>
      <c r="FB190" s="5"/>
      <c r="FC190" s="5"/>
      <c r="FD190" s="5"/>
      <c r="FE190" s="5"/>
      <c r="FF190" s="5"/>
      <c r="FG190" s="5"/>
      <c r="FH190" s="5"/>
      <c r="FI190" s="5"/>
      <c r="FJ190" s="5"/>
      <c r="FK190" s="5"/>
      <c r="FL190" s="5"/>
      <c r="FM190" s="5"/>
      <c r="FN190" s="5"/>
      <c r="FO190" s="5"/>
      <c r="FP190" s="5"/>
      <c r="FQ190" s="5"/>
      <c r="FR190" s="5"/>
      <c r="FS190" s="5"/>
      <c r="FT190" s="5"/>
      <c r="FU190" s="5"/>
      <c r="FV190" s="5"/>
      <c r="FW190" s="5"/>
      <c r="FX190" s="5"/>
      <c r="FY190" s="5"/>
      <c r="FZ190" s="5"/>
      <c r="GA190" s="5"/>
      <c r="GB190" s="5"/>
      <c r="GC190" s="5"/>
      <c r="GD190" s="5"/>
      <c r="GE190" s="5"/>
      <c r="GF190" s="5"/>
      <c r="GG190" s="5"/>
      <c r="GH190" s="5"/>
      <c r="GI190" s="5"/>
      <c r="GJ190" s="5"/>
      <c r="GK190" s="5"/>
      <c r="GL190" s="5"/>
      <c r="GM190" s="5"/>
      <c r="GN190" s="5"/>
      <c r="GO190" s="5"/>
      <c r="GP190" s="5"/>
      <c r="GQ190" s="5"/>
      <c r="GR190" s="5"/>
      <c r="GS190" s="5"/>
      <c r="GT190" s="5"/>
      <c r="GU190" s="5"/>
      <c r="GV190" s="5"/>
      <c r="GW190" s="5"/>
      <c r="GX190" s="5"/>
      <c r="GY190" s="5"/>
      <c r="GZ190" s="5"/>
      <c r="HA190" s="5"/>
      <c r="HB190" s="5"/>
      <c r="HC190" s="5"/>
      <c r="HD190" s="5"/>
      <c r="HE190" s="5"/>
      <c r="HF190" s="5"/>
      <c r="HG190" s="5"/>
      <c r="HH190" s="5"/>
      <c r="HI190" s="5"/>
      <c r="HJ190" s="5"/>
      <c r="HK190" s="5"/>
      <c r="HL190" s="5"/>
      <c r="HM190" s="5"/>
      <c r="HN190" s="5"/>
      <c r="HO190" s="5"/>
      <c r="HP190" s="5"/>
      <c r="HQ190" s="5"/>
      <c r="HR190" s="5"/>
      <c r="HS190" s="5"/>
      <c r="HT190" s="5"/>
      <c r="HU190" s="5"/>
      <c r="HV190" s="5"/>
      <c r="HW190" s="5"/>
      <c r="HX190" s="5"/>
      <c r="HY190" s="5"/>
      <c r="HZ190" s="5"/>
      <c r="IA190" s="5"/>
      <c r="IB190" s="5"/>
      <c r="IC190" s="5"/>
      <c r="ID190" s="5"/>
      <c r="IE190" s="5"/>
      <c r="IF190" s="5"/>
      <c r="IG190" s="5"/>
      <c r="IH190" s="5"/>
      <c r="II190" s="5"/>
      <c r="IJ190" s="5"/>
      <c r="IK190" s="5"/>
      <c r="IL190" s="5"/>
      <c r="IM190" s="5"/>
      <c r="IN190" s="5"/>
      <c r="IO190" s="5"/>
      <c r="IP190" s="5"/>
      <c r="IQ190" s="5"/>
      <c r="IR190" s="5"/>
      <c r="IS190" s="5"/>
      <c r="IT190" s="5"/>
      <c r="IU190" s="5"/>
      <c r="IV190" s="5"/>
      <c r="IW190" s="5"/>
      <c r="IX190" s="5"/>
      <c r="IY190" s="5"/>
      <c r="IZ190" s="5"/>
      <c r="JA190" s="5"/>
      <c r="JB190" s="5"/>
      <c r="JC190" s="5"/>
      <c r="JD190" s="5"/>
    </row>
    <row r="191" spans="1:264" ht="70.5" hidden="1" customHeight="1" x14ac:dyDescent="0.3">
      <c r="A191" s="15" t="s">
        <v>25</v>
      </c>
      <c r="B191" s="15" t="s">
        <v>1823</v>
      </c>
      <c r="C191" s="15" t="s">
        <v>393</v>
      </c>
      <c r="D191" s="15" t="s">
        <v>32</v>
      </c>
      <c r="E191" s="18" t="s">
        <v>109</v>
      </c>
      <c r="F191" s="18" t="s">
        <v>109</v>
      </c>
      <c r="G191" s="18" t="s">
        <v>109</v>
      </c>
      <c r="H191" s="18" t="s">
        <v>109</v>
      </c>
      <c r="I191" s="18" t="s">
        <v>19</v>
      </c>
      <c r="J191" s="18" t="s">
        <v>19</v>
      </c>
      <c r="K191" s="18" t="s">
        <v>19</v>
      </c>
      <c r="L191" s="18" t="s">
        <v>19</v>
      </c>
      <c r="M191" s="15" t="s">
        <v>1457</v>
      </c>
      <c r="N191" s="4" t="s">
        <v>1458</v>
      </c>
      <c r="O191" s="15"/>
      <c r="P191" s="4" t="s">
        <v>3059</v>
      </c>
      <c r="S191" s="15" t="e" cm="1">
        <f t="array" aca="1" ref="S191" ca="1">COMMONMARKETCOUNT(H191:AV191)</f>
        <v>#NAME?</v>
      </c>
      <c r="T191" s="6" t="e" cm="1">
        <f t="array" aca="1" ref="T191" ca="1">AUTOMATEDCOUNT(H191:AV191)</f>
        <v>#NAME?</v>
      </c>
      <c r="V191" s="18" t="s">
        <v>109</v>
      </c>
      <c r="W191" s="18" t="s">
        <v>109</v>
      </c>
      <c r="X191" s="18" t="s">
        <v>109</v>
      </c>
      <c r="Y191" s="18" t="s">
        <v>109</v>
      </c>
      <c r="Z191" s="18" t="s">
        <v>109</v>
      </c>
      <c r="AA191" s="18" t="s">
        <v>19</v>
      </c>
      <c r="AB191" s="18" t="s">
        <v>19</v>
      </c>
      <c r="AC191" s="18" t="s">
        <v>19</v>
      </c>
      <c r="AD191" s="18" t="s">
        <v>109</v>
      </c>
      <c r="AE191" s="18" t="s">
        <v>109</v>
      </c>
      <c r="AF191" s="18" t="s">
        <v>19</v>
      </c>
      <c r="AG191" s="18" t="s">
        <v>19</v>
      </c>
      <c r="AH191" s="18" t="s">
        <v>19</v>
      </c>
      <c r="AI191" s="18" t="s">
        <v>19</v>
      </c>
      <c r="AJ191" s="18" t="s">
        <v>19</v>
      </c>
      <c r="AK191" s="18" t="s">
        <v>19</v>
      </c>
      <c r="AL191" s="18" t="s">
        <v>19</v>
      </c>
      <c r="AM191" s="18" t="s">
        <v>109</v>
      </c>
      <c r="AN191" s="18" t="s">
        <v>19</v>
      </c>
      <c r="AO191" s="18" t="s">
        <v>19</v>
      </c>
      <c r="AP191" s="18" t="s">
        <v>109</v>
      </c>
      <c r="AQ191" s="18" t="s">
        <v>109</v>
      </c>
      <c r="AR191" s="18" t="s">
        <v>109</v>
      </c>
      <c r="AS191" s="18" t="s">
        <v>109</v>
      </c>
      <c r="AT191" s="18" t="s">
        <v>109</v>
      </c>
      <c r="AU191" s="18" t="s">
        <v>109</v>
      </c>
      <c r="AV191" s="36" t="s">
        <v>109</v>
      </c>
    </row>
    <row r="192" spans="1:264" ht="70.5" hidden="1" customHeight="1" x14ac:dyDescent="0.3">
      <c r="A192" s="15" t="s">
        <v>25</v>
      </c>
      <c r="B192" s="15" t="s">
        <v>37</v>
      </c>
      <c r="C192" s="15" t="s">
        <v>394</v>
      </c>
      <c r="D192" s="15" t="s">
        <v>19</v>
      </c>
      <c r="E192" s="18" t="s">
        <v>109</v>
      </c>
      <c r="F192" s="18" t="s">
        <v>109</v>
      </c>
      <c r="G192" s="18" t="s">
        <v>109</v>
      </c>
      <c r="H192" s="18" t="s">
        <v>109</v>
      </c>
      <c r="I192" s="18" t="s">
        <v>19</v>
      </c>
      <c r="J192" s="18" t="s">
        <v>19</v>
      </c>
      <c r="K192" s="72" t="s">
        <v>19</v>
      </c>
      <c r="L192" s="72" t="s">
        <v>19</v>
      </c>
      <c r="M192" s="15" t="s">
        <v>395</v>
      </c>
      <c r="N192" s="4" t="s">
        <v>1193</v>
      </c>
      <c r="O192" s="15"/>
      <c r="P192" s="4" t="s">
        <v>1592</v>
      </c>
      <c r="S192" s="15" t="e" cm="1">
        <f t="array" aca="1" ref="S192" ca="1">COMMONMARKETCOUNT(H192:AV192)</f>
        <v>#NAME?</v>
      </c>
      <c r="T192" s="6" t="e" cm="1">
        <f t="array" aca="1" ref="T192" ca="1">AUTOMATEDCOUNT(H192:AV192)</f>
        <v>#NAME?</v>
      </c>
      <c r="V192" s="18" t="s">
        <v>109</v>
      </c>
      <c r="W192" s="18" t="s">
        <v>109</v>
      </c>
      <c r="X192" s="18" t="s">
        <v>109</v>
      </c>
      <c r="Y192" s="18" t="s">
        <v>109</v>
      </c>
      <c r="Z192" s="18" t="s">
        <v>109</v>
      </c>
      <c r="AA192" s="18" t="s">
        <v>19</v>
      </c>
      <c r="AB192" s="18" t="s">
        <v>19</v>
      </c>
      <c r="AC192" s="18" t="s">
        <v>19</v>
      </c>
      <c r="AD192" s="18" t="s">
        <v>19</v>
      </c>
      <c r="AE192" s="18" t="s">
        <v>19</v>
      </c>
      <c r="AF192" s="18" t="s">
        <v>19</v>
      </c>
      <c r="AG192" s="18" t="s">
        <v>19</v>
      </c>
      <c r="AH192" s="18" t="s">
        <v>19</v>
      </c>
      <c r="AI192" s="18" t="s">
        <v>19</v>
      </c>
      <c r="AJ192" s="18" t="s">
        <v>19</v>
      </c>
      <c r="AK192" s="18" t="s">
        <v>19</v>
      </c>
      <c r="AL192" s="18" t="s">
        <v>19</v>
      </c>
      <c r="AM192" s="18" t="s">
        <v>19</v>
      </c>
      <c r="AN192" s="18" t="s">
        <v>19</v>
      </c>
      <c r="AO192" s="18" t="s">
        <v>19</v>
      </c>
      <c r="AP192" s="18" t="s">
        <v>19</v>
      </c>
      <c r="AQ192" s="18" t="s">
        <v>19</v>
      </c>
      <c r="AR192" s="18" t="s">
        <v>19</v>
      </c>
      <c r="AS192" s="18" t="s">
        <v>19</v>
      </c>
      <c r="AT192" s="18" t="s">
        <v>19</v>
      </c>
      <c r="AU192" s="18" t="s">
        <v>3153</v>
      </c>
      <c r="AV192" s="36" t="s">
        <v>19</v>
      </c>
      <c r="AW192" s="5"/>
      <c r="AX192" s="5"/>
      <c r="AY192" s="5"/>
      <c r="AZ192" s="5"/>
      <c r="BA192" s="5"/>
      <c r="BB192" s="5"/>
      <c r="BC192" s="5"/>
      <c r="BD192" s="5"/>
      <c r="BE192" s="5"/>
      <c r="BF192" s="5"/>
      <c r="BG192" s="5"/>
      <c r="BH192" s="5"/>
      <c r="BI192" s="5"/>
      <c r="BJ192" s="5"/>
      <c r="BK192" s="5"/>
      <c r="BL192" s="5"/>
      <c r="BM192" s="5"/>
      <c r="BN192" s="5"/>
      <c r="BO192" s="5"/>
      <c r="BP192" s="5"/>
      <c r="BQ192" s="5"/>
      <c r="BR192" s="5"/>
      <c r="BS192" s="5"/>
      <c r="BT192" s="5"/>
      <c r="BU192" s="5"/>
      <c r="BV192" s="5"/>
      <c r="BW192" s="5"/>
      <c r="BX192" s="5"/>
      <c r="BY192" s="5"/>
      <c r="BZ192" s="5"/>
      <c r="CA192" s="5"/>
      <c r="CB192" s="5"/>
      <c r="CC192" s="5"/>
      <c r="CD192" s="5"/>
      <c r="CE192" s="5"/>
      <c r="CF192" s="5"/>
      <c r="CG192" s="5"/>
      <c r="CH192" s="5"/>
      <c r="CI192" s="5"/>
      <c r="CJ192" s="5"/>
      <c r="CK192" s="5"/>
      <c r="CL192" s="5"/>
      <c r="CM192" s="5"/>
      <c r="CN192" s="5"/>
      <c r="CO192" s="5"/>
      <c r="CP192" s="5"/>
      <c r="CQ192" s="5"/>
      <c r="CR192" s="5"/>
      <c r="CS192" s="5"/>
      <c r="CT192" s="5"/>
      <c r="CU192" s="5"/>
      <c r="CV192" s="5"/>
      <c r="CW192" s="5"/>
      <c r="CX192" s="5"/>
      <c r="CY192" s="5"/>
      <c r="CZ192" s="5"/>
      <c r="DA192" s="5"/>
      <c r="DB192" s="5"/>
      <c r="DC192" s="5"/>
      <c r="DD192" s="5"/>
      <c r="DE192" s="5"/>
      <c r="DF192" s="5"/>
      <c r="DG192" s="5"/>
      <c r="DH192" s="5"/>
      <c r="DI192" s="5"/>
      <c r="DJ192" s="5"/>
      <c r="DK192" s="5"/>
      <c r="DL192" s="5"/>
      <c r="DM192" s="5"/>
      <c r="DN192" s="5"/>
      <c r="DO192" s="5"/>
      <c r="DP192" s="5"/>
      <c r="DQ192" s="5"/>
      <c r="DR192" s="5"/>
      <c r="DS192" s="5"/>
      <c r="DT192" s="5"/>
      <c r="DU192" s="5"/>
      <c r="DV192" s="5"/>
      <c r="DW192" s="5"/>
      <c r="DX192" s="5"/>
      <c r="DY192" s="5"/>
      <c r="DZ192" s="5"/>
      <c r="EA192" s="5"/>
      <c r="EB192" s="5"/>
      <c r="EC192" s="5"/>
      <c r="ED192" s="5"/>
      <c r="EE192" s="5"/>
      <c r="EF192" s="5"/>
      <c r="EG192" s="5"/>
      <c r="EH192" s="5"/>
      <c r="EI192" s="5"/>
      <c r="EJ192" s="5"/>
      <c r="EK192" s="5"/>
      <c r="EL192" s="5"/>
      <c r="EM192" s="5"/>
      <c r="EN192" s="5"/>
      <c r="EO192" s="5"/>
      <c r="EP192" s="5"/>
      <c r="EQ192" s="5"/>
      <c r="ER192" s="5"/>
      <c r="ES192" s="5"/>
      <c r="ET192" s="5"/>
      <c r="EU192" s="5"/>
      <c r="EV192" s="5"/>
      <c r="EW192" s="5"/>
      <c r="EX192" s="5"/>
      <c r="EY192" s="5"/>
      <c r="EZ192" s="5"/>
      <c r="FA192" s="5"/>
      <c r="FB192" s="5"/>
      <c r="FC192" s="5"/>
      <c r="FD192" s="5"/>
      <c r="FE192" s="5"/>
      <c r="FF192" s="5"/>
      <c r="FG192" s="5"/>
      <c r="FH192" s="5"/>
      <c r="FI192" s="5"/>
      <c r="FJ192" s="5"/>
      <c r="FK192" s="5"/>
      <c r="FL192" s="5"/>
      <c r="FM192" s="5"/>
      <c r="FN192" s="5"/>
      <c r="FO192" s="5"/>
      <c r="FP192" s="5"/>
      <c r="FQ192" s="5"/>
      <c r="FR192" s="5"/>
      <c r="FS192" s="5"/>
      <c r="FT192" s="5"/>
      <c r="FU192" s="5"/>
      <c r="FV192" s="5"/>
      <c r="FW192" s="5"/>
      <c r="FX192" s="5"/>
      <c r="FY192" s="5"/>
      <c r="FZ192" s="5"/>
      <c r="GA192" s="5"/>
      <c r="GB192" s="5"/>
      <c r="GC192" s="5"/>
      <c r="GD192" s="5"/>
      <c r="GE192" s="5"/>
      <c r="GF192" s="5"/>
      <c r="GG192" s="5"/>
      <c r="GH192" s="5"/>
      <c r="GI192" s="5"/>
      <c r="GJ192" s="5"/>
      <c r="GK192" s="5"/>
      <c r="GL192" s="5"/>
      <c r="GM192" s="5"/>
      <c r="GN192" s="5"/>
      <c r="GO192" s="5"/>
      <c r="GP192" s="5"/>
      <c r="GQ192" s="5"/>
      <c r="GR192" s="5"/>
      <c r="GS192" s="5"/>
      <c r="GT192" s="5"/>
      <c r="GU192" s="5"/>
      <c r="GV192" s="5"/>
      <c r="GW192" s="5"/>
      <c r="GX192" s="5"/>
      <c r="GY192" s="5"/>
      <c r="GZ192" s="5"/>
      <c r="HA192" s="5"/>
      <c r="HB192" s="5"/>
      <c r="HC192" s="5"/>
      <c r="HD192" s="5"/>
      <c r="HE192" s="5"/>
      <c r="HF192" s="5"/>
      <c r="HG192" s="5"/>
      <c r="HH192" s="5"/>
      <c r="HI192" s="5"/>
      <c r="HJ192" s="5"/>
      <c r="HK192" s="5"/>
      <c r="HL192" s="5"/>
      <c r="HM192" s="5"/>
      <c r="HN192" s="5"/>
      <c r="HO192" s="5"/>
      <c r="HP192" s="5"/>
      <c r="HQ192" s="5"/>
      <c r="HR192" s="5"/>
      <c r="HS192" s="5"/>
      <c r="HT192" s="5"/>
      <c r="HU192" s="5"/>
      <c r="HV192" s="5"/>
      <c r="HW192" s="5"/>
      <c r="HX192" s="5"/>
      <c r="HY192" s="5"/>
      <c r="HZ192" s="5"/>
      <c r="IA192" s="5"/>
      <c r="IB192" s="5"/>
      <c r="IC192" s="5"/>
      <c r="ID192" s="5"/>
      <c r="IE192" s="5"/>
      <c r="IF192" s="5"/>
      <c r="IG192" s="5"/>
      <c r="IH192" s="5"/>
      <c r="II192" s="5"/>
      <c r="IJ192" s="5"/>
      <c r="IK192" s="5"/>
      <c r="IL192" s="5"/>
      <c r="IM192" s="5"/>
      <c r="IN192" s="5"/>
      <c r="IO192" s="5"/>
      <c r="IP192" s="5"/>
      <c r="IQ192" s="5"/>
      <c r="IR192" s="5"/>
      <c r="IS192" s="5"/>
      <c r="IT192" s="5"/>
      <c r="IU192" s="5"/>
      <c r="IV192" s="5"/>
      <c r="IW192" s="5"/>
      <c r="IX192" s="5"/>
      <c r="IY192" s="5"/>
      <c r="IZ192" s="5"/>
      <c r="JA192" s="5"/>
      <c r="JB192" s="5"/>
      <c r="JC192" s="5"/>
      <c r="JD192" s="5"/>
    </row>
    <row r="193" spans="1:264" ht="70.5" hidden="1" customHeight="1" x14ac:dyDescent="0.3">
      <c r="A193" s="15" t="s">
        <v>25</v>
      </c>
      <c r="B193" s="15" t="s">
        <v>37</v>
      </c>
      <c r="C193" s="15" t="s">
        <v>396</v>
      </c>
      <c r="D193" s="15" t="s">
        <v>19</v>
      </c>
      <c r="E193" s="18" t="s">
        <v>109</v>
      </c>
      <c r="F193" s="18" t="s">
        <v>109</v>
      </c>
      <c r="G193" s="18" t="s">
        <v>109</v>
      </c>
      <c r="H193" s="18" t="s">
        <v>109</v>
      </c>
      <c r="I193" s="18" t="s">
        <v>19</v>
      </c>
      <c r="J193" s="18" t="s">
        <v>19</v>
      </c>
      <c r="K193" s="72" t="s">
        <v>19</v>
      </c>
      <c r="L193" s="72" t="s">
        <v>19</v>
      </c>
      <c r="M193" s="15" t="s">
        <v>1727</v>
      </c>
      <c r="N193" s="4" t="s">
        <v>1194</v>
      </c>
      <c r="O193" s="15"/>
      <c r="P193" s="4" t="s">
        <v>1728</v>
      </c>
      <c r="S193" s="15" t="e" cm="1">
        <f t="array" aca="1" ref="S193" ca="1">COMMONMARKETCOUNT(H193:AV193)</f>
        <v>#NAME?</v>
      </c>
      <c r="T193" s="6" t="e" cm="1">
        <f t="array" aca="1" ref="T193" ca="1">AUTOMATEDCOUNT(H193:AV193)</f>
        <v>#NAME?</v>
      </c>
      <c r="V193" s="18" t="s">
        <v>109</v>
      </c>
      <c r="W193" s="18" t="s">
        <v>109</v>
      </c>
      <c r="X193" s="18" t="s">
        <v>109</v>
      </c>
      <c r="Y193" s="18" t="s">
        <v>109</v>
      </c>
      <c r="Z193" s="18" t="s">
        <v>109</v>
      </c>
      <c r="AA193" s="18" t="s">
        <v>19</v>
      </c>
      <c r="AB193" s="18" t="s">
        <v>19</v>
      </c>
      <c r="AC193" s="18" t="s">
        <v>19</v>
      </c>
      <c r="AD193" s="18" t="s">
        <v>19</v>
      </c>
      <c r="AE193" s="18" t="s">
        <v>19</v>
      </c>
      <c r="AF193" s="18" t="s">
        <v>19</v>
      </c>
      <c r="AG193" s="18" t="s">
        <v>19</v>
      </c>
      <c r="AH193" s="18" t="s">
        <v>19</v>
      </c>
      <c r="AI193" s="18" t="s">
        <v>19</v>
      </c>
      <c r="AJ193" s="18" t="s">
        <v>19</v>
      </c>
      <c r="AK193" s="18" t="s">
        <v>19</v>
      </c>
      <c r="AL193" s="18" t="s">
        <v>19</v>
      </c>
      <c r="AM193" s="18" t="s">
        <v>19</v>
      </c>
      <c r="AN193" s="18" t="s">
        <v>19</v>
      </c>
      <c r="AO193" s="18" t="s">
        <v>19</v>
      </c>
      <c r="AP193" s="18" t="s">
        <v>19</v>
      </c>
      <c r="AQ193" s="18" t="s">
        <v>19</v>
      </c>
      <c r="AR193" s="18" t="s">
        <v>19</v>
      </c>
      <c r="AS193" s="18" t="s">
        <v>19</v>
      </c>
      <c r="AT193" s="18" t="s">
        <v>19</v>
      </c>
      <c r="AU193" s="18" t="s">
        <v>3153</v>
      </c>
      <c r="AV193" s="36" t="s">
        <v>19</v>
      </c>
      <c r="AW193" s="5"/>
      <c r="AX193" s="5"/>
      <c r="AY193" s="5"/>
      <c r="AZ193" s="5"/>
      <c r="BA193" s="5"/>
      <c r="BB193" s="5"/>
      <c r="BC193" s="5"/>
      <c r="BD193" s="5"/>
      <c r="BE193" s="5"/>
      <c r="BF193" s="5"/>
      <c r="BG193" s="5"/>
      <c r="BH193" s="5"/>
      <c r="BI193" s="5"/>
      <c r="BJ193" s="5"/>
      <c r="BK193" s="5"/>
      <c r="BL193" s="5"/>
      <c r="BM193" s="5"/>
      <c r="BN193" s="5"/>
      <c r="BO193" s="5"/>
      <c r="BP193" s="5"/>
      <c r="BQ193" s="5"/>
      <c r="BR193" s="5"/>
      <c r="BS193" s="5"/>
      <c r="BT193" s="5"/>
      <c r="BU193" s="5"/>
      <c r="BV193" s="5"/>
      <c r="BW193" s="5"/>
      <c r="BX193" s="5"/>
      <c r="BY193" s="5"/>
      <c r="BZ193" s="5"/>
      <c r="CA193" s="5"/>
      <c r="CB193" s="5"/>
      <c r="CC193" s="5"/>
      <c r="CD193" s="5"/>
      <c r="CE193" s="5"/>
      <c r="CF193" s="5"/>
      <c r="CG193" s="5"/>
      <c r="CH193" s="5"/>
      <c r="CI193" s="5"/>
      <c r="CJ193" s="5"/>
      <c r="CK193" s="5"/>
      <c r="CL193" s="5"/>
      <c r="CM193" s="5"/>
      <c r="CN193" s="5"/>
      <c r="CO193" s="5"/>
      <c r="CP193" s="5"/>
      <c r="CQ193" s="5"/>
      <c r="CR193" s="5"/>
      <c r="CS193" s="5"/>
      <c r="CT193" s="5"/>
      <c r="CU193" s="5"/>
      <c r="CV193" s="5"/>
      <c r="CW193" s="5"/>
      <c r="CX193" s="5"/>
      <c r="CY193" s="5"/>
      <c r="CZ193" s="5"/>
      <c r="DA193" s="5"/>
      <c r="DB193" s="5"/>
      <c r="DC193" s="5"/>
      <c r="DD193" s="5"/>
      <c r="DE193" s="5"/>
      <c r="DF193" s="5"/>
      <c r="DG193" s="5"/>
      <c r="DH193" s="5"/>
      <c r="DI193" s="5"/>
      <c r="DJ193" s="5"/>
      <c r="DK193" s="5"/>
      <c r="DL193" s="5"/>
      <c r="DM193" s="5"/>
      <c r="DN193" s="5"/>
      <c r="DO193" s="5"/>
      <c r="DP193" s="5"/>
      <c r="DQ193" s="5"/>
      <c r="DR193" s="5"/>
      <c r="DS193" s="5"/>
      <c r="DT193" s="5"/>
      <c r="DU193" s="5"/>
      <c r="DV193" s="5"/>
      <c r="DW193" s="5"/>
      <c r="DX193" s="5"/>
      <c r="DY193" s="5"/>
      <c r="DZ193" s="5"/>
      <c r="EA193" s="5"/>
      <c r="EB193" s="5"/>
      <c r="EC193" s="5"/>
      <c r="ED193" s="5"/>
      <c r="EE193" s="5"/>
      <c r="EF193" s="5"/>
      <c r="EG193" s="5"/>
      <c r="EH193" s="5"/>
      <c r="EI193" s="5"/>
      <c r="EJ193" s="5"/>
      <c r="EK193" s="5"/>
      <c r="EL193" s="5"/>
      <c r="EM193" s="5"/>
      <c r="EN193" s="5"/>
      <c r="EO193" s="5"/>
      <c r="EP193" s="5"/>
      <c r="EQ193" s="5"/>
      <c r="ER193" s="5"/>
      <c r="ES193" s="5"/>
      <c r="ET193" s="5"/>
      <c r="EU193" s="5"/>
      <c r="EV193" s="5"/>
      <c r="EW193" s="5"/>
      <c r="EX193" s="5"/>
      <c r="EY193" s="5"/>
      <c r="EZ193" s="5"/>
      <c r="FA193" s="5"/>
      <c r="FB193" s="5"/>
      <c r="FC193" s="5"/>
      <c r="FD193" s="5"/>
      <c r="FE193" s="5"/>
      <c r="FF193" s="5"/>
      <c r="FG193" s="5"/>
      <c r="FH193" s="5"/>
      <c r="FI193" s="5"/>
      <c r="FJ193" s="5"/>
      <c r="FK193" s="5"/>
      <c r="FL193" s="5"/>
      <c r="FM193" s="5"/>
      <c r="FN193" s="5"/>
      <c r="FO193" s="5"/>
      <c r="FP193" s="5"/>
      <c r="FQ193" s="5"/>
      <c r="FR193" s="5"/>
      <c r="FS193" s="5"/>
      <c r="FT193" s="5"/>
      <c r="FU193" s="5"/>
      <c r="FV193" s="5"/>
      <c r="FW193" s="5"/>
      <c r="FX193" s="5"/>
      <c r="FY193" s="5"/>
      <c r="FZ193" s="5"/>
      <c r="GA193" s="5"/>
      <c r="GB193" s="5"/>
      <c r="GC193" s="5"/>
      <c r="GD193" s="5"/>
      <c r="GE193" s="5"/>
      <c r="GF193" s="5"/>
      <c r="GG193" s="5"/>
      <c r="GH193" s="5"/>
      <c r="GI193" s="5"/>
      <c r="GJ193" s="5"/>
      <c r="GK193" s="5"/>
      <c r="GL193" s="5"/>
      <c r="GM193" s="5"/>
      <c r="GN193" s="5"/>
      <c r="GO193" s="5"/>
      <c r="GP193" s="5"/>
      <c r="GQ193" s="5"/>
      <c r="GR193" s="5"/>
      <c r="GS193" s="5"/>
      <c r="GT193" s="5"/>
      <c r="GU193" s="5"/>
      <c r="GV193" s="5"/>
      <c r="GW193" s="5"/>
      <c r="GX193" s="5"/>
      <c r="GY193" s="5"/>
      <c r="GZ193" s="5"/>
      <c r="HA193" s="5"/>
      <c r="HB193" s="5"/>
      <c r="HC193" s="5"/>
      <c r="HD193" s="5"/>
      <c r="HE193" s="5"/>
      <c r="HF193" s="5"/>
      <c r="HG193" s="5"/>
      <c r="HH193" s="5"/>
      <c r="HI193" s="5"/>
      <c r="HJ193" s="5"/>
      <c r="HK193" s="5"/>
      <c r="HL193" s="5"/>
      <c r="HM193" s="5"/>
      <c r="HN193" s="5"/>
      <c r="HO193" s="5"/>
      <c r="HP193" s="5"/>
      <c r="HQ193" s="5"/>
      <c r="HR193" s="5"/>
      <c r="HS193" s="5"/>
      <c r="HT193" s="5"/>
      <c r="HU193" s="5"/>
      <c r="HV193" s="5"/>
      <c r="HW193" s="5"/>
      <c r="HX193" s="5"/>
      <c r="HY193" s="5"/>
      <c r="HZ193" s="5"/>
      <c r="IA193" s="5"/>
      <c r="IB193" s="5"/>
      <c r="IC193" s="5"/>
      <c r="ID193" s="5"/>
      <c r="IE193" s="5"/>
      <c r="IF193" s="5"/>
      <c r="IG193" s="5"/>
      <c r="IH193" s="5"/>
      <c r="II193" s="5"/>
      <c r="IJ193" s="5"/>
      <c r="IK193" s="5"/>
      <c r="IL193" s="5"/>
      <c r="IM193" s="5"/>
      <c r="IN193" s="5"/>
      <c r="IO193" s="5"/>
      <c r="IP193" s="5"/>
      <c r="IQ193" s="5"/>
      <c r="IR193" s="5"/>
      <c r="IS193" s="5"/>
      <c r="IT193" s="5"/>
      <c r="IU193" s="5"/>
      <c r="IV193" s="5"/>
      <c r="IW193" s="5"/>
      <c r="IX193" s="5"/>
      <c r="IY193" s="5"/>
      <c r="IZ193" s="5"/>
      <c r="JA193" s="5"/>
      <c r="JB193" s="5"/>
      <c r="JC193" s="5"/>
      <c r="JD193" s="5"/>
    </row>
    <row r="194" spans="1:264" ht="70.5" hidden="1" customHeight="1" x14ac:dyDescent="0.3">
      <c r="A194" s="15" t="s">
        <v>25</v>
      </c>
      <c r="B194" s="15" t="s">
        <v>1365</v>
      </c>
      <c r="C194" s="15" t="s">
        <v>397</v>
      </c>
      <c r="D194" s="15" t="s">
        <v>19</v>
      </c>
      <c r="E194" s="18" t="s">
        <v>109</v>
      </c>
      <c r="F194" s="18" t="s">
        <v>109</v>
      </c>
      <c r="G194" s="18" t="s">
        <v>109</v>
      </c>
      <c r="H194" s="18" t="s">
        <v>109</v>
      </c>
      <c r="I194" s="18" t="s">
        <v>19</v>
      </c>
      <c r="J194" s="18" t="s">
        <v>19</v>
      </c>
      <c r="K194" s="72" t="s">
        <v>19</v>
      </c>
      <c r="L194" s="72" t="s">
        <v>19</v>
      </c>
      <c r="M194" s="15" t="s">
        <v>398</v>
      </c>
      <c r="N194" s="4" t="s">
        <v>1195</v>
      </c>
      <c r="O194" s="15"/>
      <c r="P194" s="4" t="s">
        <v>1602</v>
      </c>
      <c r="S194" s="15" t="e" cm="1">
        <f t="array" aca="1" ref="S194" ca="1">COMMONMARKETCOUNT(H194:AV194)</f>
        <v>#NAME?</v>
      </c>
      <c r="T194" s="6" t="e" cm="1">
        <f t="array" aca="1" ref="T194" ca="1">AUTOMATEDCOUNT(H194:AV194)</f>
        <v>#NAME?</v>
      </c>
      <c r="V194" s="18" t="s">
        <v>109</v>
      </c>
      <c r="W194" s="18" t="s">
        <v>109</v>
      </c>
      <c r="X194" s="18" t="s">
        <v>109</v>
      </c>
      <c r="Y194" s="18" t="s">
        <v>109</v>
      </c>
      <c r="Z194" s="18" t="s">
        <v>109</v>
      </c>
      <c r="AA194" s="18" t="s">
        <v>19</v>
      </c>
      <c r="AB194" s="18" t="s">
        <v>19</v>
      </c>
      <c r="AC194" s="18" t="s">
        <v>19</v>
      </c>
      <c r="AD194" s="18" t="s">
        <v>19</v>
      </c>
      <c r="AE194" s="18" t="s">
        <v>19</v>
      </c>
      <c r="AF194" s="18" t="s">
        <v>19</v>
      </c>
      <c r="AG194" s="18" t="s">
        <v>19</v>
      </c>
      <c r="AH194" s="18" t="s">
        <v>19</v>
      </c>
      <c r="AI194" s="18" t="s">
        <v>19</v>
      </c>
      <c r="AJ194" s="18" t="s">
        <v>19</v>
      </c>
      <c r="AK194" s="18" t="s">
        <v>19</v>
      </c>
      <c r="AL194" s="18" t="s">
        <v>19</v>
      </c>
      <c r="AM194" s="18" t="s">
        <v>19</v>
      </c>
      <c r="AN194" s="18" t="s">
        <v>19</v>
      </c>
      <c r="AO194" s="18" t="s">
        <v>19</v>
      </c>
      <c r="AP194" s="18" t="s">
        <v>19</v>
      </c>
      <c r="AQ194" s="18" t="s">
        <v>19</v>
      </c>
      <c r="AR194" s="18" t="s">
        <v>19</v>
      </c>
      <c r="AS194" s="18" t="s">
        <v>19</v>
      </c>
      <c r="AT194" s="18" t="s">
        <v>19</v>
      </c>
      <c r="AU194" s="18" t="s">
        <v>3153</v>
      </c>
      <c r="AV194" s="36" t="s">
        <v>19</v>
      </c>
      <c r="AW194" s="5"/>
      <c r="AX194" s="5"/>
      <c r="AY194" s="5"/>
      <c r="AZ194" s="5"/>
      <c r="BA194" s="5"/>
      <c r="BB194" s="5"/>
      <c r="BC194" s="5"/>
      <c r="BD194" s="5"/>
      <c r="BE194" s="5"/>
      <c r="BF194" s="5"/>
      <c r="BG194" s="5"/>
      <c r="BH194" s="5"/>
      <c r="BI194" s="5"/>
      <c r="BJ194" s="5"/>
      <c r="BK194" s="5"/>
      <c r="BL194" s="5"/>
      <c r="BM194" s="5"/>
      <c r="BN194" s="5"/>
      <c r="BO194" s="5"/>
      <c r="BP194" s="5"/>
      <c r="BQ194" s="5"/>
      <c r="BR194" s="5"/>
      <c r="BS194" s="5"/>
      <c r="BT194" s="5"/>
      <c r="BU194" s="5"/>
      <c r="BV194" s="5"/>
      <c r="BW194" s="5"/>
      <c r="BX194" s="5"/>
      <c r="BY194" s="5"/>
      <c r="BZ194" s="5"/>
      <c r="CA194" s="5"/>
      <c r="CB194" s="5"/>
      <c r="CC194" s="5"/>
      <c r="CD194" s="5"/>
      <c r="CE194" s="5"/>
      <c r="CF194" s="5"/>
      <c r="CG194" s="5"/>
      <c r="CH194" s="5"/>
      <c r="CI194" s="5"/>
      <c r="CJ194" s="5"/>
      <c r="CK194" s="5"/>
      <c r="CL194" s="5"/>
      <c r="CM194" s="5"/>
      <c r="CN194" s="5"/>
      <c r="CO194" s="5"/>
      <c r="CP194" s="5"/>
      <c r="CQ194" s="5"/>
      <c r="CR194" s="5"/>
      <c r="CS194" s="5"/>
      <c r="CT194" s="5"/>
      <c r="CU194" s="5"/>
      <c r="CV194" s="5"/>
      <c r="CW194" s="5"/>
      <c r="CX194" s="5"/>
      <c r="CY194" s="5"/>
      <c r="CZ194" s="5"/>
      <c r="DA194" s="5"/>
      <c r="DB194" s="5"/>
      <c r="DC194" s="5"/>
      <c r="DD194" s="5"/>
      <c r="DE194" s="5"/>
      <c r="DF194" s="5"/>
      <c r="DG194" s="5"/>
      <c r="DH194" s="5"/>
      <c r="DI194" s="5"/>
      <c r="DJ194" s="5"/>
      <c r="DK194" s="5"/>
      <c r="DL194" s="5"/>
      <c r="DM194" s="5"/>
      <c r="DN194" s="5"/>
      <c r="DO194" s="5"/>
      <c r="DP194" s="5"/>
      <c r="DQ194" s="5"/>
      <c r="DR194" s="5"/>
      <c r="DS194" s="5"/>
      <c r="DT194" s="5"/>
      <c r="DU194" s="5"/>
      <c r="DV194" s="5"/>
      <c r="DW194" s="5"/>
      <c r="DX194" s="5"/>
      <c r="DY194" s="5"/>
      <c r="DZ194" s="5"/>
      <c r="EA194" s="5"/>
      <c r="EB194" s="5"/>
      <c r="EC194" s="5"/>
      <c r="ED194" s="5"/>
      <c r="EE194" s="5"/>
      <c r="EF194" s="5"/>
      <c r="EG194" s="5"/>
      <c r="EH194" s="5"/>
      <c r="EI194" s="5"/>
      <c r="EJ194" s="5"/>
      <c r="EK194" s="5"/>
      <c r="EL194" s="5"/>
      <c r="EM194" s="5"/>
      <c r="EN194" s="5"/>
      <c r="EO194" s="5"/>
      <c r="EP194" s="5"/>
      <c r="EQ194" s="5"/>
      <c r="ER194" s="5"/>
      <c r="ES194" s="5"/>
      <c r="ET194" s="5"/>
      <c r="EU194" s="5"/>
      <c r="EV194" s="5"/>
      <c r="EW194" s="5"/>
      <c r="EX194" s="5"/>
      <c r="EY194" s="5"/>
      <c r="EZ194" s="5"/>
      <c r="FA194" s="5"/>
      <c r="FB194" s="5"/>
      <c r="FC194" s="5"/>
      <c r="FD194" s="5"/>
      <c r="FE194" s="5"/>
      <c r="FF194" s="5"/>
      <c r="FG194" s="5"/>
      <c r="FH194" s="5"/>
      <c r="FI194" s="5"/>
      <c r="FJ194" s="5"/>
      <c r="FK194" s="5"/>
      <c r="FL194" s="5"/>
      <c r="FM194" s="5"/>
      <c r="FN194" s="5"/>
      <c r="FO194" s="5"/>
      <c r="FP194" s="5"/>
      <c r="FQ194" s="5"/>
      <c r="FR194" s="5"/>
      <c r="FS194" s="5"/>
      <c r="FT194" s="5"/>
      <c r="FU194" s="5"/>
      <c r="FV194" s="5"/>
      <c r="FW194" s="5"/>
      <c r="FX194" s="5"/>
      <c r="FY194" s="5"/>
      <c r="FZ194" s="5"/>
      <c r="GA194" s="5"/>
      <c r="GB194" s="5"/>
      <c r="GC194" s="5"/>
      <c r="GD194" s="5"/>
      <c r="GE194" s="5"/>
      <c r="GF194" s="5"/>
      <c r="GG194" s="5"/>
      <c r="GH194" s="5"/>
      <c r="GI194" s="5"/>
      <c r="GJ194" s="5"/>
      <c r="GK194" s="5"/>
      <c r="GL194" s="5"/>
      <c r="GM194" s="5"/>
      <c r="GN194" s="5"/>
      <c r="GO194" s="5"/>
      <c r="GP194" s="5"/>
      <c r="GQ194" s="5"/>
      <c r="GR194" s="5"/>
      <c r="GS194" s="5"/>
      <c r="GT194" s="5"/>
      <c r="GU194" s="5"/>
      <c r="GV194" s="5"/>
      <c r="GW194" s="5"/>
      <c r="GX194" s="5"/>
      <c r="GY194" s="5"/>
      <c r="GZ194" s="5"/>
      <c r="HA194" s="5"/>
      <c r="HB194" s="5"/>
      <c r="HC194" s="5"/>
      <c r="HD194" s="5"/>
      <c r="HE194" s="5"/>
      <c r="HF194" s="5"/>
      <c r="HG194" s="5"/>
      <c r="HH194" s="5"/>
      <c r="HI194" s="5"/>
      <c r="HJ194" s="5"/>
      <c r="HK194" s="5"/>
      <c r="HL194" s="5"/>
      <c r="HM194" s="5"/>
      <c r="HN194" s="5"/>
      <c r="HO194" s="5"/>
      <c r="HP194" s="5"/>
      <c r="HQ194" s="5"/>
      <c r="HR194" s="5"/>
      <c r="HS194" s="5"/>
      <c r="HT194" s="5"/>
      <c r="HU194" s="5"/>
      <c r="HV194" s="5"/>
      <c r="HW194" s="5"/>
      <c r="HX194" s="5"/>
      <c r="HY194" s="5"/>
      <c r="HZ194" s="5"/>
      <c r="IA194" s="5"/>
      <c r="IB194" s="5"/>
      <c r="IC194" s="5"/>
      <c r="ID194" s="5"/>
      <c r="IE194" s="5"/>
      <c r="IF194" s="5"/>
      <c r="IG194" s="5"/>
      <c r="IH194" s="5"/>
      <c r="II194" s="5"/>
      <c r="IJ194" s="5"/>
      <c r="IK194" s="5"/>
      <c r="IL194" s="5"/>
      <c r="IM194" s="5"/>
      <c r="IN194" s="5"/>
      <c r="IO194" s="5"/>
      <c r="IP194" s="5"/>
      <c r="IQ194" s="5"/>
      <c r="IR194" s="5"/>
      <c r="IS194" s="5"/>
      <c r="IT194" s="5"/>
      <c r="IU194" s="5"/>
      <c r="IV194" s="5"/>
      <c r="IW194" s="5"/>
      <c r="IX194" s="5"/>
      <c r="IY194" s="5"/>
      <c r="IZ194" s="5"/>
      <c r="JA194" s="5"/>
      <c r="JB194" s="5"/>
      <c r="JC194" s="5"/>
      <c r="JD194" s="5"/>
    </row>
    <row r="195" spans="1:264" ht="70.5" hidden="1" customHeight="1" x14ac:dyDescent="0.3">
      <c r="A195" s="15" t="s">
        <v>25</v>
      </c>
      <c r="B195" s="15" t="s">
        <v>1365</v>
      </c>
      <c r="C195" s="15" t="s">
        <v>399</v>
      </c>
      <c r="D195" s="15" t="s">
        <v>19</v>
      </c>
      <c r="E195" s="18" t="s">
        <v>109</v>
      </c>
      <c r="F195" s="18" t="s">
        <v>109</v>
      </c>
      <c r="G195" s="18" t="s">
        <v>109</v>
      </c>
      <c r="H195" s="18" t="s">
        <v>109</v>
      </c>
      <c r="I195" s="18" t="s">
        <v>19</v>
      </c>
      <c r="J195" s="18" t="s">
        <v>19</v>
      </c>
      <c r="K195" s="72" t="s">
        <v>19</v>
      </c>
      <c r="L195" s="72" t="s">
        <v>19</v>
      </c>
      <c r="M195" s="15" t="s">
        <v>400</v>
      </c>
      <c r="N195" s="4" t="s">
        <v>1196</v>
      </c>
      <c r="O195" s="15"/>
      <c r="P195" s="4" t="s">
        <v>2148</v>
      </c>
      <c r="S195" s="15" t="e" cm="1">
        <f t="array" aca="1" ref="S195" ca="1">COMMONMARKETCOUNT(H195:AV195)</f>
        <v>#NAME?</v>
      </c>
      <c r="T195" s="6" t="e" cm="1">
        <f t="array" aca="1" ref="T195" ca="1">AUTOMATEDCOUNT(H195:AV195)</f>
        <v>#NAME?</v>
      </c>
      <c r="V195" s="18" t="s">
        <v>109</v>
      </c>
      <c r="W195" s="18" t="s">
        <v>109</v>
      </c>
      <c r="X195" s="18" t="s">
        <v>109</v>
      </c>
      <c r="Y195" s="18" t="s">
        <v>109</v>
      </c>
      <c r="Z195" s="18" t="s">
        <v>109</v>
      </c>
      <c r="AA195" s="18" t="s">
        <v>19</v>
      </c>
      <c r="AB195" s="18" t="s">
        <v>19</v>
      </c>
      <c r="AC195" s="18" t="s">
        <v>19</v>
      </c>
      <c r="AD195" s="18" t="s">
        <v>19</v>
      </c>
      <c r="AE195" s="18" t="s">
        <v>19</v>
      </c>
      <c r="AF195" s="18" t="s">
        <v>19</v>
      </c>
      <c r="AG195" s="18" t="s">
        <v>19</v>
      </c>
      <c r="AH195" s="18" t="s">
        <v>19</v>
      </c>
      <c r="AI195" s="18" t="s">
        <v>19</v>
      </c>
      <c r="AJ195" s="18" t="s">
        <v>19</v>
      </c>
      <c r="AK195" s="18" t="s">
        <v>19</v>
      </c>
      <c r="AL195" s="18" t="s">
        <v>19</v>
      </c>
      <c r="AM195" s="18" t="s">
        <v>19</v>
      </c>
      <c r="AN195" s="18" t="s">
        <v>19</v>
      </c>
      <c r="AO195" s="18" t="s">
        <v>19</v>
      </c>
      <c r="AP195" s="18" t="s">
        <v>19</v>
      </c>
      <c r="AQ195" s="18" t="s">
        <v>19</v>
      </c>
      <c r="AR195" s="18" t="s">
        <v>19</v>
      </c>
      <c r="AS195" s="18" t="s">
        <v>19</v>
      </c>
      <c r="AT195" s="18" t="s">
        <v>19</v>
      </c>
      <c r="AU195" s="18" t="s">
        <v>3153</v>
      </c>
      <c r="AV195" s="36" t="s">
        <v>19</v>
      </c>
    </row>
    <row r="196" spans="1:264" ht="70.5" hidden="1" customHeight="1" x14ac:dyDescent="0.3">
      <c r="A196" s="15" t="s">
        <v>25</v>
      </c>
      <c r="B196" s="15" t="s">
        <v>1279</v>
      </c>
      <c r="C196" s="15" t="s">
        <v>401</v>
      </c>
      <c r="D196" s="15" t="s">
        <v>19</v>
      </c>
      <c r="E196" s="18" t="s">
        <v>109</v>
      </c>
      <c r="F196" s="18" t="s">
        <v>109</v>
      </c>
      <c r="G196" s="18" t="s">
        <v>109</v>
      </c>
      <c r="H196" s="18" t="s">
        <v>109</v>
      </c>
      <c r="I196" s="18" t="s">
        <v>19</v>
      </c>
      <c r="J196" s="18" t="s">
        <v>19</v>
      </c>
      <c r="K196" s="29" t="s">
        <v>19</v>
      </c>
      <c r="L196" s="29" t="s">
        <v>3195</v>
      </c>
      <c r="M196" s="15" t="s">
        <v>1459</v>
      </c>
      <c r="N196" s="4" t="s">
        <v>1460</v>
      </c>
      <c r="O196" s="15"/>
      <c r="P196" s="4" t="s">
        <v>1729</v>
      </c>
      <c r="S196" s="15" t="e" cm="1">
        <f t="array" aca="1" ref="S196" ca="1">COMMONMARKETCOUNT(H196:AV196)</f>
        <v>#NAME?</v>
      </c>
      <c r="T196" s="6" t="e" cm="1">
        <f t="array" aca="1" ref="T196" ca="1">AUTOMATEDCOUNT(H196:AV196)</f>
        <v>#NAME?</v>
      </c>
      <c r="V196" s="18" t="s">
        <v>109</v>
      </c>
      <c r="W196" s="18" t="s">
        <v>109</v>
      </c>
      <c r="X196" s="18" t="s">
        <v>109</v>
      </c>
      <c r="Y196" s="18" t="s">
        <v>109</v>
      </c>
      <c r="Z196" s="18" t="s">
        <v>109</v>
      </c>
      <c r="AA196" s="18" t="s">
        <v>19</v>
      </c>
      <c r="AB196" s="18" t="s">
        <v>19</v>
      </c>
      <c r="AC196" s="18" t="s">
        <v>19</v>
      </c>
      <c r="AD196" s="18" t="s">
        <v>19</v>
      </c>
      <c r="AE196" s="18" t="s">
        <v>19</v>
      </c>
      <c r="AF196" s="18" t="s">
        <v>19</v>
      </c>
      <c r="AG196" s="18" t="s">
        <v>109</v>
      </c>
      <c r="AH196" s="18" t="s">
        <v>19</v>
      </c>
      <c r="AI196" s="18" t="s">
        <v>19</v>
      </c>
      <c r="AJ196" s="18" t="s">
        <v>109</v>
      </c>
      <c r="AK196" s="18" t="s">
        <v>109</v>
      </c>
      <c r="AL196" s="18" t="s">
        <v>109</v>
      </c>
      <c r="AM196" s="18" t="s">
        <v>109</v>
      </c>
      <c r="AN196" s="18" t="s">
        <v>109</v>
      </c>
      <c r="AO196" s="18" t="s">
        <v>109</v>
      </c>
      <c r="AP196" s="18" t="s">
        <v>109</v>
      </c>
      <c r="AQ196" s="18" t="s">
        <v>109</v>
      </c>
      <c r="AR196" s="18" t="s">
        <v>109</v>
      </c>
      <c r="AS196" s="18" t="s">
        <v>109</v>
      </c>
      <c r="AT196" s="18" t="s">
        <v>109</v>
      </c>
      <c r="AU196" s="18" t="s">
        <v>109</v>
      </c>
      <c r="AV196" s="36" t="s">
        <v>109</v>
      </c>
    </row>
    <row r="197" spans="1:264" ht="70.5" hidden="1" customHeight="1" x14ac:dyDescent="0.3">
      <c r="A197" s="15" t="s">
        <v>315</v>
      </c>
      <c r="B197" s="15" t="s">
        <v>174</v>
      </c>
      <c r="C197" s="15" t="s">
        <v>402</v>
      </c>
      <c r="D197" s="15" t="s">
        <v>19</v>
      </c>
      <c r="E197" s="18" t="s">
        <v>109</v>
      </c>
      <c r="F197" s="18" t="s">
        <v>109</v>
      </c>
      <c r="G197" s="18" t="s">
        <v>109</v>
      </c>
      <c r="H197" s="18" t="s">
        <v>109</v>
      </c>
      <c r="I197" s="18" t="s">
        <v>19</v>
      </c>
      <c r="J197" s="18" t="s">
        <v>19</v>
      </c>
      <c r="K197" s="18" t="s">
        <v>19</v>
      </c>
      <c r="L197" s="18" t="s">
        <v>19</v>
      </c>
      <c r="M197" s="15" t="s">
        <v>1730</v>
      </c>
      <c r="N197" s="4" t="s">
        <v>1197</v>
      </c>
      <c r="O197" s="15"/>
      <c r="P197" s="4" t="s">
        <v>403</v>
      </c>
      <c r="S197" s="15" t="e" cm="1">
        <f t="array" aca="1" ref="S197" ca="1">COMMONMARKETCOUNT(H197:AV197)</f>
        <v>#NAME?</v>
      </c>
      <c r="T197" s="6" t="e" cm="1">
        <f t="array" aca="1" ref="T197" ca="1">AUTOMATEDCOUNT(H197:AV197)</f>
        <v>#NAME?</v>
      </c>
      <c r="V197" s="18" t="s">
        <v>109</v>
      </c>
      <c r="W197" s="18" t="s">
        <v>109</v>
      </c>
      <c r="X197" s="18" t="s">
        <v>109</v>
      </c>
      <c r="Y197" s="18" t="s">
        <v>109</v>
      </c>
      <c r="Z197" s="18" t="s">
        <v>109</v>
      </c>
      <c r="AA197" s="18" t="s">
        <v>19</v>
      </c>
      <c r="AB197" s="18" t="s">
        <v>19</v>
      </c>
      <c r="AC197" s="18" t="s">
        <v>19</v>
      </c>
      <c r="AD197" s="18" t="s">
        <v>19</v>
      </c>
      <c r="AE197" s="18" t="s">
        <v>19</v>
      </c>
      <c r="AF197" s="18" t="s">
        <v>19</v>
      </c>
      <c r="AG197" s="18" t="s">
        <v>19</v>
      </c>
      <c r="AH197" s="18" t="s">
        <v>19</v>
      </c>
      <c r="AI197" s="18" t="s">
        <v>19</v>
      </c>
      <c r="AJ197" s="18" t="s">
        <v>19</v>
      </c>
      <c r="AK197" s="18" t="s">
        <v>19</v>
      </c>
      <c r="AL197" s="18" t="s">
        <v>19</v>
      </c>
      <c r="AM197" s="18" t="s">
        <v>19</v>
      </c>
      <c r="AN197" s="18" t="s">
        <v>19</v>
      </c>
      <c r="AO197" s="18" t="s">
        <v>19</v>
      </c>
      <c r="AP197" s="18" t="s">
        <v>19</v>
      </c>
      <c r="AQ197" s="18" t="s">
        <v>19</v>
      </c>
      <c r="AR197" s="18" t="s">
        <v>19</v>
      </c>
      <c r="AS197" s="18" t="s">
        <v>19</v>
      </c>
      <c r="AT197" s="18" t="s">
        <v>19</v>
      </c>
      <c r="AU197" s="18" t="s">
        <v>3153</v>
      </c>
      <c r="AV197" s="36" t="s">
        <v>19</v>
      </c>
      <c r="AW197" s="5"/>
      <c r="AX197" s="5"/>
      <c r="AY197" s="5"/>
      <c r="AZ197" s="5"/>
      <c r="BA197" s="5"/>
      <c r="BB197" s="5"/>
      <c r="BC197" s="5"/>
      <c r="BD197" s="5"/>
      <c r="BE197" s="5"/>
      <c r="BF197" s="5"/>
      <c r="BG197" s="5"/>
      <c r="BH197" s="5"/>
      <c r="BI197" s="5"/>
      <c r="BJ197" s="5"/>
      <c r="BK197" s="5"/>
      <c r="BL197" s="5"/>
      <c r="BM197" s="5"/>
      <c r="BN197" s="5"/>
      <c r="BO197" s="5"/>
      <c r="BP197" s="5"/>
      <c r="BQ197" s="5"/>
      <c r="BR197" s="5"/>
      <c r="BS197" s="5"/>
      <c r="BT197" s="5"/>
      <c r="BU197" s="5"/>
      <c r="BV197" s="5"/>
      <c r="BW197" s="5"/>
      <c r="BX197" s="5"/>
      <c r="BY197" s="5"/>
      <c r="BZ197" s="5"/>
      <c r="CA197" s="5"/>
      <c r="CB197" s="5"/>
      <c r="CC197" s="5"/>
      <c r="CD197" s="5"/>
      <c r="CE197" s="5"/>
      <c r="CF197" s="5"/>
      <c r="CG197" s="5"/>
      <c r="CH197" s="5"/>
      <c r="CI197" s="5"/>
      <c r="CJ197" s="5"/>
      <c r="CK197" s="5"/>
      <c r="CL197" s="5"/>
      <c r="CM197" s="5"/>
      <c r="CN197" s="5"/>
      <c r="CO197" s="5"/>
      <c r="CP197" s="5"/>
      <c r="CQ197" s="5"/>
      <c r="CR197" s="5"/>
      <c r="CS197" s="5"/>
      <c r="CT197" s="5"/>
      <c r="CU197" s="5"/>
      <c r="CV197" s="5"/>
      <c r="CW197" s="5"/>
      <c r="CX197" s="5"/>
      <c r="CY197" s="5"/>
      <c r="CZ197" s="5"/>
      <c r="DA197" s="5"/>
      <c r="DB197" s="5"/>
      <c r="DC197" s="5"/>
      <c r="DD197" s="5"/>
      <c r="DE197" s="5"/>
      <c r="DF197" s="5"/>
      <c r="DG197" s="5"/>
      <c r="DH197" s="5"/>
      <c r="DI197" s="5"/>
      <c r="DJ197" s="5"/>
      <c r="DK197" s="5"/>
      <c r="DL197" s="5"/>
      <c r="DM197" s="5"/>
      <c r="DN197" s="5"/>
      <c r="DO197" s="5"/>
      <c r="DP197" s="5"/>
      <c r="DQ197" s="5"/>
      <c r="DR197" s="5"/>
      <c r="DS197" s="5"/>
      <c r="DT197" s="5"/>
      <c r="DU197" s="5"/>
      <c r="DV197" s="5"/>
      <c r="DW197" s="5"/>
      <c r="DX197" s="5"/>
      <c r="DY197" s="5"/>
      <c r="DZ197" s="5"/>
      <c r="EA197" s="5"/>
      <c r="EB197" s="5"/>
      <c r="EC197" s="5"/>
      <c r="ED197" s="5"/>
      <c r="EE197" s="5"/>
      <c r="EF197" s="5"/>
      <c r="EG197" s="5"/>
      <c r="EH197" s="5"/>
      <c r="EI197" s="5"/>
      <c r="EJ197" s="5"/>
      <c r="EK197" s="5"/>
      <c r="EL197" s="5"/>
      <c r="EM197" s="5"/>
      <c r="EN197" s="5"/>
      <c r="EO197" s="5"/>
      <c r="EP197" s="5"/>
      <c r="EQ197" s="5"/>
      <c r="ER197" s="5"/>
      <c r="ES197" s="5"/>
      <c r="ET197" s="5"/>
      <c r="EU197" s="5"/>
      <c r="EV197" s="5"/>
      <c r="EW197" s="5"/>
      <c r="EX197" s="5"/>
      <c r="EY197" s="5"/>
      <c r="EZ197" s="5"/>
      <c r="FA197" s="5"/>
      <c r="FB197" s="5"/>
      <c r="FC197" s="5"/>
      <c r="FD197" s="5"/>
      <c r="FE197" s="5"/>
      <c r="FF197" s="5"/>
      <c r="FG197" s="5"/>
      <c r="FH197" s="5"/>
      <c r="FI197" s="5"/>
      <c r="FJ197" s="5"/>
      <c r="FK197" s="5"/>
      <c r="FL197" s="5"/>
      <c r="FM197" s="5"/>
      <c r="FN197" s="5"/>
      <c r="FO197" s="5"/>
      <c r="FP197" s="5"/>
      <c r="FQ197" s="5"/>
      <c r="FR197" s="5"/>
      <c r="FS197" s="5"/>
      <c r="FT197" s="5"/>
      <c r="FU197" s="5"/>
      <c r="FV197" s="5"/>
      <c r="FW197" s="5"/>
      <c r="FX197" s="5"/>
      <c r="FY197" s="5"/>
      <c r="FZ197" s="5"/>
      <c r="GA197" s="5"/>
      <c r="GB197" s="5"/>
      <c r="GC197" s="5"/>
      <c r="GD197" s="5"/>
      <c r="GE197" s="5"/>
      <c r="GF197" s="5"/>
      <c r="GG197" s="5"/>
      <c r="GH197" s="5"/>
      <c r="GI197" s="5"/>
      <c r="GJ197" s="5"/>
      <c r="GK197" s="5"/>
      <c r="GL197" s="5"/>
      <c r="GM197" s="5"/>
      <c r="GN197" s="5"/>
      <c r="GO197" s="5"/>
      <c r="GP197" s="5"/>
      <c r="GQ197" s="5"/>
      <c r="GR197" s="5"/>
      <c r="GS197" s="5"/>
      <c r="GT197" s="5"/>
      <c r="GU197" s="5"/>
      <c r="GV197" s="5"/>
      <c r="GW197" s="5"/>
      <c r="GX197" s="5"/>
      <c r="GY197" s="5"/>
      <c r="GZ197" s="5"/>
      <c r="HA197" s="5"/>
      <c r="HB197" s="5"/>
      <c r="HC197" s="5"/>
      <c r="HD197" s="5"/>
      <c r="HE197" s="5"/>
      <c r="HF197" s="5"/>
      <c r="HG197" s="5"/>
      <c r="HH197" s="5"/>
      <c r="HI197" s="5"/>
      <c r="HJ197" s="5"/>
      <c r="HK197" s="5"/>
      <c r="HL197" s="5"/>
      <c r="HM197" s="5"/>
      <c r="HN197" s="5"/>
      <c r="HO197" s="5"/>
      <c r="HP197" s="5"/>
      <c r="HQ197" s="5"/>
      <c r="HR197" s="5"/>
      <c r="HS197" s="5"/>
      <c r="HT197" s="5"/>
      <c r="HU197" s="5"/>
      <c r="HV197" s="5"/>
      <c r="HW197" s="5"/>
      <c r="HX197" s="5"/>
      <c r="HY197" s="5"/>
      <c r="HZ197" s="5"/>
      <c r="IA197" s="5"/>
      <c r="IB197" s="5"/>
      <c r="IC197" s="5"/>
      <c r="ID197" s="5"/>
      <c r="IE197" s="5"/>
      <c r="IF197" s="5"/>
      <c r="IG197" s="5"/>
      <c r="IH197" s="5"/>
      <c r="II197" s="5"/>
      <c r="IJ197" s="5"/>
      <c r="IK197" s="5"/>
      <c r="IL197" s="5"/>
      <c r="IM197" s="5"/>
      <c r="IN197" s="5"/>
      <c r="IO197" s="5"/>
      <c r="IP197" s="5"/>
      <c r="IQ197" s="5"/>
      <c r="IR197" s="5"/>
      <c r="IS197" s="5"/>
      <c r="IT197" s="5"/>
      <c r="IU197" s="5"/>
      <c r="IV197" s="5"/>
      <c r="IW197" s="5"/>
      <c r="IX197" s="5"/>
      <c r="IY197" s="5"/>
      <c r="IZ197" s="5"/>
      <c r="JA197" s="5"/>
      <c r="JB197" s="5"/>
      <c r="JC197" s="5"/>
      <c r="JD197" s="5"/>
    </row>
    <row r="198" spans="1:264" ht="70.5" hidden="1" customHeight="1" x14ac:dyDescent="0.3">
      <c r="A198" s="15" t="s">
        <v>25</v>
      </c>
      <c r="B198" s="15" t="s">
        <v>1365</v>
      </c>
      <c r="C198" s="15" t="s">
        <v>404</v>
      </c>
      <c r="D198" s="15" t="s">
        <v>19</v>
      </c>
      <c r="E198" s="70" t="s">
        <v>19</v>
      </c>
      <c r="F198" s="70" t="s">
        <v>19</v>
      </c>
      <c r="G198" s="15" t="s">
        <v>109</v>
      </c>
      <c r="H198" s="15" t="s">
        <v>109</v>
      </c>
      <c r="I198" s="18" t="s">
        <v>109</v>
      </c>
      <c r="J198" s="18" t="s">
        <v>109</v>
      </c>
      <c r="K198" s="18" t="s">
        <v>109</v>
      </c>
      <c r="L198" s="18" t="s">
        <v>109</v>
      </c>
      <c r="M198" s="15" t="s">
        <v>1454</v>
      </c>
      <c r="N198" s="4" t="s">
        <v>1453</v>
      </c>
      <c r="O198" s="15"/>
      <c r="P198" s="4" t="s">
        <v>1731</v>
      </c>
      <c r="S198" s="15" t="e" cm="1">
        <f t="array" aca="1" ref="S198" ca="1">COMMONMARKETCOUNT(H198:AV198)</f>
        <v>#NAME?</v>
      </c>
      <c r="T198" s="6" t="e" cm="1">
        <f t="array" aca="1" ref="T198" ca="1">AUTOMATEDCOUNT(H198:AV198)</f>
        <v>#NAME?</v>
      </c>
      <c r="V198" s="15" t="s">
        <v>109</v>
      </c>
      <c r="W198" s="15" t="s">
        <v>109</v>
      </c>
      <c r="X198" s="70" t="s">
        <v>19</v>
      </c>
      <c r="Y198" s="70" t="s">
        <v>19</v>
      </c>
      <c r="Z198" s="70" t="s">
        <v>19</v>
      </c>
      <c r="AA198" s="18" t="s">
        <v>109</v>
      </c>
      <c r="AB198" s="18" t="s">
        <v>109</v>
      </c>
      <c r="AC198" s="18" t="s">
        <v>109</v>
      </c>
      <c r="AD198" s="72" t="s">
        <v>19</v>
      </c>
      <c r="AE198" s="18" t="s">
        <v>19</v>
      </c>
      <c r="AF198" s="18" t="s">
        <v>109</v>
      </c>
      <c r="AG198" s="18" t="s">
        <v>109</v>
      </c>
      <c r="AH198" s="18" t="s">
        <v>109</v>
      </c>
      <c r="AI198" s="18" t="s">
        <v>109</v>
      </c>
      <c r="AJ198" s="18" t="s">
        <v>109</v>
      </c>
      <c r="AK198" s="18" t="s">
        <v>109</v>
      </c>
      <c r="AL198" s="18" t="s">
        <v>109</v>
      </c>
      <c r="AM198" s="18" t="s">
        <v>109</v>
      </c>
      <c r="AN198" s="18" t="s">
        <v>109</v>
      </c>
      <c r="AO198" s="18" t="s">
        <v>109</v>
      </c>
      <c r="AP198" s="18" t="s">
        <v>19</v>
      </c>
      <c r="AQ198" s="18" t="s">
        <v>19</v>
      </c>
      <c r="AR198" s="18" t="s">
        <v>19</v>
      </c>
      <c r="AS198" s="70" t="s">
        <v>19</v>
      </c>
      <c r="AT198" s="72" t="s">
        <v>19</v>
      </c>
      <c r="AU198" s="29" t="s">
        <v>3153</v>
      </c>
      <c r="AV198" s="36" t="s">
        <v>19</v>
      </c>
    </row>
    <row r="199" spans="1:264" ht="70.5" hidden="1" customHeight="1" x14ac:dyDescent="0.3">
      <c r="A199" s="15" t="s">
        <v>18</v>
      </c>
      <c r="B199" s="15" t="s">
        <v>1296</v>
      </c>
      <c r="C199" s="15" t="s">
        <v>405</v>
      </c>
      <c r="D199" s="15" t="s">
        <v>32</v>
      </c>
      <c r="E199" s="18" t="s">
        <v>109</v>
      </c>
      <c r="F199" s="18" t="s">
        <v>109</v>
      </c>
      <c r="G199" s="18" t="s">
        <v>109</v>
      </c>
      <c r="H199" s="18" t="s">
        <v>109</v>
      </c>
      <c r="I199" s="18" t="s">
        <v>19</v>
      </c>
      <c r="J199" s="18" t="s">
        <v>19</v>
      </c>
      <c r="K199" s="18" t="s">
        <v>19</v>
      </c>
      <c r="L199" s="18" t="s">
        <v>19</v>
      </c>
      <c r="M199" s="15" t="s">
        <v>406</v>
      </c>
      <c r="N199" s="4" t="s">
        <v>1198</v>
      </c>
      <c r="O199" s="15"/>
      <c r="P199" s="4" t="s">
        <v>3060</v>
      </c>
      <c r="S199" s="15" t="e" cm="1">
        <f t="array" aca="1" ref="S199" ca="1">COMMONMARKETCOUNT(H199:AV199)</f>
        <v>#NAME?</v>
      </c>
      <c r="T199" s="6" t="e" cm="1">
        <f t="array" aca="1" ref="T199" ca="1">AUTOMATEDCOUNT(H199:AV199)</f>
        <v>#NAME?</v>
      </c>
      <c r="V199" s="18" t="s">
        <v>109</v>
      </c>
      <c r="W199" s="18" t="s">
        <v>109</v>
      </c>
      <c r="X199" s="18" t="s">
        <v>109</v>
      </c>
      <c r="Y199" s="18" t="s">
        <v>109</v>
      </c>
      <c r="Z199" s="18" t="s">
        <v>109</v>
      </c>
      <c r="AA199" s="18" t="s">
        <v>19</v>
      </c>
      <c r="AB199" s="18" t="s">
        <v>19</v>
      </c>
      <c r="AC199" s="18" t="s">
        <v>19</v>
      </c>
      <c r="AD199" s="18" t="s">
        <v>109</v>
      </c>
      <c r="AE199" s="18" t="s">
        <v>109</v>
      </c>
      <c r="AF199" s="18" t="s">
        <v>19</v>
      </c>
      <c r="AG199" s="18" t="s">
        <v>19</v>
      </c>
      <c r="AH199" s="18" t="s">
        <v>19</v>
      </c>
      <c r="AI199" s="18" t="s">
        <v>19</v>
      </c>
      <c r="AJ199" s="18" t="s">
        <v>19</v>
      </c>
      <c r="AK199" s="18" t="s">
        <v>19</v>
      </c>
      <c r="AL199" s="18" t="s">
        <v>19</v>
      </c>
      <c r="AM199" s="18" t="s">
        <v>19</v>
      </c>
      <c r="AN199" s="18" t="s">
        <v>19</v>
      </c>
      <c r="AO199" s="18" t="s">
        <v>19</v>
      </c>
      <c r="AP199" s="18" t="s">
        <v>109</v>
      </c>
      <c r="AQ199" s="18" t="s">
        <v>109</v>
      </c>
      <c r="AR199" s="18" t="s">
        <v>109</v>
      </c>
      <c r="AS199" s="18" t="s">
        <v>109</v>
      </c>
      <c r="AT199" s="18" t="s">
        <v>109</v>
      </c>
      <c r="AU199" s="18" t="s">
        <v>109</v>
      </c>
      <c r="AV199" s="36" t="s">
        <v>109</v>
      </c>
    </row>
    <row r="200" spans="1:264" ht="70.5" hidden="1" customHeight="1" x14ac:dyDescent="0.3">
      <c r="A200" s="15" t="s">
        <v>25</v>
      </c>
      <c r="B200" s="15" t="s">
        <v>239</v>
      </c>
      <c r="C200" s="19" t="s">
        <v>622</v>
      </c>
      <c r="D200" s="15" t="s">
        <v>19</v>
      </c>
      <c r="E200" s="70" t="s">
        <v>19</v>
      </c>
      <c r="F200" s="70" t="s">
        <v>3178</v>
      </c>
      <c r="G200" s="70" t="s">
        <v>19</v>
      </c>
      <c r="H200" s="70" t="s">
        <v>3178</v>
      </c>
      <c r="I200" s="72" t="s">
        <v>19</v>
      </c>
      <c r="J200" s="72" t="s">
        <v>19</v>
      </c>
      <c r="K200" s="18" t="s">
        <v>19</v>
      </c>
      <c r="L200" s="18" t="s">
        <v>19</v>
      </c>
      <c r="M200" s="15" t="s">
        <v>623</v>
      </c>
      <c r="N200" s="15" t="s">
        <v>1832</v>
      </c>
      <c r="O200" s="15"/>
      <c r="P200" s="4" t="s">
        <v>1835</v>
      </c>
      <c r="S200" s="15" t="e" cm="1">
        <f t="array" aca="1" ref="S200" ca="1">COMMONMARKETCOUNT(H200:AV200)</f>
        <v>#NAME?</v>
      </c>
      <c r="T200" s="15" t="e" cm="1">
        <f t="array" aca="1" ref="T200" ca="1">AUTOMATEDCOUNT(H200:AU200)</f>
        <v>#NAME?</v>
      </c>
      <c r="V200" s="15" t="s">
        <v>109</v>
      </c>
      <c r="W200" s="15" t="s">
        <v>109</v>
      </c>
      <c r="X200" s="70" t="s">
        <v>19</v>
      </c>
      <c r="Y200" s="70" t="s">
        <v>19</v>
      </c>
      <c r="Z200" s="70" t="s">
        <v>19</v>
      </c>
      <c r="AA200" s="72" t="s">
        <v>19</v>
      </c>
      <c r="AB200" s="72" t="s">
        <v>19</v>
      </c>
      <c r="AC200" s="72" t="s">
        <v>19</v>
      </c>
      <c r="AD200" s="72" t="s">
        <v>19</v>
      </c>
      <c r="AE200" s="18" t="s">
        <v>19</v>
      </c>
      <c r="AF200" s="15" t="s">
        <v>109</v>
      </c>
      <c r="AG200" s="18" t="s">
        <v>109</v>
      </c>
      <c r="AH200" s="18" t="s">
        <v>109</v>
      </c>
      <c r="AI200" s="18" t="s">
        <v>109</v>
      </c>
      <c r="AJ200" s="18" t="s">
        <v>109</v>
      </c>
      <c r="AK200" s="18" t="s">
        <v>109</v>
      </c>
      <c r="AL200" s="18" t="s">
        <v>109</v>
      </c>
      <c r="AM200" s="18" t="s">
        <v>109</v>
      </c>
      <c r="AN200" s="18" t="s">
        <v>109</v>
      </c>
      <c r="AO200" s="18" t="s">
        <v>109</v>
      </c>
      <c r="AP200" s="18" t="s">
        <v>109</v>
      </c>
      <c r="AQ200" s="18" t="s">
        <v>109</v>
      </c>
      <c r="AR200" s="18" t="s">
        <v>109</v>
      </c>
      <c r="AS200" s="18" t="s">
        <v>109</v>
      </c>
      <c r="AT200" s="18" t="s">
        <v>109</v>
      </c>
      <c r="AU200" s="18" t="s">
        <v>109</v>
      </c>
      <c r="AV200" s="36" t="s">
        <v>109</v>
      </c>
    </row>
    <row r="201" spans="1:264" ht="70.5" hidden="1" customHeight="1" x14ac:dyDescent="0.3">
      <c r="A201" s="15" t="s">
        <v>25</v>
      </c>
      <c r="B201" s="15" t="s">
        <v>1280</v>
      </c>
      <c r="C201" s="15" t="s">
        <v>409</v>
      </c>
      <c r="D201" s="15" t="s">
        <v>19</v>
      </c>
      <c r="E201" s="18" t="s">
        <v>109</v>
      </c>
      <c r="F201" s="18" t="s">
        <v>109</v>
      </c>
      <c r="G201" s="18" t="s">
        <v>109</v>
      </c>
      <c r="H201" s="18" t="s">
        <v>109</v>
      </c>
      <c r="I201" s="18" t="s">
        <v>109</v>
      </c>
      <c r="J201" s="18" t="s">
        <v>109</v>
      </c>
      <c r="K201" s="72" t="s">
        <v>19</v>
      </c>
      <c r="L201" s="29" t="s">
        <v>3200</v>
      </c>
      <c r="M201" s="15" t="s">
        <v>2910</v>
      </c>
      <c r="N201" s="4" t="s">
        <v>1410</v>
      </c>
      <c r="O201" s="15"/>
      <c r="P201" s="4" t="s">
        <v>3061</v>
      </c>
      <c r="S201" s="15" t="e" cm="1">
        <f t="array" aca="1" ref="S201" ca="1">COMMONMARKETCOUNT(H201:AV201)</f>
        <v>#NAME?</v>
      </c>
      <c r="T201" s="6" t="e" cm="1">
        <f t="array" aca="1" ref="T201" ca="1">AUTOMATEDCOUNT(H201:AV201)</f>
        <v>#NAME?</v>
      </c>
      <c r="V201" s="18" t="s">
        <v>109</v>
      </c>
      <c r="W201" s="18" t="s">
        <v>109</v>
      </c>
      <c r="X201" s="18" t="s">
        <v>109</v>
      </c>
      <c r="Y201" s="18" t="s">
        <v>109</v>
      </c>
      <c r="Z201" s="18" t="s">
        <v>109</v>
      </c>
      <c r="AA201" s="18" t="s">
        <v>109</v>
      </c>
      <c r="AB201" s="18" t="s">
        <v>109</v>
      </c>
      <c r="AC201" s="18" t="s">
        <v>109</v>
      </c>
      <c r="AD201" s="18" t="s">
        <v>19</v>
      </c>
      <c r="AE201" s="18" t="s">
        <v>19</v>
      </c>
      <c r="AF201" s="18" t="s">
        <v>19</v>
      </c>
      <c r="AG201" s="18" t="s">
        <v>19</v>
      </c>
      <c r="AH201" s="18" t="s">
        <v>19</v>
      </c>
      <c r="AI201" s="18" t="s">
        <v>19</v>
      </c>
      <c r="AJ201" s="18" t="s">
        <v>19</v>
      </c>
      <c r="AK201" s="18" t="s">
        <v>19</v>
      </c>
      <c r="AL201" s="18" t="s">
        <v>19</v>
      </c>
      <c r="AM201" s="18" t="s">
        <v>109</v>
      </c>
      <c r="AN201" s="18" t="s">
        <v>19</v>
      </c>
      <c r="AO201" s="18" t="s">
        <v>19</v>
      </c>
      <c r="AP201" s="18" t="s">
        <v>109</v>
      </c>
      <c r="AQ201" s="18" t="s">
        <v>109</v>
      </c>
      <c r="AR201" s="18" t="s">
        <v>109</v>
      </c>
      <c r="AS201" s="18" t="s">
        <v>109</v>
      </c>
      <c r="AT201" s="18" t="s">
        <v>109</v>
      </c>
      <c r="AU201" s="18" t="s">
        <v>109</v>
      </c>
      <c r="AV201" s="36" t="s">
        <v>109</v>
      </c>
    </row>
    <row r="202" spans="1:264" ht="70.5" hidden="1" customHeight="1" x14ac:dyDescent="0.3">
      <c r="A202" s="15" t="s">
        <v>25</v>
      </c>
      <c r="B202" s="15" t="s">
        <v>1280</v>
      </c>
      <c r="C202" s="15" t="s">
        <v>410</v>
      </c>
      <c r="D202" s="15" t="s">
        <v>19</v>
      </c>
      <c r="E202" s="18" t="s">
        <v>109</v>
      </c>
      <c r="F202" s="18" t="s">
        <v>109</v>
      </c>
      <c r="G202" s="18" t="s">
        <v>109</v>
      </c>
      <c r="H202" s="18" t="s">
        <v>109</v>
      </c>
      <c r="I202" s="18" t="s">
        <v>109</v>
      </c>
      <c r="J202" s="18" t="s">
        <v>109</v>
      </c>
      <c r="K202" s="72" t="s">
        <v>19</v>
      </c>
      <c r="L202" s="29" t="s">
        <v>3200</v>
      </c>
      <c r="M202" s="15" t="s">
        <v>2911</v>
      </c>
      <c r="N202" s="4" t="s">
        <v>3146</v>
      </c>
      <c r="O202" s="15"/>
      <c r="P202" s="4" t="s">
        <v>3062</v>
      </c>
      <c r="S202" s="15" t="e" cm="1">
        <f t="array" aca="1" ref="S202" ca="1">COMMONMARKETCOUNT(H202:AV202)</f>
        <v>#NAME?</v>
      </c>
      <c r="T202" s="6" t="e" cm="1">
        <f t="array" aca="1" ref="T202" ca="1">AUTOMATEDCOUNT(H202:AV202)</f>
        <v>#NAME?</v>
      </c>
      <c r="V202" s="18" t="s">
        <v>109</v>
      </c>
      <c r="W202" s="18" t="s">
        <v>109</v>
      </c>
      <c r="X202" s="18" t="s">
        <v>109</v>
      </c>
      <c r="Y202" s="18" t="s">
        <v>109</v>
      </c>
      <c r="Z202" s="18" t="s">
        <v>109</v>
      </c>
      <c r="AA202" s="18" t="s">
        <v>109</v>
      </c>
      <c r="AB202" s="18" t="s">
        <v>109</v>
      </c>
      <c r="AC202" s="18" t="s">
        <v>109</v>
      </c>
      <c r="AD202" s="18" t="s">
        <v>109</v>
      </c>
      <c r="AE202" s="18" t="s">
        <v>109</v>
      </c>
      <c r="AF202" s="18" t="s">
        <v>19</v>
      </c>
      <c r="AG202" s="18" t="s">
        <v>19</v>
      </c>
      <c r="AH202" s="18" t="s">
        <v>19</v>
      </c>
      <c r="AI202" s="18" t="s">
        <v>19</v>
      </c>
      <c r="AJ202" s="18" t="s">
        <v>19</v>
      </c>
      <c r="AK202" s="18" t="s">
        <v>19</v>
      </c>
      <c r="AL202" s="18" t="s">
        <v>19</v>
      </c>
      <c r="AM202" s="18" t="s">
        <v>109</v>
      </c>
      <c r="AN202" s="18" t="s">
        <v>19</v>
      </c>
      <c r="AO202" s="18" t="s">
        <v>19</v>
      </c>
      <c r="AP202" s="18" t="s">
        <v>109</v>
      </c>
      <c r="AQ202" s="18" t="s">
        <v>109</v>
      </c>
      <c r="AR202" s="18" t="s">
        <v>109</v>
      </c>
      <c r="AS202" s="18" t="s">
        <v>109</v>
      </c>
      <c r="AT202" s="18" t="s">
        <v>109</v>
      </c>
      <c r="AU202" s="18" t="s">
        <v>109</v>
      </c>
      <c r="AV202" s="36" t="s">
        <v>109</v>
      </c>
    </row>
    <row r="203" spans="1:264" ht="70.5" hidden="1" customHeight="1" x14ac:dyDescent="0.3">
      <c r="A203" s="15" t="s">
        <v>25</v>
      </c>
      <c r="B203" s="15" t="s">
        <v>1280</v>
      </c>
      <c r="C203" s="15" t="s">
        <v>411</v>
      </c>
      <c r="D203" s="15" t="s">
        <v>19</v>
      </c>
      <c r="E203" s="18" t="s">
        <v>109</v>
      </c>
      <c r="F203" s="18" t="s">
        <v>109</v>
      </c>
      <c r="G203" s="18" t="s">
        <v>109</v>
      </c>
      <c r="H203" s="18" t="s">
        <v>109</v>
      </c>
      <c r="I203" s="18" t="s">
        <v>109</v>
      </c>
      <c r="J203" s="18" t="s">
        <v>109</v>
      </c>
      <c r="K203" s="29" t="s">
        <v>19</v>
      </c>
      <c r="L203" s="29" t="s">
        <v>3201</v>
      </c>
      <c r="M203" s="15" t="s">
        <v>2912</v>
      </c>
      <c r="N203" s="4" t="s">
        <v>3147</v>
      </c>
      <c r="O203" s="15"/>
      <c r="P203" s="4" t="s">
        <v>3063</v>
      </c>
      <c r="S203" s="15" t="e" cm="1">
        <f t="array" aca="1" ref="S203" ca="1">COMMONMARKETCOUNT(H203:AV203)</f>
        <v>#NAME?</v>
      </c>
      <c r="T203" s="6" t="e" cm="1">
        <f t="array" aca="1" ref="T203" ca="1">AUTOMATEDCOUNT(H203:AV203)</f>
        <v>#NAME?</v>
      </c>
      <c r="V203" s="18" t="s">
        <v>109</v>
      </c>
      <c r="W203" s="18" t="s">
        <v>109</v>
      </c>
      <c r="X203" s="18" t="s">
        <v>109</v>
      </c>
      <c r="Y203" s="18" t="s">
        <v>109</v>
      </c>
      <c r="Z203" s="18" t="s">
        <v>109</v>
      </c>
      <c r="AA203" s="18" t="s">
        <v>109</v>
      </c>
      <c r="AB203" s="18" t="s">
        <v>109</v>
      </c>
      <c r="AC203" s="18" t="s">
        <v>109</v>
      </c>
      <c r="AD203" s="18" t="s">
        <v>109</v>
      </c>
      <c r="AE203" s="18" t="s">
        <v>109</v>
      </c>
      <c r="AF203" s="18" t="s">
        <v>19</v>
      </c>
      <c r="AG203" s="18" t="s">
        <v>19</v>
      </c>
      <c r="AH203" s="18" t="s">
        <v>19</v>
      </c>
      <c r="AI203" s="18" t="s">
        <v>19</v>
      </c>
      <c r="AJ203" s="18" t="s">
        <v>19</v>
      </c>
      <c r="AK203" s="18" t="s">
        <v>19</v>
      </c>
      <c r="AL203" s="18" t="s">
        <v>19</v>
      </c>
      <c r="AM203" s="18" t="s">
        <v>109</v>
      </c>
      <c r="AN203" s="18" t="s">
        <v>19</v>
      </c>
      <c r="AO203" s="18" t="s">
        <v>19</v>
      </c>
      <c r="AP203" s="18" t="s">
        <v>109</v>
      </c>
      <c r="AQ203" s="18" t="s">
        <v>109</v>
      </c>
      <c r="AR203" s="18" t="s">
        <v>109</v>
      </c>
      <c r="AS203" s="18" t="s">
        <v>109</v>
      </c>
      <c r="AT203" s="18" t="s">
        <v>109</v>
      </c>
      <c r="AU203" s="18" t="s">
        <v>109</v>
      </c>
      <c r="AV203" s="36" t="s">
        <v>109</v>
      </c>
    </row>
    <row r="204" spans="1:264" ht="70.5" hidden="1" customHeight="1" x14ac:dyDescent="0.3">
      <c r="A204" s="15" t="s">
        <v>25</v>
      </c>
      <c r="B204" s="15" t="s">
        <v>1280</v>
      </c>
      <c r="C204" s="15" t="s">
        <v>412</v>
      </c>
      <c r="D204" s="15" t="s">
        <v>19</v>
      </c>
      <c r="E204" s="18" t="s">
        <v>109</v>
      </c>
      <c r="F204" s="18" t="s">
        <v>109</v>
      </c>
      <c r="G204" s="18" t="s">
        <v>109</v>
      </c>
      <c r="H204" s="18" t="s">
        <v>109</v>
      </c>
      <c r="I204" s="18" t="s">
        <v>109</v>
      </c>
      <c r="J204" s="18" t="s">
        <v>109</v>
      </c>
      <c r="K204" s="72" t="s">
        <v>19</v>
      </c>
      <c r="L204" s="29" t="s">
        <v>3200</v>
      </c>
      <c r="M204" s="15" t="s">
        <v>2913</v>
      </c>
      <c r="N204" s="4" t="s">
        <v>3148</v>
      </c>
      <c r="O204" s="15"/>
      <c r="P204" s="4" t="s">
        <v>3064</v>
      </c>
      <c r="S204" s="15" t="e" cm="1">
        <f t="array" aca="1" ref="S204" ca="1">COMMONMARKETCOUNT(H204:AV204)</f>
        <v>#NAME?</v>
      </c>
      <c r="T204" s="6" t="e" cm="1">
        <f t="array" aca="1" ref="T204" ca="1">AUTOMATEDCOUNT(H204:AV204)</f>
        <v>#NAME?</v>
      </c>
      <c r="V204" s="18" t="s">
        <v>109</v>
      </c>
      <c r="W204" s="18" t="s">
        <v>109</v>
      </c>
      <c r="X204" s="18" t="s">
        <v>109</v>
      </c>
      <c r="Y204" s="18" t="s">
        <v>109</v>
      </c>
      <c r="Z204" s="18" t="s">
        <v>109</v>
      </c>
      <c r="AA204" s="18" t="s">
        <v>109</v>
      </c>
      <c r="AB204" s="18" t="s">
        <v>109</v>
      </c>
      <c r="AC204" s="18" t="s">
        <v>109</v>
      </c>
      <c r="AD204" s="18" t="s">
        <v>109</v>
      </c>
      <c r="AE204" s="18" t="s">
        <v>109</v>
      </c>
      <c r="AF204" s="18" t="s">
        <v>19</v>
      </c>
      <c r="AG204" s="18" t="s">
        <v>19</v>
      </c>
      <c r="AH204" s="18" t="s">
        <v>19</v>
      </c>
      <c r="AI204" s="18" t="s">
        <v>19</v>
      </c>
      <c r="AJ204" s="18" t="s">
        <v>19</v>
      </c>
      <c r="AK204" s="18" t="s">
        <v>19</v>
      </c>
      <c r="AL204" s="18" t="s">
        <v>19</v>
      </c>
      <c r="AM204" s="18" t="s">
        <v>109</v>
      </c>
      <c r="AN204" s="18" t="s">
        <v>19</v>
      </c>
      <c r="AO204" s="18" t="s">
        <v>19</v>
      </c>
      <c r="AP204" s="18" t="s">
        <v>109</v>
      </c>
      <c r="AQ204" s="18" t="s">
        <v>109</v>
      </c>
      <c r="AR204" s="18" t="s">
        <v>109</v>
      </c>
      <c r="AS204" s="18" t="s">
        <v>109</v>
      </c>
      <c r="AT204" s="18" t="s">
        <v>109</v>
      </c>
      <c r="AU204" s="18" t="s">
        <v>109</v>
      </c>
      <c r="AV204" s="36" t="s">
        <v>109</v>
      </c>
    </row>
    <row r="205" spans="1:264" ht="70.5" hidden="1" customHeight="1" x14ac:dyDescent="0.3">
      <c r="A205" s="15" t="s">
        <v>25</v>
      </c>
      <c r="B205" s="15" t="s">
        <v>1280</v>
      </c>
      <c r="C205" s="15" t="s">
        <v>413</v>
      </c>
      <c r="D205" s="15" t="s">
        <v>19</v>
      </c>
      <c r="E205" s="18" t="s">
        <v>109</v>
      </c>
      <c r="F205" s="18" t="s">
        <v>109</v>
      </c>
      <c r="G205" s="18" t="s">
        <v>109</v>
      </c>
      <c r="H205" s="18" t="s">
        <v>109</v>
      </c>
      <c r="I205" s="72" t="s">
        <v>19</v>
      </c>
      <c r="J205" s="122" t="s">
        <v>3202</v>
      </c>
      <c r="K205" s="72" t="s">
        <v>19</v>
      </c>
      <c r="L205" s="29" t="s">
        <v>3200</v>
      </c>
      <c r="M205" s="15" t="s">
        <v>2914</v>
      </c>
      <c r="N205" s="4" t="s">
        <v>3149</v>
      </c>
      <c r="O205" s="15"/>
      <c r="P205" s="4" t="s">
        <v>3061</v>
      </c>
      <c r="S205" s="15" t="e" cm="1">
        <f t="array" aca="1" ref="S205" ca="1">COMMONMARKETCOUNT(H205:AV205)</f>
        <v>#NAME?</v>
      </c>
      <c r="T205" s="6" t="e" cm="1">
        <f t="array" aca="1" ref="T205" ca="1">AUTOMATEDCOUNT(H205:AV205)</f>
        <v>#NAME?</v>
      </c>
      <c r="V205" s="18" t="s">
        <v>109</v>
      </c>
      <c r="W205" s="18" t="s">
        <v>109</v>
      </c>
      <c r="X205" s="18" t="s">
        <v>109</v>
      </c>
      <c r="Y205" s="18" t="s">
        <v>109</v>
      </c>
      <c r="Z205" s="18" t="s">
        <v>109</v>
      </c>
      <c r="AA205" s="72" t="s">
        <v>19</v>
      </c>
      <c r="AB205" s="72" t="s">
        <v>19</v>
      </c>
      <c r="AC205" s="72" t="s">
        <v>19</v>
      </c>
      <c r="AD205" s="18" t="s">
        <v>109</v>
      </c>
      <c r="AE205" s="18" t="s">
        <v>109</v>
      </c>
      <c r="AF205" s="18" t="s">
        <v>19</v>
      </c>
      <c r="AG205" s="18" t="s">
        <v>19</v>
      </c>
      <c r="AH205" s="18" t="s">
        <v>19</v>
      </c>
      <c r="AI205" s="18" t="s">
        <v>19</v>
      </c>
      <c r="AJ205" s="18" t="s">
        <v>19</v>
      </c>
      <c r="AK205" s="18" t="s">
        <v>19</v>
      </c>
      <c r="AL205" s="18" t="s">
        <v>19</v>
      </c>
      <c r="AM205" s="18" t="s">
        <v>109</v>
      </c>
      <c r="AN205" s="18" t="s">
        <v>19</v>
      </c>
      <c r="AO205" s="18" t="s">
        <v>19</v>
      </c>
      <c r="AP205" s="18" t="s">
        <v>109</v>
      </c>
      <c r="AQ205" s="18" t="s">
        <v>109</v>
      </c>
      <c r="AR205" s="18" t="s">
        <v>109</v>
      </c>
      <c r="AS205" s="18" t="s">
        <v>109</v>
      </c>
      <c r="AT205" s="18" t="s">
        <v>109</v>
      </c>
      <c r="AU205" s="18" t="s">
        <v>109</v>
      </c>
      <c r="AV205" s="36" t="s">
        <v>109</v>
      </c>
    </row>
    <row r="206" spans="1:264" ht="70.5" hidden="1" customHeight="1" x14ac:dyDescent="0.3">
      <c r="A206" s="15" t="s">
        <v>25</v>
      </c>
      <c r="B206" s="15" t="s">
        <v>1280</v>
      </c>
      <c r="C206" s="15" t="s">
        <v>414</v>
      </c>
      <c r="D206" s="15" t="s">
        <v>19</v>
      </c>
      <c r="E206" s="18" t="s">
        <v>109</v>
      </c>
      <c r="F206" s="18" t="s">
        <v>109</v>
      </c>
      <c r="G206" s="18" t="s">
        <v>109</v>
      </c>
      <c r="H206" s="18" t="s">
        <v>109</v>
      </c>
      <c r="I206" s="72" t="s">
        <v>19</v>
      </c>
      <c r="J206" s="122" t="s">
        <v>3202</v>
      </c>
      <c r="K206" s="72" t="s">
        <v>19</v>
      </c>
      <c r="L206" s="29" t="s">
        <v>3200</v>
      </c>
      <c r="M206" s="15" t="s">
        <v>2915</v>
      </c>
      <c r="N206" s="4" t="s">
        <v>3150</v>
      </c>
      <c r="O206" s="15"/>
      <c r="P206" s="4" t="s">
        <v>3062</v>
      </c>
      <c r="S206" s="15" t="e" cm="1">
        <f t="array" aca="1" ref="S206" ca="1">COMMONMARKETCOUNT(H206:AV206)</f>
        <v>#NAME?</v>
      </c>
      <c r="T206" s="6" t="e" cm="1">
        <f t="array" aca="1" ref="T206" ca="1">AUTOMATEDCOUNT(H206:AV206)</f>
        <v>#NAME?</v>
      </c>
      <c r="V206" s="18" t="s">
        <v>109</v>
      </c>
      <c r="W206" s="18" t="s">
        <v>109</v>
      </c>
      <c r="X206" s="18" t="s">
        <v>109</v>
      </c>
      <c r="Y206" s="18" t="s">
        <v>109</v>
      </c>
      <c r="Z206" s="18" t="s">
        <v>109</v>
      </c>
      <c r="AA206" s="72" t="s">
        <v>19</v>
      </c>
      <c r="AB206" s="72" t="s">
        <v>19</v>
      </c>
      <c r="AC206" s="72" t="s">
        <v>19</v>
      </c>
      <c r="AD206" s="72" t="s">
        <v>19</v>
      </c>
      <c r="AE206" s="18" t="s">
        <v>19</v>
      </c>
      <c r="AF206" s="18" t="s">
        <v>19</v>
      </c>
      <c r="AG206" s="18" t="s">
        <v>19</v>
      </c>
      <c r="AH206" s="18" t="s">
        <v>19</v>
      </c>
      <c r="AI206" s="18" t="s">
        <v>19</v>
      </c>
      <c r="AJ206" s="18" t="s">
        <v>19</v>
      </c>
      <c r="AK206" s="18" t="s">
        <v>19</v>
      </c>
      <c r="AL206" s="18" t="s">
        <v>19</v>
      </c>
      <c r="AM206" s="18" t="s">
        <v>109</v>
      </c>
      <c r="AN206" s="18" t="s">
        <v>19</v>
      </c>
      <c r="AO206" s="18" t="s">
        <v>19</v>
      </c>
      <c r="AP206" s="18" t="s">
        <v>109</v>
      </c>
      <c r="AQ206" s="18" t="s">
        <v>109</v>
      </c>
      <c r="AR206" s="18" t="s">
        <v>109</v>
      </c>
      <c r="AS206" s="18" t="s">
        <v>109</v>
      </c>
      <c r="AT206" s="18" t="s">
        <v>109</v>
      </c>
      <c r="AU206" s="18" t="s">
        <v>109</v>
      </c>
      <c r="AV206" s="36" t="s">
        <v>109</v>
      </c>
    </row>
    <row r="207" spans="1:264" ht="70.5" hidden="1" customHeight="1" x14ac:dyDescent="0.3">
      <c r="A207" s="15" t="s">
        <v>25</v>
      </c>
      <c r="B207" s="15" t="s">
        <v>1280</v>
      </c>
      <c r="C207" s="15" t="s">
        <v>415</v>
      </c>
      <c r="D207" s="15" t="s">
        <v>19</v>
      </c>
      <c r="E207" s="18" t="s">
        <v>109</v>
      </c>
      <c r="F207" s="18" t="s">
        <v>109</v>
      </c>
      <c r="G207" s="18" t="s">
        <v>109</v>
      </c>
      <c r="H207" s="18" t="s">
        <v>109</v>
      </c>
      <c r="I207" s="72" t="s">
        <v>19</v>
      </c>
      <c r="J207" s="122" t="s">
        <v>3202</v>
      </c>
      <c r="K207" s="29" t="s">
        <v>19</v>
      </c>
      <c r="L207" s="29" t="s">
        <v>3201</v>
      </c>
      <c r="M207" s="15" t="s">
        <v>2916</v>
      </c>
      <c r="N207" s="4" t="s">
        <v>3151</v>
      </c>
      <c r="O207" s="15"/>
      <c r="P207" s="4" t="s">
        <v>3065</v>
      </c>
      <c r="S207" s="15" t="e" cm="1">
        <f t="array" aca="1" ref="S207" ca="1">COMMONMARKETCOUNT(H207:AV207)</f>
        <v>#NAME?</v>
      </c>
      <c r="T207" s="6" t="e" cm="1">
        <f t="array" aca="1" ref="T207" ca="1">AUTOMATEDCOUNT(H207:AV207)</f>
        <v>#NAME?</v>
      </c>
      <c r="V207" s="18" t="s">
        <v>109</v>
      </c>
      <c r="W207" s="18" t="s">
        <v>109</v>
      </c>
      <c r="X207" s="18" t="s">
        <v>109</v>
      </c>
      <c r="Y207" s="18" t="s">
        <v>109</v>
      </c>
      <c r="Z207" s="18" t="s">
        <v>109</v>
      </c>
      <c r="AA207" s="72" t="s">
        <v>19</v>
      </c>
      <c r="AB207" s="72" t="s">
        <v>19</v>
      </c>
      <c r="AC207" s="72" t="s">
        <v>19</v>
      </c>
      <c r="AD207" s="72" t="s">
        <v>19</v>
      </c>
      <c r="AE207" s="18" t="s">
        <v>19</v>
      </c>
      <c r="AF207" s="18" t="s">
        <v>19</v>
      </c>
      <c r="AG207" s="18" t="s">
        <v>19</v>
      </c>
      <c r="AH207" s="18" t="s">
        <v>19</v>
      </c>
      <c r="AI207" s="18" t="s">
        <v>19</v>
      </c>
      <c r="AJ207" s="18" t="s">
        <v>19</v>
      </c>
      <c r="AK207" s="18" t="s">
        <v>19</v>
      </c>
      <c r="AL207" s="18" t="s">
        <v>19</v>
      </c>
      <c r="AM207" s="18" t="s">
        <v>109</v>
      </c>
      <c r="AN207" s="18" t="s">
        <v>19</v>
      </c>
      <c r="AO207" s="18" t="s">
        <v>19</v>
      </c>
      <c r="AP207" s="18" t="s">
        <v>109</v>
      </c>
      <c r="AQ207" s="18" t="s">
        <v>109</v>
      </c>
      <c r="AR207" s="18" t="s">
        <v>109</v>
      </c>
      <c r="AS207" s="18" t="s">
        <v>109</v>
      </c>
      <c r="AT207" s="18" t="s">
        <v>109</v>
      </c>
      <c r="AU207" s="18" t="s">
        <v>109</v>
      </c>
      <c r="AV207" s="36" t="s">
        <v>109</v>
      </c>
    </row>
    <row r="208" spans="1:264" ht="70.5" hidden="1" customHeight="1" x14ac:dyDescent="0.3">
      <c r="A208" s="15" t="s">
        <v>25</v>
      </c>
      <c r="B208" s="15" t="s">
        <v>1280</v>
      </c>
      <c r="C208" s="15" t="s">
        <v>416</v>
      </c>
      <c r="D208" s="15" t="s">
        <v>19</v>
      </c>
      <c r="E208" s="18" t="s">
        <v>109</v>
      </c>
      <c r="F208" s="18" t="s">
        <v>109</v>
      </c>
      <c r="G208" s="18" t="s">
        <v>109</v>
      </c>
      <c r="H208" s="18" t="s">
        <v>109</v>
      </c>
      <c r="I208" s="18" t="s">
        <v>19</v>
      </c>
      <c r="J208" s="18" t="s">
        <v>19</v>
      </c>
      <c r="K208" s="72" t="s">
        <v>19</v>
      </c>
      <c r="L208" s="72" t="s">
        <v>19</v>
      </c>
      <c r="M208" s="15" t="s">
        <v>2917</v>
      </c>
      <c r="N208" s="4" t="s">
        <v>3152</v>
      </c>
      <c r="O208" s="15"/>
      <c r="P208" s="4" t="s">
        <v>3066</v>
      </c>
      <c r="S208" s="15" t="e" cm="1">
        <f t="array" aca="1" ref="S208" ca="1">COMMONMARKETCOUNT(H208:AV208)</f>
        <v>#NAME?</v>
      </c>
      <c r="T208" s="6" t="e" cm="1">
        <f t="array" aca="1" ref="T208" ca="1">AUTOMATEDCOUNT(H208:AV208)</f>
        <v>#NAME?</v>
      </c>
      <c r="V208" s="18" t="s">
        <v>109</v>
      </c>
      <c r="W208" s="18" t="s">
        <v>109</v>
      </c>
      <c r="X208" s="18" t="s">
        <v>109</v>
      </c>
      <c r="Y208" s="18" t="s">
        <v>109</v>
      </c>
      <c r="Z208" s="18" t="s">
        <v>109</v>
      </c>
      <c r="AA208" s="18" t="s">
        <v>19</v>
      </c>
      <c r="AB208" s="18" t="s">
        <v>19</v>
      </c>
      <c r="AC208" s="18" t="s">
        <v>19</v>
      </c>
      <c r="AD208" s="18" t="s">
        <v>19</v>
      </c>
      <c r="AE208" s="18" t="s">
        <v>19</v>
      </c>
      <c r="AF208" s="18" t="s">
        <v>19</v>
      </c>
      <c r="AG208" s="18" t="s">
        <v>19</v>
      </c>
      <c r="AH208" s="18" t="s">
        <v>19</v>
      </c>
      <c r="AI208" s="18" t="s">
        <v>19</v>
      </c>
      <c r="AJ208" s="18" t="s">
        <v>19</v>
      </c>
      <c r="AK208" s="18" t="s">
        <v>19</v>
      </c>
      <c r="AL208" s="18" t="s">
        <v>19</v>
      </c>
      <c r="AM208" s="18" t="s">
        <v>109</v>
      </c>
      <c r="AN208" s="18" t="s">
        <v>19</v>
      </c>
      <c r="AO208" s="18" t="s">
        <v>19</v>
      </c>
      <c r="AP208" s="18" t="s">
        <v>109</v>
      </c>
      <c r="AQ208" s="18" t="s">
        <v>109</v>
      </c>
      <c r="AR208" s="18" t="s">
        <v>109</v>
      </c>
      <c r="AS208" s="18" t="s">
        <v>109</v>
      </c>
      <c r="AT208" s="18" t="s">
        <v>109</v>
      </c>
      <c r="AU208" s="18" t="s">
        <v>109</v>
      </c>
      <c r="AV208" s="36" t="s">
        <v>109</v>
      </c>
    </row>
    <row r="209" spans="1:48" ht="70.5" hidden="1" customHeight="1" x14ac:dyDescent="0.3">
      <c r="A209" s="15" t="s">
        <v>25</v>
      </c>
      <c r="B209" s="15" t="s">
        <v>1823</v>
      </c>
      <c r="C209" s="15" t="s">
        <v>417</v>
      </c>
      <c r="D209" s="15" t="s">
        <v>19</v>
      </c>
      <c r="E209" s="70" t="s">
        <v>19</v>
      </c>
      <c r="F209" s="70" t="s">
        <v>19</v>
      </c>
      <c r="G209" s="15" t="s">
        <v>109</v>
      </c>
      <c r="H209" s="15" t="s">
        <v>109</v>
      </c>
      <c r="I209" s="72" t="s">
        <v>19</v>
      </c>
      <c r="J209" s="72" t="s">
        <v>19</v>
      </c>
      <c r="K209" s="18" t="s">
        <v>19</v>
      </c>
      <c r="L209" s="18" t="s">
        <v>19</v>
      </c>
      <c r="M209" s="15" t="s">
        <v>1455</v>
      </c>
      <c r="N209" s="4" t="s">
        <v>1456</v>
      </c>
      <c r="O209" s="15"/>
      <c r="P209" s="4" t="s">
        <v>1732</v>
      </c>
      <c r="S209" s="15" t="e" cm="1">
        <f t="array" aca="1" ref="S209" ca="1">COMMONMARKETCOUNT(H209:AV209)</f>
        <v>#NAME?</v>
      </c>
      <c r="T209" s="6" t="e" cm="1">
        <f t="array" aca="1" ref="T209" ca="1">AUTOMATEDCOUNT(H209:AV209)</f>
        <v>#NAME?</v>
      </c>
      <c r="V209" s="15" t="s">
        <v>109</v>
      </c>
      <c r="W209" s="15" t="s">
        <v>109</v>
      </c>
      <c r="X209" s="70" t="s">
        <v>19</v>
      </c>
      <c r="Y209" s="70" t="s">
        <v>19</v>
      </c>
      <c r="Z209" s="70" t="s">
        <v>19</v>
      </c>
      <c r="AA209" s="72" t="s">
        <v>19</v>
      </c>
      <c r="AB209" s="72" t="s">
        <v>19</v>
      </c>
      <c r="AC209" s="72" t="s">
        <v>19</v>
      </c>
      <c r="AD209" s="72" t="s">
        <v>19</v>
      </c>
      <c r="AE209" s="18" t="s">
        <v>19</v>
      </c>
      <c r="AF209" s="18" t="s">
        <v>19</v>
      </c>
      <c r="AG209" s="18" t="s">
        <v>19</v>
      </c>
      <c r="AH209" s="18" t="s">
        <v>19</v>
      </c>
      <c r="AI209" s="18" t="s">
        <v>19</v>
      </c>
      <c r="AJ209" s="18" t="s">
        <v>19</v>
      </c>
      <c r="AK209" s="18" t="s">
        <v>19</v>
      </c>
      <c r="AL209" s="18" t="s">
        <v>19</v>
      </c>
      <c r="AM209" s="18" t="s">
        <v>19</v>
      </c>
      <c r="AN209" s="18" t="s">
        <v>19</v>
      </c>
      <c r="AO209" s="18" t="s">
        <v>19</v>
      </c>
      <c r="AP209" s="18" t="s">
        <v>19</v>
      </c>
      <c r="AQ209" s="18" t="s">
        <v>19</v>
      </c>
      <c r="AR209" s="18" t="s">
        <v>19</v>
      </c>
      <c r="AS209" s="18" t="s">
        <v>19</v>
      </c>
      <c r="AT209" s="18" t="s">
        <v>19</v>
      </c>
      <c r="AU209" s="29" t="s">
        <v>3153</v>
      </c>
      <c r="AV209" s="36" t="s">
        <v>19</v>
      </c>
    </row>
    <row r="210" spans="1:48" ht="70.5" hidden="1" customHeight="1" x14ac:dyDescent="0.3">
      <c r="A210" s="15" t="s">
        <v>25</v>
      </c>
      <c r="B210" s="15" t="s">
        <v>783</v>
      </c>
      <c r="C210" s="15" t="s">
        <v>418</v>
      </c>
      <c r="D210" s="15" t="s">
        <v>32</v>
      </c>
      <c r="E210" s="18" t="s">
        <v>109</v>
      </c>
      <c r="F210" s="18" t="s">
        <v>109</v>
      </c>
      <c r="G210" s="18" t="s">
        <v>109</v>
      </c>
      <c r="H210" s="18" t="s">
        <v>109</v>
      </c>
      <c r="I210" s="18" t="s">
        <v>19</v>
      </c>
      <c r="J210" s="18" t="s">
        <v>19</v>
      </c>
      <c r="K210" s="18" t="s">
        <v>109</v>
      </c>
      <c r="L210" s="18" t="s">
        <v>109</v>
      </c>
      <c r="M210" s="15" t="s">
        <v>1461</v>
      </c>
      <c r="N210" s="4" t="s">
        <v>1461</v>
      </c>
      <c r="O210" s="15"/>
      <c r="P210" s="4" t="s">
        <v>1603</v>
      </c>
      <c r="S210" s="15" t="e" cm="1">
        <f t="array" aca="1" ref="S210" ca="1">COMMONMARKETCOUNT(H210:AV210)</f>
        <v>#NAME?</v>
      </c>
      <c r="T210" s="6" t="e" cm="1">
        <f t="array" aca="1" ref="T210" ca="1">AUTOMATEDCOUNT(H210:AV210)</f>
        <v>#NAME?</v>
      </c>
      <c r="V210" s="18" t="s">
        <v>109</v>
      </c>
      <c r="W210" s="18" t="s">
        <v>109</v>
      </c>
      <c r="X210" s="18" t="s">
        <v>109</v>
      </c>
      <c r="Y210" s="18" t="s">
        <v>109</v>
      </c>
      <c r="Z210" s="18" t="s">
        <v>109</v>
      </c>
      <c r="AA210" s="18" t="s">
        <v>19</v>
      </c>
      <c r="AB210" s="18" t="s">
        <v>19</v>
      </c>
      <c r="AC210" s="18" t="s">
        <v>19</v>
      </c>
      <c r="AD210" s="18" t="s">
        <v>19</v>
      </c>
      <c r="AE210" s="18" t="s">
        <v>19</v>
      </c>
      <c r="AF210" s="18" t="s">
        <v>109</v>
      </c>
      <c r="AG210" s="18" t="s">
        <v>109</v>
      </c>
      <c r="AH210" s="18" t="s">
        <v>109</v>
      </c>
      <c r="AI210" s="18" t="s">
        <v>109</v>
      </c>
      <c r="AJ210" s="18" t="s">
        <v>109</v>
      </c>
      <c r="AK210" s="18" t="s">
        <v>109</v>
      </c>
      <c r="AL210" s="18" t="s">
        <v>109</v>
      </c>
      <c r="AM210" s="18" t="s">
        <v>109</v>
      </c>
      <c r="AN210" s="18" t="s">
        <v>109</v>
      </c>
      <c r="AO210" s="18" t="s">
        <v>109</v>
      </c>
      <c r="AP210" s="18" t="s">
        <v>109</v>
      </c>
      <c r="AQ210" s="18" t="s">
        <v>109</v>
      </c>
      <c r="AR210" s="18" t="s">
        <v>109</v>
      </c>
      <c r="AS210" s="18" t="s">
        <v>109</v>
      </c>
      <c r="AT210" s="18" t="s">
        <v>109</v>
      </c>
      <c r="AU210" s="18" t="s">
        <v>109</v>
      </c>
      <c r="AV210" s="36" t="s">
        <v>109</v>
      </c>
    </row>
    <row r="211" spans="1:48" ht="70.5" customHeight="1" x14ac:dyDescent="0.3">
      <c r="A211" s="6" t="s">
        <v>25</v>
      </c>
      <c r="B211" s="6" t="s">
        <v>783</v>
      </c>
      <c r="C211" s="4" t="s">
        <v>2264</v>
      </c>
      <c r="D211" s="6" t="s">
        <v>19</v>
      </c>
      <c r="E211" s="6" t="s">
        <v>19</v>
      </c>
      <c r="F211" s="6" t="s">
        <v>19</v>
      </c>
      <c r="G211" s="6" t="s">
        <v>19</v>
      </c>
      <c r="H211" s="6" t="s">
        <v>19</v>
      </c>
      <c r="I211" s="96" t="s">
        <v>19</v>
      </c>
      <c r="J211" s="96" t="s">
        <v>19</v>
      </c>
      <c r="K211" s="6" t="s">
        <v>19</v>
      </c>
      <c r="L211" s="6" t="s">
        <v>19</v>
      </c>
      <c r="M211" s="15" t="s">
        <v>2357</v>
      </c>
      <c r="N211" s="4" t="s">
        <v>2357</v>
      </c>
      <c r="O211" s="4"/>
      <c r="P211" s="4" t="s">
        <v>2352</v>
      </c>
      <c r="S211" s="15" t="e" cm="1">
        <f t="array" aca="1" ref="S211" ca="1">COMMONMARKETCOUNT(H211:AV211)</f>
        <v>#NAME?</v>
      </c>
      <c r="T211" s="6" t="e" cm="1">
        <f t="array" aca="1" ref="T211" ca="1">AUTOMATEDCOUNT(H211:AV211)</f>
        <v>#NAME?</v>
      </c>
      <c r="V211" s="6" t="s">
        <v>19</v>
      </c>
      <c r="W211" s="6" t="s">
        <v>19</v>
      </c>
      <c r="X211" s="6" t="s">
        <v>19</v>
      </c>
      <c r="Y211" s="6" t="s">
        <v>19</v>
      </c>
      <c r="Z211" s="6" t="s">
        <v>19</v>
      </c>
      <c r="AA211" s="96" t="s">
        <v>19</v>
      </c>
      <c r="AB211" s="96" t="s">
        <v>19</v>
      </c>
      <c r="AC211" s="96" t="s">
        <v>19</v>
      </c>
      <c r="AD211" s="72" t="s">
        <v>19</v>
      </c>
      <c r="AE211" s="18" t="s">
        <v>19</v>
      </c>
      <c r="AF211" s="6" t="s">
        <v>19</v>
      </c>
      <c r="AG211" s="6" t="s">
        <v>19</v>
      </c>
      <c r="AH211" s="6" t="s">
        <v>19</v>
      </c>
      <c r="AI211" s="6" t="s">
        <v>19</v>
      </c>
      <c r="AJ211" s="6" t="s">
        <v>19</v>
      </c>
      <c r="AK211" s="6" t="s">
        <v>19</v>
      </c>
      <c r="AL211" s="6" t="s">
        <v>19</v>
      </c>
      <c r="AM211" s="6" t="s">
        <v>19</v>
      </c>
      <c r="AN211" s="6" t="s">
        <v>19</v>
      </c>
      <c r="AO211" s="6" t="s">
        <v>19</v>
      </c>
      <c r="AP211" s="6" t="s">
        <v>19</v>
      </c>
      <c r="AQ211" s="6" t="s">
        <v>19</v>
      </c>
      <c r="AR211" s="6" t="s">
        <v>19</v>
      </c>
      <c r="AS211" s="6" t="s">
        <v>19</v>
      </c>
      <c r="AT211" s="6" t="s">
        <v>19</v>
      </c>
      <c r="AU211" s="6" t="s">
        <v>3153</v>
      </c>
      <c r="AV211" s="36" t="s">
        <v>19</v>
      </c>
    </row>
    <row r="212" spans="1:48" ht="70.5" hidden="1" customHeight="1" x14ac:dyDescent="0.3">
      <c r="A212" s="15" t="s">
        <v>25</v>
      </c>
      <c r="B212" s="15" t="s">
        <v>37</v>
      </c>
      <c r="C212" s="15" t="s">
        <v>419</v>
      </c>
      <c r="D212" s="6" t="s">
        <v>19</v>
      </c>
      <c r="E212" s="18" t="s">
        <v>109</v>
      </c>
      <c r="F212" s="18" t="s">
        <v>109</v>
      </c>
      <c r="G212" s="18" t="s">
        <v>109</v>
      </c>
      <c r="H212" s="18" t="s">
        <v>109</v>
      </c>
      <c r="I212" s="72" t="s">
        <v>19</v>
      </c>
      <c r="J212" s="72" t="s">
        <v>19</v>
      </c>
      <c r="K212" s="18" t="s">
        <v>19</v>
      </c>
      <c r="L212" s="18" t="s">
        <v>19</v>
      </c>
      <c r="M212" s="15" t="s">
        <v>1462</v>
      </c>
      <c r="N212" s="4" t="s">
        <v>1462</v>
      </c>
      <c r="O212" s="15"/>
      <c r="P212" s="4" t="s">
        <v>1000</v>
      </c>
      <c r="S212" s="15" t="e" cm="1">
        <f t="array" aca="1" ref="S212" ca="1">COMMONMARKETCOUNT(H212:AV212)</f>
        <v>#NAME?</v>
      </c>
      <c r="T212" s="6" t="e" cm="1">
        <f t="array" aca="1" ref="T212" ca="1">AUTOMATEDCOUNT(H212:AV212)</f>
        <v>#NAME?</v>
      </c>
      <c r="V212" s="18" t="s">
        <v>109</v>
      </c>
      <c r="W212" s="18" t="s">
        <v>109</v>
      </c>
      <c r="X212" s="18" t="s">
        <v>109</v>
      </c>
      <c r="Y212" s="18" t="s">
        <v>109</v>
      </c>
      <c r="Z212" s="18" t="s">
        <v>109</v>
      </c>
      <c r="AA212" s="72" t="s">
        <v>19</v>
      </c>
      <c r="AB212" s="72" t="s">
        <v>19</v>
      </c>
      <c r="AC212" s="72" t="s">
        <v>19</v>
      </c>
      <c r="AD212" s="96" t="s">
        <v>19</v>
      </c>
      <c r="AE212" s="6" t="s">
        <v>19</v>
      </c>
      <c r="AF212" s="18" t="s">
        <v>19</v>
      </c>
      <c r="AG212" s="18" t="s">
        <v>109</v>
      </c>
      <c r="AH212" s="18" t="s">
        <v>109</v>
      </c>
      <c r="AI212" s="18" t="s">
        <v>109</v>
      </c>
      <c r="AJ212" s="18" t="s">
        <v>109</v>
      </c>
      <c r="AK212" s="18" t="s">
        <v>109</v>
      </c>
      <c r="AL212" s="18" t="s">
        <v>109</v>
      </c>
      <c r="AM212" s="18" t="s">
        <v>109</v>
      </c>
      <c r="AN212" s="18" t="s">
        <v>109</v>
      </c>
      <c r="AO212" s="18" t="s">
        <v>109</v>
      </c>
      <c r="AP212" s="18" t="s">
        <v>109</v>
      </c>
      <c r="AQ212" s="18" t="s">
        <v>109</v>
      </c>
      <c r="AR212" s="18" t="s">
        <v>109</v>
      </c>
      <c r="AS212" s="18" t="s">
        <v>109</v>
      </c>
      <c r="AT212" s="18" t="s">
        <v>109</v>
      </c>
      <c r="AU212" s="18" t="s">
        <v>109</v>
      </c>
      <c r="AV212" s="36" t="s">
        <v>109</v>
      </c>
    </row>
    <row r="213" spans="1:48" ht="70.5" hidden="1" customHeight="1" x14ac:dyDescent="0.3">
      <c r="A213" s="15" t="s">
        <v>25</v>
      </c>
      <c r="B213" s="15" t="s">
        <v>1281</v>
      </c>
      <c r="C213" s="15" t="s">
        <v>420</v>
      </c>
      <c r="D213" s="15" t="s">
        <v>32</v>
      </c>
      <c r="E213" s="18" t="s">
        <v>109</v>
      </c>
      <c r="F213" s="18" t="s">
        <v>109</v>
      </c>
      <c r="G213" s="18" t="s">
        <v>109</v>
      </c>
      <c r="H213" s="18" t="s">
        <v>109</v>
      </c>
      <c r="I213" s="18" t="s">
        <v>19</v>
      </c>
      <c r="J213" s="18" t="s">
        <v>19</v>
      </c>
      <c r="K213" s="18" t="s">
        <v>19</v>
      </c>
      <c r="L213" s="18" t="s">
        <v>19</v>
      </c>
      <c r="M213" s="15" t="s">
        <v>1463</v>
      </c>
      <c r="N213" s="4" t="s">
        <v>1463</v>
      </c>
      <c r="O213" s="15"/>
      <c r="P213" s="4" t="s">
        <v>1471</v>
      </c>
      <c r="S213" s="15" t="e" cm="1">
        <f t="array" aca="1" ref="S213" ca="1">COMMONMARKETCOUNT(H213:AV213)</f>
        <v>#NAME?</v>
      </c>
      <c r="T213" s="6" t="e" cm="1">
        <f t="array" aca="1" ref="T213" ca="1">AUTOMATEDCOUNT(H213:AV213)</f>
        <v>#NAME?</v>
      </c>
      <c r="V213" s="18" t="s">
        <v>109</v>
      </c>
      <c r="W213" s="18" t="s">
        <v>109</v>
      </c>
      <c r="X213" s="18" t="s">
        <v>109</v>
      </c>
      <c r="Y213" s="18" t="s">
        <v>109</v>
      </c>
      <c r="Z213" s="18" t="s">
        <v>109</v>
      </c>
      <c r="AA213" s="18" t="s">
        <v>19</v>
      </c>
      <c r="AB213" s="18" t="s">
        <v>19</v>
      </c>
      <c r="AC213" s="18" t="s">
        <v>19</v>
      </c>
      <c r="AD213" s="18" t="s">
        <v>19</v>
      </c>
      <c r="AE213" s="18" t="s">
        <v>19</v>
      </c>
      <c r="AF213" s="18" t="s">
        <v>19</v>
      </c>
      <c r="AG213" s="18" t="s">
        <v>109</v>
      </c>
      <c r="AH213" s="18" t="s">
        <v>109</v>
      </c>
      <c r="AI213" s="18" t="s">
        <v>109</v>
      </c>
      <c r="AJ213" s="18" t="s">
        <v>109</v>
      </c>
      <c r="AK213" s="18" t="s">
        <v>109</v>
      </c>
      <c r="AL213" s="18" t="s">
        <v>109</v>
      </c>
      <c r="AM213" s="18" t="s">
        <v>109</v>
      </c>
      <c r="AN213" s="18" t="s">
        <v>109</v>
      </c>
      <c r="AO213" s="18" t="s">
        <v>109</v>
      </c>
      <c r="AP213" s="18" t="s">
        <v>109</v>
      </c>
      <c r="AQ213" s="18" t="s">
        <v>109</v>
      </c>
      <c r="AR213" s="18" t="s">
        <v>109</v>
      </c>
      <c r="AS213" s="18" t="s">
        <v>109</v>
      </c>
      <c r="AT213" s="18" t="s">
        <v>109</v>
      </c>
      <c r="AU213" s="18" t="s">
        <v>109</v>
      </c>
      <c r="AV213" s="36" t="s">
        <v>109</v>
      </c>
    </row>
    <row r="214" spans="1:48" ht="70.5" hidden="1" customHeight="1" x14ac:dyDescent="0.3">
      <c r="A214" s="15" t="s">
        <v>25</v>
      </c>
      <c r="B214" s="15" t="s">
        <v>783</v>
      </c>
      <c r="C214" s="15" t="s">
        <v>421</v>
      </c>
      <c r="D214" s="6" t="s">
        <v>19</v>
      </c>
      <c r="E214" s="18" t="s">
        <v>109</v>
      </c>
      <c r="F214" s="18" t="s">
        <v>109</v>
      </c>
      <c r="G214" s="18" t="s">
        <v>109</v>
      </c>
      <c r="H214" s="18" t="s">
        <v>109</v>
      </c>
      <c r="I214" s="72" t="s">
        <v>19</v>
      </c>
      <c r="J214" s="72" t="s">
        <v>19</v>
      </c>
      <c r="K214" s="18" t="s">
        <v>109</v>
      </c>
      <c r="L214" s="18" t="s">
        <v>109</v>
      </c>
      <c r="M214" s="15" t="s">
        <v>1464</v>
      </c>
      <c r="N214" s="4" t="s">
        <v>1464</v>
      </c>
      <c r="O214" s="15"/>
      <c r="P214" s="4" t="s">
        <v>1604</v>
      </c>
      <c r="S214" s="15" t="e" cm="1">
        <f t="array" aca="1" ref="S214" ca="1">COMMONMARKETCOUNT(H214:AV214)</f>
        <v>#NAME?</v>
      </c>
      <c r="T214" s="6" t="e" cm="1">
        <f t="array" aca="1" ref="T214" ca="1">AUTOMATEDCOUNT(H214:AV214)</f>
        <v>#NAME?</v>
      </c>
      <c r="V214" s="18" t="s">
        <v>109</v>
      </c>
      <c r="W214" s="18" t="s">
        <v>109</v>
      </c>
      <c r="X214" s="18" t="s">
        <v>109</v>
      </c>
      <c r="Y214" s="18" t="s">
        <v>109</v>
      </c>
      <c r="Z214" s="18" t="s">
        <v>109</v>
      </c>
      <c r="AA214" s="72" t="s">
        <v>19</v>
      </c>
      <c r="AB214" s="72" t="s">
        <v>19</v>
      </c>
      <c r="AC214" s="72" t="s">
        <v>19</v>
      </c>
      <c r="AD214" s="72" t="s">
        <v>19</v>
      </c>
      <c r="AE214" s="18" t="s">
        <v>19</v>
      </c>
      <c r="AF214" s="18" t="s">
        <v>109</v>
      </c>
      <c r="AG214" s="18" t="s">
        <v>109</v>
      </c>
      <c r="AH214" s="18" t="s">
        <v>109</v>
      </c>
      <c r="AI214" s="18" t="s">
        <v>109</v>
      </c>
      <c r="AJ214" s="18" t="s">
        <v>109</v>
      </c>
      <c r="AK214" s="18" t="s">
        <v>109</v>
      </c>
      <c r="AL214" s="18" t="s">
        <v>109</v>
      </c>
      <c r="AM214" s="18" t="s">
        <v>109</v>
      </c>
      <c r="AN214" s="18" t="s">
        <v>109</v>
      </c>
      <c r="AO214" s="18" t="s">
        <v>109</v>
      </c>
      <c r="AP214" s="18" t="s">
        <v>109</v>
      </c>
      <c r="AQ214" s="18" t="s">
        <v>109</v>
      </c>
      <c r="AR214" s="18" t="s">
        <v>109</v>
      </c>
      <c r="AS214" s="18" t="s">
        <v>109</v>
      </c>
      <c r="AT214" s="18" t="s">
        <v>109</v>
      </c>
      <c r="AU214" s="18" t="s">
        <v>109</v>
      </c>
      <c r="AV214" s="36" t="s">
        <v>109</v>
      </c>
    </row>
    <row r="215" spans="1:48" ht="70.5" hidden="1" customHeight="1" x14ac:dyDescent="0.3">
      <c r="A215" s="15" t="s">
        <v>25</v>
      </c>
      <c r="B215" s="15" t="s">
        <v>783</v>
      </c>
      <c r="C215" s="15" t="s">
        <v>422</v>
      </c>
      <c r="D215" s="6" t="s">
        <v>19</v>
      </c>
      <c r="E215" s="18" t="s">
        <v>109</v>
      </c>
      <c r="F215" s="18" t="s">
        <v>109</v>
      </c>
      <c r="G215" s="18" t="s">
        <v>109</v>
      </c>
      <c r="H215" s="18" t="s">
        <v>109</v>
      </c>
      <c r="I215" s="72" t="s">
        <v>19</v>
      </c>
      <c r="J215" s="72" t="s">
        <v>19</v>
      </c>
      <c r="K215" s="18" t="s">
        <v>109</v>
      </c>
      <c r="L215" s="18" t="s">
        <v>109</v>
      </c>
      <c r="M215" s="15" t="s">
        <v>1465</v>
      </c>
      <c r="N215" s="4" t="s">
        <v>1465</v>
      </c>
      <c r="O215" s="15"/>
      <c r="P215" s="4" t="s">
        <v>1605</v>
      </c>
      <c r="S215" s="15" t="e" cm="1">
        <f t="array" aca="1" ref="S215" ca="1">COMMONMARKETCOUNT(H215:AV215)</f>
        <v>#NAME?</v>
      </c>
      <c r="T215" s="6" t="e" cm="1">
        <f t="array" aca="1" ref="T215" ca="1">AUTOMATEDCOUNT(H215:AV215)</f>
        <v>#NAME?</v>
      </c>
      <c r="V215" s="18" t="s">
        <v>109</v>
      </c>
      <c r="W215" s="18" t="s">
        <v>109</v>
      </c>
      <c r="X215" s="18" t="s">
        <v>109</v>
      </c>
      <c r="Y215" s="18" t="s">
        <v>109</v>
      </c>
      <c r="Z215" s="18" t="s">
        <v>109</v>
      </c>
      <c r="AA215" s="72" t="s">
        <v>19</v>
      </c>
      <c r="AB215" s="72" t="s">
        <v>19</v>
      </c>
      <c r="AC215" s="72" t="s">
        <v>19</v>
      </c>
      <c r="AD215" s="72" t="s">
        <v>19</v>
      </c>
      <c r="AE215" s="18" t="s">
        <v>19</v>
      </c>
      <c r="AF215" s="18" t="s">
        <v>109</v>
      </c>
      <c r="AG215" s="18" t="s">
        <v>109</v>
      </c>
      <c r="AH215" s="18" t="s">
        <v>109</v>
      </c>
      <c r="AI215" s="18" t="s">
        <v>109</v>
      </c>
      <c r="AJ215" s="18" t="s">
        <v>109</v>
      </c>
      <c r="AK215" s="18" t="s">
        <v>109</v>
      </c>
      <c r="AL215" s="18" t="s">
        <v>109</v>
      </c>
      <c r="AM215" s="18" t="s">
        <v>109</v>
      </c>
      <c r="AN215" s="18" t="s">
        <v>109</v>
      </c>
      <c r="AO215" s="18" t="s">
        <v>109</v>
      </c>
      <c r="AP215" s="18" t="s">
        <v>109</v>
      </c>
      <c r="AQ215" s="18" t="s">
        <v>109</v>
      </c>
      <c r="AR215" s="18" t="s">
        <v>109</v>
      </c>
      <c r="AS215" s="18" t="s">
        <v>109</v>
      </c>
      <c r="AT215" s="18" t="s">
        <v>109</v>
      </c>
      <c r="AU215" s="18" t="s">
        <v>109</v>
      </c>
      <c r="AV215" s="36" t="s">
        <v>109</v>
      </c>
    </row>
    <row r="216" spans="1:48" ht="70.5" hidden="1" customHeight="1" x14ac:dyDescent="0.3">
      <c r="A216" s="15" t="s">
        <v>25</v>
      </c>
      <c r="B216" s="15" t="s">
        <v>37</v>
      </c>
      <c r="C216" s="15" t="s">
        <v>423</v>
      </c>
      <c r="D216" s="15" t="s">
        <v>32</v>
      </c>
      <c r="E216" s="18" t="s">
        <v>19</v>
      </c>
      <c r="F216" s="18" t="s">
        <v>19</v>
      </c>
      <c r="G216" s="18" t="s">
        <v>109</v>
      </c>
      <c r="H216" s="18" t="s">
        <v>109</v>
      </c>
      <c r="I216" s="18" t="s">
        <v>109</v>
      </c>
      <c r="J216" s="18" t="s">
        <v>109</v>
      </c>
      <c r="K216" s="18" t="s">
        <v>109</v>
      </c>
      <c r="L216" s="18" t="s">
        <v>109</v>
      </c>
      <c r="M216" s="15" t="s">
        <v>1200</v>
      </c>
      <c r="N216" s="4" t="s">
        <v>1200</v>
      </c>
      <c r="O216" s="15"/>
      <c r="P216" s="4" t="s">
        <v>335</v>
      </c>
      <c r="S216" s="15" t="e" cm="1">
        <f t="array" aca="1" ref="S216" ca="1">COMMONMARKETCOUNT(H216:AV216)</f>
        <v>#NAME?</v>
      </c>
      <c r="T216" s="6" t="e" cm="1">
        <f t="array" aca="1" ref="T216" ca="1">AUTOMATEDCOUNT(H216:AV216)</f>
        <v>#NAME?</v>
      </c>
      <c r="V216" s="18" t="s">
        <v>109</v>
      </c>
      <c r="W216" s="18" t="s">
        <v>109</v>
      </c>
      <c r="X216" s="18" t="s">
        <v>19</v>
      </c>
      <c r="Y216" s="18" t="s">
        <v>19</v>
      </c>
      <c r="Z216" s="18" t="s">
        <v>19</v>
      </c>
      <c r="AA216" s="18" t="s">
        <v>109</v>
      </c>
      <c r="AB216" s="18" t="s">
        <v>109</v>
      </c>
      <c r="AC216" s="18" t="s">
        <v>109</v>
      </c>
      <c r="AD216" s="18" t="s">
        <v>19</v>
      </c>
      <c r="AE216" s="18" t="s">
        <v>19</v>
      </c>
      <c r="AF216" s="18" t="s">
        <v>109</v>
      </c>
      <c r="AG216" s="18" t="s">
        <v>109</v>
      </c>
      <c r="AH216" s="18" t="s">
        <v>109</v>
      </c>
      <c r="AI216" s="18" t="s">
        <v>109</v>
      </c>
      <c r="AJ216" s="18" t="s">
        <v>109</v>
      </c>
      <c r="AK216" s="18" t="s">
        <v>19</v>
      </c>
      <c r="AL216" s="18" t="s">
        <v>19</v>
      </c>
      <c r="AM216" s="18" t="s">
        <v>109</v>
      </c>
      <c r="AN216" s="18" t="s">
        <v>19</v>
      </c>
      <c r="AO216" s="18" t="s">
        <v>19</v>
      </c>
      <c r="AP216" s="18" t="s">
        <v>109</v>
      </c>
      <c r="AQ216" s="18" t="s">
        <v>109</v>
      </c>
      <c r="AR216" s="18" t="s">
        <v>109</v>
      </c>
      <c r="AS216" s="18" t="s">
        <v>109</v>
      </c>
      <c r="AT216" s="18" t="s">
        <v>109</v>
      </c>
      <c r="AU216" s="18" t="s">
        <v>109</v>
      </c>
      <c r="AV216" s="36" t="s">
        <v>109</v>
      </c>
    </row>
    <row r="217" spans="1:48" ht="70.5" hidden="1" customHeight="1" x14ac:dyDescent="0.3">
      <c r="A217" s="15" t="s">
        <v>25</v>
      </c>
      <c r="B217" s="15" t="s">
        <v>37</v>
      </c>
      <c r="C217" s="15" t="s">
        <v>424</v>
      </c>
      <c r="D217" s="15" t="s">
        <v>32</v>
      </c>
      <c r="E217" s="18" t="s">
        <v>109</v>
      </c>
      <c r="F217" s="18" t="s">
        <v>109</v>
      </c>
      <c r="G217" s="18" t="s">
        <v>109</v>
      </c>
      <c r="H217" s="18" t="s">
        <v>109</v>
      </c>
      <c r="I217" s="18" t="s">
        <v>109</v>
      </c>
      <c r="J217" s="18" t="s">
        <v>109</v>
      </c>
      <c r="K217" s="18" t="s">
        <v>109</v>
      </c>
      <c r="L217" s="18" t="s">
        <v>109</v>
      </c>
      <c r="M217" s="15" t="s">
        <v>1201</v>
      </c>
      <c r="N217" s="4" t="s">
        <v>1201</v>
      </c>
      <c r="O217" s="15"/>
      <c r="P217" s="4" t="s">
        <v>335</v>
      </c>
      <c r="S217" s="15" t="e" cm="1">
        <f t="array" aca="1" ref="S217" ca="1">COMMONMARKETCOUNT(H217:AV217)</f>
        <v>#NAME?</v>
      </c>
      <c r="T217" s="6" t="e" cm="1">
        <f t="array" aca="1" ref="T217" ca="1">AUTOMATEDCOUNT(H217:AV217)</f>
        <v>#NAME?</v>
      </c>
      <c r="V217" s="18" t="s">
        <v>109</v>
      </c>
      <c r="W217" s="18" t="s">
        <v>109</v>
      </c>
      <c r="X217" s="18" t="s">
        <v>109</v>
      </c>
      <c r="Y217" s="18" t="s">
        <v>109</v>
      </c>
      <c r="Z217" s="18" t="s">
        <v>109</v>
      </c>
      <c r="AA217" s="18" t="s">
        <v>109</v>
      </c>
      <c r="AB217" s="18" t="s">
        <v>109</v>
      </c>
      <c r="AC217" s="18" t="s">
        <v>109</v>
      </c>
      <c r="AD217" s="18" t="s">
        <v>109</v>
      </c>
      <c r="AE217" s="18" t="s">
        <v>109</v>
      </c>
      <c r="AF217" s="18" t="s">
        <v>109</v>
      </c>
      <c r="AG217" s="18" t="s">
        <v>109</v>
      </c>
      <c r="AH217" s="18" t="s">
        <v>109</v>
      </c>
      <c r="AI217" s="18" t="s">
        <v>109</v>
      </c>
      <c r="AJ217" s="18" t="s">
        <v>109</v>
      </c>
      <c r="AK217" s="18" t="s">
        <v>19</v>
      </c>
      <c r="AL217" s="18" t="s">
        <v>19</v>
      </c>
      <c r="AM217" s="18" t="s">
        <v>109</v>
      </c>
      <c r="AN217" s="18" t="s">
        <v>19</v>
      </c>
      <c r="AO217" s="18" t="s">
        <v>19</v>
      </c>
      <c r="AP217" s="18" t="s">
        <v>109</v>
      </c>
      <c r="AQ217" s="18" t="s">
        <v>109</v>
      </c>
      <c r="AR217" s="18" t="s">
        <v>109</v>
      </c>
      <c r="AS217" s="18" t="s">
        <v>109</v>
      </c>
      <c r="AT217" s="18" t="s">
        <v>109</v>
      </c>
      <c r="AU217" s="18" t="s">
        <v>109</v>
      </c>
      <c r="AV217" s="36" t="s">
        <v>109</v>
      </c>
    </row>
    <row r="218" spans="1:48" ht="70.5" hidden="1" customHeight="1" x14ac:dyDescent="0.3">
      <c r="A218" s="15" t="s">
        <v>25</v>
      </c>
      <c r="B218" s="15" t="s">
        <v>1284</v>
      </c>
      <c r="C218" s="15" t="s">
        <v>425</v>
      </c>
      <c r="D218" s="15" t="s">
        <v>32</v>
      </c>
      <c r="E218" s="18" t="s">
        <v>109</v>
      </c>
      <c r="F218" s="18" t="s">
        <v>109</v>
      </c>
      <c r="G218" s="18" t="s">
        <v>109</v>
      </c>
      <c r="H218" s="18" t="s">
        <v>109</v>
      </c>
      <c r="I218" s="18" t="s">
        <v>109</v>
      </c>
      <c r="J218" s="18" t="s">
        <v>109</v>
      </c>
      <c r="K218" s="18" t="s">
        <v>109</v>
      </c>
      <c r="L218" s="18" t="s">
        <v>109</v>
      </c>
      <c r="M218" s="15" t="s">
        <v>1202</v>
      </c>
      <c r="N218" s="4" t="s">
        <v>1202</v>
      </c>
      <c r="O218" s="15"/>
      <c r="P218" s="4" t="s">
        <v>335</v>
      </c>
      <c r="S218" s="15" t="e" cm="1">
        <f t="array" aca="1" ref="S218" ca="1">COMMONMARKETCOUNT(H218:AV218)</f>
        <v>#NAME?</v>
      </c>
      <c r="T218" s="6" t="e" cm="1">
        <f t="array" aca="1" ref="T218" ca="1">AUTOMATEDCOUNT(H218:AV218)</f>
        <v>#NAME?</v>
      </c>
      <c r="V218" s="18" t="s">
        <v>109</v>
      </c>
      <c r="W218" s="18" t="s">
        <v>109</v>
      </c>
      <c r="X218" s="18" t="s">
        <v>109</v>
      </c>
      <c r="Y218" s="18" t="s">
        <v>109</v>
      </c>
      <c r="Z218" s="18" t="s">
        <v>109</v>
      </c>
      <c r="AA218" s="18" t="s">
        <v>109</v>
      </c>
      <c r="AB218" s="18" t="s">
        <v>109</v>
      </c>
      <c r="AC218" s="18" t="s">
        <v>109</v>
      </c>
      <c r="AD218" s="18" t="s">
        <v>109</v>
      </c>
      <c r="AE218" s="18" t="s">
        <v>109</v>
      </c>
      <c r="AF218" s="18" t="s">
        <v>109</v>
      </c>
      <c r="AG218" s="18" t="s">
        <v>109</v>
      </c>
      <c r="AH218" s="18" t="s">
        <v>109</v>
      </c>
      <c r="AI218" s="18" t="s">
        <v>109</v>
      </c>
      <c r="AJ218" s="18" t="s">
        <v>109</v>
      </c>
      <c r="AK218" s="18" t="s">
        <v>19</v>
      </c>
      <c r="AL218" s="18" t="s">
        <v>19</v>
      </c>
      <c r="AM218" s="18" t="s">
        <v>109</v>
      </c>
      <c r="AN218" s="18" t="s">
        <v>19</v>
      </c>
      <c r="AO218" s="18" t="s">
        <v>19</v>
      </c>
      <c r="AP218" s="18" t="s">
        <v>109</v>
      </c>
      <c r="AQ218" s="18" t="s">
        <v>109</v>
      </c>
      <c r="AR218" s="18" t="s">
        <v>109</v>
      </c>
      <c r="AS218" s="18" t="s">
        <v>109</v>
      </c>
      <c r="AT218" s="18" t="s">
        <v>109</v>
      </c>
      <c r="AU218" s="18" t="s">
        <v>109</v>
      </c>
      <c r="AV218" s="36" t="s">
        <v>109</v>
      </c>
    </row>
    <row r="219" spans="1:48" ht="70.5" customHeight="1" x14ac:dyDescent="0.3">
      <c r="A219" s="15" t="s">
        <v>25</v>
      </c>
      <c r="B219" s="15" t="s">
        <v>1823</v>
      </c>
      <c r="C219" s="15" t="s">
        <v>426</v>
      </c>
      <c r="D219" s="15" t="s">
        <v>19</v>
      </c>
      <c r="E219" s="70" t="s">
        <v>19</v>
      </c>
      <c r="F219" s="70" t="s">
        <v>19</v>
      </c>
      <c r="G219" s="70" t="s">
        <v>19</v>
      </c>
      <c r="H219" s="70" t="s">
        <v>19</v>
      </c>
      <c r="I219" s="72" t="s">
        <v>19</v>
      </c>
      <c r="J219" s="72" t="s">
        <v>19</v>
      </c>
      <c r="K219" s="72" t="s">
        <v>19</v>
      </c>
      <c r="L219" s="72" t="s">
        <v>19</v>
      </c>
      <c r="M219" s="15" t="s">
        <v>427</v>
      </c>
      <c r="N219" s="4" t="s">
        <v>1536</v>
      </c>
      <c r="O219" s="15"/>
      <c r="P219" s="4" t="s">
        <v>1606</v>
      </c>
      <c r="S219" s="15" t="e" cm="1">
        <f t="array" aca="1" ref="S219" ca="1">COMMONMARKETCOUNT(H219:AV219)</f>
        <v>#NAME?</v>
      </c>
      <c r="T219" s="6" t="e" cm="1">
        <f t="array" aca="1" ref="T219" ca="1">AUTOMATEDCOUNT(H219:AV219)</f>
        <v>#NAME?</v>
      </c>
      <c r="V219" s="70" t="s">
        <v>19</v>
      </c>
      <c r="W219" s="70" t="s">
        <v>19</v>
      </c>
      <c r="X219" s="70" t="s">
        <v>19</v>
      </c>
      <c r="Y219" s="70" t="s">
        <v>19</v>
      </c>
      <c r="Z219" s="70" t="s">
        <v>19</v>
      </c>
      <c r="AA219" s="72" t="s">
        <v>19</v>
      </c>
      <c r="AB219" s="72" t="s">
        <v>19</v>
      </c>
      <c r="AC219" s="72" t="s">
        <v>19</v>
      </c>
      <c r="AD219" s="18" t="s">
        <v>109</v>
      </c>
      <c r="AE219" s="18" t="s">
        <v>109</v>
      </c>
      <c r="AF219" s="18" t="s">
        <v>19</v>
      </c>
      <c r="AG219" s="29" t="s">
        <v>19</v>
      </c>
      <c r="AH219" s="29" t="s">
        <v>19</v>
      </c>
      <c r="AI219" s="18" t="s">
        <v>19</v>
      </c>
      <c r="AJ219" s="18" t="s">
        <v>19</v>
      </c>
      <c r="AK219" s="18" t="s">
        <v>19</v>
      </c>
      <c r="AL219" s="18" t="s">
        <v>19</v>
      </c>
      <c r="AM219" s="18" t="s">
        <v>19</v>
      </c>
      <c r="AN219" s="18" t="s">
        <v>19</v>
      </c>
      <c r="AO219" s="18" t="s">
        <v>19</v>
      </c>
      <c r="AP219" s="18" t="s">
        <v>19</v>
      </c>
      <c r="AQ219" s="18" t="s">
        <v>19</v>
      </c>
      <c r="AR219" s="18" t="s">
        <v>19</v>
      </c>
      <c r="AS219" s="29" t="s">
        <v>19</v>
      </c>
      <c r="AT219" s="18" t="s">
        <v>19</v>
      </c>
      <c r="AU219" s="29" t="s">
        <v>3153</v>
      </c>
      <c r="AV219" s="36" t="s">
        <v>19</v>
      </c>
    </row>
    <row r="220" spans="1:48" ht="70.5" hidden="1" customHeight="1" x14ac:dyDescent="0.3">
      <c r="A220" s="15" t="s">
        <v>56</v>
      </c>
      <c r="B220" s="15" t="s">
        <v>1280</v>
      </c>
      <c r="C220" s="15" t="s">
        <v>428</v>
      </c>
      <c r="D220" s="15" t="s">
        <v>32</v>
      </c>
      <c r="E220" s="18" t="s">
        <v>109</v>
      </c>
      <c r="F220" s="18" t="s">
        <v>109</v>
      </c>
      <c r="G220" s="18" t="s">
        <v>109</v>
      </c>
      <c r="H220" s="18" t="s">
        <v>109</v>
      </c>
      <c r="I220" s="18" t="s">
        <v>19</v>
      </c>
      <c r="J220" s="18" t="s">
        <v>19</v>
      </c>
      <c r="K220" s="18" t="s">
        <v>109</v>
      </c>
      <c r="L220" s="18" t="s">
        <v>109</v>
      </c>
      <c r="M220" s="15" t="s">
        <v>429</v>
      </c>
      <c r="N220" s="4" t="s">
        <v>429</v>
      </c>
      <c r="O220" s="15"/>
      <c r="P220" s="4" t="s">
        <v>1009</v>
      </c>
      <c r="S220" s="15" t="e" cm="1">
        <f t="array" aca="1" ref="S220" ca="1">COMMONMARKETCOUNT(H220:AV220)</f>
        <v>#NAME?</v>
      </c>
      <c r="T220" s="6" t="e" cm="1">
        <f t="array" aca="1" ref="T220" ca="1">AUTOMATEDCOUNT(H220:AV220)</f>
        <v>#NAME?</v>
      </c>
      <c r="V220" s="18" t="s">
        <v>109</v>
      </c>
      <c r="W220" s="18" t="s">
        <v>109</v>
      </c>
      <c r="X220" s="18" t="s">
        <v>109</v>
      </c>
      <c r="Y220" s="18" t="s">
        <v>109</v>
      </c>
      <c r="Z220" s="18" t="s">
        <v>109</v>
      </c>
      <c r="AA220" s="18" t="s">
        <v>19</v>
      </c>
      <c r="AB220" s="18" t="s">
        <v>19</v>
      </c>
      <c r="AC220" s="18" t="s">
        <v>19</v>
      </c>
      <c r="AD220" s="18" t="s">
        <v>19</v>
      </c>
      <c r="AE220" s="18" t="s">
        <v>19</v>
      </c>
      <c r="AF220" s="18" t="s">
        <v>109</v>
      </c>
      <c r="AG220" s="18" t="s">
        <v>109</v>
      </c>
      <c r="AH220" s="18" t="s">
        <v>109</v>
      </c>
      <c r="AI220" s="18" t="s">
        <v>109</v>
      </c>
      <c r="AJ220" s="18" t="s">
        <v>109</v>
      </c>
      <c r="AK220" s="18" t="s">
        <v>109</v>
      </c>
      <c r="AL220" s="18" t="s">
        <v>109</v>
      </c>
      <c r="AM220" s="18" t="s">
        <v>109</v>
      </c>
      <c r="AN220" s="18" t="s">
        <v>109</v>
      </c>
      <c r="AO220" s="18" t="s">
        <v>109</v>
      </c>
      <c r="AP220" s="18" t="s">
        <v>109</v>
      </c>
      <c r="AQ220" s="18" t="s">
        <v>109</v>
      </c>
      <c r="AR220" s="18" t="s">
        <v>109</v>
      </c>
      <c r="AS220" s="18" t="s">
        <v>109</v>
      </c>
      <c r="AT220" s="18" t="s">
        <v>109</v>
      </c>
      <c r="AU220" s="18" t="s">
        <v>109</v>
      </c>
      <c r="AV220" s="36" t="s">
        <v>109</v>
      </c>
    </row>
    <row r="221" spans="1:48" ht="70.5" hidden="1" customHeight="1" x14ac:dyDescent="0.3">
      <c r="A221" s="15" t="s">
        <v>25</v>
      </c>
      <c r="B221" s="15" t="s">
        <v>1280</v>
      </c>
      <c r="C221" s="15" t="s">
        <v>430</v>
      </c>
      <c r="D221" s="15" t="s">
        <v>32</v>
      </c>
      <c r="E221" s="18" t="s">
        <v>109</v>
      </c>
      <c r="F221" s="18" t="s">
        <v>109</v>
      </c>
      <c r="G221" s="18" t="s">
        <v>109</v>
      </c>
      <c r="H221" s="18" t="s">
        <v>109</v>
      </c>
      <c r="I221" s="18" t="s">
        <v>19</v>
      </c>
      <c r="J221" s="18" t="s">
        <v>19</v>
      </c>
      <c r="K221" s="18" t="s">
        <v>109</v>
      </c>
      <c r="L221" s="18" t="s">
        <v>109</v>
      </c>
      <c r="M221" s="15" t="s">
        <v>1466</v>
      </c>
      <c r="N221" s="4" t="s">
        <v>1466</v>
      </c>
      <c r="O221" s="15"/>
      <c r="P221" s="4" t="s">
        <v>2161</v>
      </c>
      <c r="S221" s="15" t="e" cm="1">
        <f t="array" aca="1" ref="S221" ca="1">COMMONMARKETCOUNT(H221:AV221)</f>
        <v>#NAME?</v>
      </c>
      <c r="T221" s="6" t="e" cm="1">
        <f t="array" aca="1" ref="T221" ca="1">AUTOMATEDCOUNT(H221:AV221)</f>
        <v>#NAME?</v>
      </c>
      <c r="V221" s="18" t="s">
        <v>109</v>
      </c>
      <c r="W221" s="18" t="s">
        <v>109</v>
      </c>
      <c r="X221" s="18" t="s">
        <v>109</v>
      </c>
      <c r="Y221" s="18" t="s">
        <v>109</v>
      </c>
      <c r="Z221" s="18" t="s">
        <v>109</v>
      </c>
      <c r="AA221" s="18" t="s">
        <v>19</v>
      </c>
      <c r="AB221" s="18" t="s">
        <v>19</v>
      </c>
      <c r="AC221" s="18" t="s">
        <v>19</v>
      </c>
      <c r="AD221" s="18" t="s">
        <v>19</v>
      </c>
      <c r="AE221" s="18" t="s">
        <v>19</v>
      </c>
      <c r="AF221" s="18" t="s">
        <v>109</v>
      </c>
      <c r="AG221" s="18" t="s">
        <v>109</v>
      </c>
      <c r="AH221" s="18" t="s">
        <v>109</v>
      </c>
      <c r="AI221" s="18" t="s">
        <v>109</v>
      </c>
      <c r="AJ221" s="18" t="s">
        <v>109</v>
      </c>
      <c r="AK221" s="18" t="s">
        <v>109</v>
      </c>
      <c r="AL221" s="18" t="s">
        <v>109</v>
      </c>
      <c r="AM221" s="18" t="s">
        <v>109</v>
      </c>
      <c r="AN221" s="18" t="s">
        <v>109</v>
      </c>
      <c r="AO221" s="18" t="s">
        <v>109</v>
      </c>
      <c r="AP221" s="18" t="s">
        <v>109</v>
      </c>
      <c r="AQ221" s="18" t="s">
        <v>109</v>
      </c>
      <c r="AR221" s="18" t="s">
        <v>109</v>
      </c>
      <c r="AS221" s="18" t="s">
        <v>109</v>
      </c>
      <c r="AT221" s="18" t="s">
        <v>109</v>
      </c>
      <c r="AU221" s="18" t="s">
        <v>109</v>
      </c>
      <c r="AV221" s="36" t="s">
        <v>109</v>
      </c>
    </row>
    <row r="222" spans="1:48" ht="70.5" hidden="1" customHeight="1" x14ac:dyDescent="0.3">
      <c r="A222" s="15" t="s">
        <v>56</v>
      </c>
      <c r="B222" s="15" t="s">
        <v>1298</v>
      </c>
      <c r="C222" s="15" t="s">
        <v>431</v>
      </c>
      <c r="D222" s="15" t="s">
        <v>32</v>
      </c>
      <c r="E222" s="18" t="s">
        <v>109</v>
      </c>
      <c r="F222" s="18" t="s">
        <v>109</v>
      </c>
      <c r="G222" s="18" t="s">
        <v>109</v>
      </c>
      <c r="H222" s="18" t="s">
        <v>109</v>
      </c>
      <c r="I222" s="18" t="s">
        <v>19</v>
      </c>
      <c r="J222" s="18" t="s">
        <v>19</v>
      </c>
      <c r="K222" s="18" t="s">
        <v>19</v>
      </c>
      <c r="L222" s="18" t="s">
        <v>19</v>
      </c>
      <c r="M222" s="15" t="s">
        <v>432</v>
      </c>
      <c r="N222" s="4" t="s">
        <v>1203</v>
      </c>
      <c r="O222" s="15"/>
      <c r="P222" s="4" t="s">
        <v>3067</v>
      </c>
      <c r="S222" s="15" t="e" cm="1">
        <f t="array" aca="1" ref="S222" ca="1">COMMONMARKETCOUNT(H222:AV222)</f>
        <v>#NAME?</v>
      </c>
      <c r="T222" s="6" t="e" cm="1">
        <f t="array" aca="1" ref="T222" ca="1">AUTOMATEDCOUNT(H222:AV222)</f>
        <v>#NAME?</v>
      </c>
      <c r="V222" s="18" t="s">
        <v>109</v>
      </c>
      <c r="W222" s="18" t="s">
        <v>109</v>
      </c>
      <c r="X222" s="18" t="s">
        <v>109</v>
      </c>
      <c r="Y222" s="18" t="s">
        <v>109</v>
      </c>
      <c r="Z222" s="18" t="s">
        <v>109</v>
      </c>
      <c r="AA222" s="18" t="s">
        <v>19</v>
      </c>
      <c r="AB222" s="18" t="s">
        <v>19</v>
      </c>
      <c r="AC222" s="18" t="s">
        <v>19</v>
      </c>
      <c r="AD222" s="18" t="s">
        <v>19</v>
      </c>
      <c r="AE222" s="18" t="s">
        <v>19</v>
      </c>
      <c r="AF222" s="18" t="s">
        <v>19</v>
      </c>
      <c r="AG222" s="18" t="s">
        <v>19</v>
      </c>
      <c r="AH222" s="18" t="s">
        <v>19</v>
      </c>
      <c r="AI222" s="18" t="s">
        <v>19</v>
      </c>
      <c r="AJ222" s="18" t="s">
        <v>19</v>
      </c>
      <c r="AK222" s="18" t="s">
        <v>19</v>
      </c>
      <c r="AL222" s="18" t="s">
        <v>19</v>
      </c>
      <c r="AM222" s="18" t="s">
        <v>19</v>
      </c>
      <c r="AN222" s="18" t="s">
        <v>19</v>
      </c>
      <c r="AO222" s="18" t="s">
        <v>19</v>
      </c>
      <c r="AP222" s="18" t="s">
        <v>109</v>
      </c>
      <c r="AQ222" s="18" t="s">
        <v>109</v>
      </c>
      <c r="AR222" s="18" t="s">
        <v>109</v>
      </c>
      <c r="AS222" s="18" t="s">
        <v>109</v>
      </c>
      <c r="AT222" s="18" t="s">
        <v>109</v>
      </c>
      <c r="AU222" s="15" t="s">
        <v>109</v>
      </c>
      <c r="AV222" s="36" t="s">
        <v>109</v>
      </c>
    </row>
    <row r="223" spans="1:48" ht="70.5" hidden="1" customHeight="1" x14ac:dyDescent="0.3">
      <c r="A223" s="15" t="s">
        <v>56</v>
      </c>
      <c r="B223" s="15" t="s">
        <v>1298</v>
      </c>
      <c r="C223" s="15" t="s">
        <v>433</v>
      </c>
      <c r="D223" s="15" t="s">
        <v>32</v>
      </c>
      <c r="E223" s="18" t="s">
        <v>109</v>
      </c>
      <c r="F223" s="18" t="s">
        <v>109</v>
      </c>
      <c r="G223" s="18" t="s">
        <v>109</v>
      </c>
      <c r="H223" s="18" t="s">
        <v>109</v>
      </c>
      <c r="I223" s="18" t="s">
        <v>19</v>
      </c>
      <c r="J223" s="18" t="s">
        <v>19</v>
      </c>
      <c r="K223" s="18" t="s">
        <v>19</v>
      </c>
      <c r="L223" s="18" t="s">
        <v>19</v>
      </c>
      <c r="M223" s="15" t="s">
        <v>434</v>
      </c>
      <c r="N223" s="4" t="s">
        <v>1204</v>
      </c>
      <c r="O223" s="15"/>
      <c r="P223" s="4" t="s">
        <v>3068</v>
      </c>
      <c r="S223" s="15" t="e" cm="1">
        <f t="array" aca="1" ref="S223" ca="1">COMMONMARKETCOUNT(H223:AV223)</f>
        <v>#NAME?</v>
      </c>
      <c r="T223" s="6" t="e" cm="1">
        <f t="array" aca="1" ref="T223" ca="1">AUTOMATEDCOUNT(H223:AV223)</f>
        <v>#NAME?</v>
      </c>
      <c r="V223" s="18" t="s">
        <v>109</v>
      </c>
      <c r="W223" s="18" t="s">
        <v>109</v>
      </c>
      <c r="X223" s="18" t="s">
        <v>109</v>
      </c>
      <c r="Y223" s="18" t="s">
        <v>109</v>
      </c>
      <c r="Z223" s="18" t="s">
        <v>109</v>
      </c>
      <c r="AA223" s="18" t="s">
        <v>19</v>
      </c>
      <c r="AB223" s="18" t="s">
        <v>19</v>
      </c>
      <c r="AC223" s="18" t="s">
        <v>19</v>
      </c>
      <c r="AD223" s="18" t="s">
        <v>19</v>
      </c>
      <c r="AE223" s="18" t="s">
        <v>19</v>
      </c>
      <c r="AF223" s="18" t="s">
        <v>19</v>
      </c>
      <c r="AG223" s="18" t="s">
        <v>19</v>
      </c>
      <c r="AH223" s="18" t="s">
        <v>19</v>
      </c>
      <c r="AI223" s="18" t="s">
        <v>19</v>
      </c>
      <c r="AJ223" s="18" t="s">
        <v>19</v>
      </c>
      <c r="AK223" s="18" t="s">
        <v>19</v>
      </c>
      <c r="AL223" s="18" t="s">
        <v>19</v>
      </c>
      <c r="AM223" s="18" t="s">
        <v>19</v>
      </c>
      <c r="AN223" s="18" t="s">
        <v>19</v>
      </c>
      <c r="AO223" s="18" t="s">
        <v>19</v>
      </c>
      <c r="AP223" s="18" t="s">
        <v>109</v>
      </c>
      <c r="AQ223" s="18" t="s">
        <v>109</v>
      </c>
      <c r="AR223" s="18" t="s">
        <v>109</v>
      </c>
      <c r="AS223" s="18" t="s">
        <v>109</v>
      </c>
      <c r="AT223" s="18" t="s">
        <v>109</v>
      </c>
      <c r="AU223" s="18" t="s">
        <v>109</v>
      </c>
      <c r="AV223" s="36" t="s">
        <v>109</v>
      </c>
    </row>
    <row r="224" spans="1:48" ht="70.5" hidden="1" customHeight="1" x14ac:dyDescent="0.3">
      <c r="A224" s="15" t="s">
        <v>25</v>
      </c>
      <c r="B224" s="15" t="s">
        <v>1126</v>
      </c>
      <c r="C224" s="15" t="s">
        <v>435</v>
      </c>
      <c r="D224" s="15" t="s">
        <v>19</v>
      </c>
      <c r="E224" s="18" t="s">
        <v>109</v>
      </c>
      <c r="F224" s="18" t="s">
        <v>109</v>
      </c>
      <c r="G224" s="18" t="s">
        <v>109</v>
      </c>
      <c r="H224" s="18" t="s">
        <v>109</v>
      </c>
      <c r="I224" s="72" t="s">
        <v>19</v>
      </c>
      <c r="J224" s="122" t="s">
        <v>3192</v>
      </c>
      <c r="K224" s="18" t="s">
        <v>109</v>
      </c>
      <c r="L224" s="18" t="s">
        <v>109</v>
      </c>
      <c r="M224" s="15" t="s">
        <v>1411</v>
      </c>
      <c r="N224" s="4" t="s">
        <v>1412</v>
      </c>
      <c r="O224" s="15"/>
      <c r="P224" s="4" t="s">
        <v>3069</v>
      </c>
      <c r="S224" s="15" t="e" cm="1">
        <f t="array" aca="1" ref="S224" ca="1">COMMONMARKETCOUNT(H224:AV224)</f>
        <v>#NAME?</v>
      </c>
      <c r="T224" s="6" t="e" cm="1">
        <f t="array" aca="1" ref="T224" ca="1">AUTOMATEDCOUNT(H224:AV224)</f>
        <v>#NAME?</v>
      </c>
      <c r="V224" s="18" t="s">
        <v>109</v>
      </c>
      <c r="W224" s="18" t="s">
        <v>109</v>
      </c>
      <c r="X224" s="18" t="s">
        <v>109</v>
      </c>
      <c r="Y224" s="18" t="s">
        <v>109</v>
      </c>
      <c r="Z224" s="18" t="s">
        <v>109</v>
      </c>
      <c r="AA224" s="72" t="s">
        <v>19</v>
      </c>
      <c r="AB224" s="72" t="s">
        <v>19</v>
      </c>
      <c r="AC224" s="72" t="s">
        <v>19</v>
      </c>
      <c r="AD224" s="72" t="s">
        <v>19</v>
      </c>
      <c r="AE224" s="18" t="s">
        <v>19</v>
      </c>
      <c r="AF224" s="18" t="s">
        <v>109</v>
      </c>
      <c r="AG224" s="18" t="s">
        <v>109</v>
      </c>
      <c r="AH224" s="18" t="s">
        <v>109</v>
      </c>
      <c r="AI224" s="18" t="s">
        <v>109</v>
      </c>
      <c r="AJ224" s="18" t="s">
        <v>109</v>
      </c>
      <c r="AK224" s="18" t="s">
        <v>109</v>
      </c>
      <c r="AL224" s="18" t="s">
        <v>109</v>
      </c>
      <c r="AM224" s="18" t="s">
        <v>109</v>
      </c>
      <c r="AN224" s="18" t="s">
        <v>109</v>
      </c>
      <c r="AO224" s="18" t="s">
        <v>109</v>
      </c>
      <c r="AP224" s="18" t="s">
        <v>109</v>
      </c>
      <c r="AQ224" s="18" t="s">
        <v>109</v>
      </c>
      <c r="AR224" s="18" t="s">
        <v>109</v>
      </c>
      <c r="AS224" s="18" t="s">
        <v>109</v>
      </c>
      <c r="AT224" s="18" t="s">
        <v>109</v>
      </c>
      <c r="AU224" s="18" t="s">
        <v>109</v>
      </c>
      <c r="AV224" s="36" t="s">
        <v>109</v>
      </c>
    </row>
    <row r="225" spans="1:264" ht="70.5" hidden="1" customHeight="1" x14ac:dyDescent="0.3">
      <c r="A225" s="15" t="s">
        <v>25</v>
      </c>
      <c r="B225" s="15" t="s">
        <v>1126</v>
      </c>
      <c r="C225" s="15" t="s">
        <v>436</v>
      </c>
      <c r="D225" s="15" t="s">
        <v>19</v>
      </c>
      <c r="E225" s="18" t="s">
        <v>109</v>
      </c>
      <c r="F225" s="18" t="s">
        <v>109</v>
      </c>
      <c r="G225" s="18" t="s">
        <v>109</v>
      </c>
      <c r="H225" s="18" t="s">
        <v>109</v>
      </c>
      <c r="I225" s="72" t="s">
        <v>19</v>
      </c>
      <c r="J225" s="122" t="s">
        <v>3192</v>
      </c>
      <c r="K225" s="18" t="s">
        <v>109</v>
      </c>
      <c r="L225" s="18" t="s">
        <v>109</v>
      </c>
      <c r="M225" s="15" t="s">
        <v>1413</v>
      </c>
      <c r="N225" s="4" t="s">
        <v>1414</v>
      </c>
      <c r="O225" s="15"/>
      <c r="P225" s="4" t="s">
        <v>3070</v>
      </c>
      <c r="S225" s="15" t="e" cm="1">
        <f t="array" aca="1" ref="S225" ca="1">COMMONMARKETCOUNT(H225:AV225)</f>
        <v>#NAME?</v>
      </c>
      <c r="T225" s="6" t="e" cm="1">
        <f t="array" aca="1" ref="T225" ca="1">AUTOMATEDCOUNT(H225:AV225)</f>
        <v>#NAME?</v>
      </c>
      <c r="V225" s="18" t="s">
        <v>109</v>
      </c>
      <c r="W225" s="18" t="s">
        <v>109</v>
      </c>
      <c r="X225" s="18" t="s">
        <v>109</v>
      </c>
      <c r="Y225" s="18" t="s">
        <v>109</v>
      </c>
      <c r="Z225" s="18" t="s">
        <v>109</v>
      </c>
      <c r="AA225" s="72" t="s">
        <v>19</v>
      </c>
      <c r="AB225" s="72" t="s">
        <v>19</v>
      </c>
      <c r="AC225" s="72" t="s">
        <v>19</v>
      </c>
      <c r="AD225" s="72" t="s">
        <v>19</v>
      </c>
      <c r="AE225" s="18" t="s">
        <v>19</v>
      </c>
      <c r="AF225" s="18" t="s">
        <v>109</v>
      </c>
      <c r="AG225" s="18" t="s">
        <v>109</v>
      </c>
      <c r="AH225" s="18" t="s">
        <v>109</v>
      </c>
      <c r="AI225" s="18" t="s">
        <v>109</v>
      </c>
      <c r="AJ225" s="18" t="s">
        <v>109</v>
      </c>
      <c r="AK225" s="18" t="s">
        <v>109</v>
      </c>
      <c r="AL225" s="18" t="s">
        <v>109</v>
      </c>
      <c r="AM225" s="18" t="s">
        <v>109</v>
      </c>
      <c r="AN225" s="18" t="s">
        <v>109</v>
      </c>
      <c r="AO225" s="18" t="s">
        <v>109</v>
      </c>
      <c r="AP225" s="18" t="s">
        <v>109</v>
      </c>
      <c r="AQ225" s="18" t="s">
        <v>109</v>
      </c>
      <c r="AR225" s="18" t="s">
        <v>109</v>
      </c>
      <c r="AS225" s="18" t="s">
        <v>109</v>
      </c>
      <c r="AT225" s="18" t="s">
        <v>109</v>
      </c>
      <c r="AU225" s="18" t="s">
        <v>109</v>
      </c>
      <c r="AV225" s="36" t="s">
        <v>109</v>
      </c>
    </row>
    <row r="226" spans="1:264" s="5" customFormat="1" ht="70.5" hidden="1" customHeight="1" x14ac:dyDescent="0.3">
      <c r="A226" s="15" t="s">
        <v>25</v>
      </c>
      <c r="B226" s="15" t="s">
        <v>1126</v>
      </c>
      <c r="C226" s="15" t="s">
        <v>437</v>
      </c>
      <c r="D226" s="15" t="s">
        <v>19</v>
      </c>
      <c r="E226" s="18" t="s">
        <v>109</v>
      </c>
      <c r="F226" s="18" t="s">
        <v>109</v>
      </c>
      <c r="G226" s="18" t="s">
        <v>109</v>
      </c>
      <c r="H226" s="18" t="s">
        <v>109</v>
      </c>
      <c r="I226" s="72" t="s">
        <v>19</v>
      </c>
      <c r="J226" s="122" t="s">
        <v>3192</v>
      </c>
      <c r="K226" s="18" t="s">
        <v>109</v>
      </c>
      <c r="L226" s="18" t="s">
        <v>109</v>
      </c>
      <c r="M226" s="15" t="s">
        <v>1415</v>
      </c>
      <c r="N226" s="4" t="s">
        <v>1416</v>
      </c>
      <c r="O226" s="15"/>
      <c r="P226" s="4" t="s">
        <v>3071</v>
      </c>
      <c r="S226" s="15" t="e" cm="1">
        <f t="array" aca="1" ref="S226" ca="1">COMMONMARKETCOUNT(H226:AV226)</f>
        <v>#NAME?</v>
      </c>
      <c r="T226" s="6" t="e" cm="1">
        <f t="array" aca="1" ref="T226" ca="1">AUTOMATEDCOUNT(H226:AV226)</f>
        <v>#NAME?</v>
      </c>
      <c r="V226" s="18" t="s">
        <v>109</v>
      </c>
      <c r="W226" s="18" t="s">
        <v>109</v>
      </c>
      <c r="X226" s="18" t="s">
        <v>109</v>
      </c>
      <c r="Y226" s="18" t="s">
        <v>109</v>
      </c>
      <c r="Z226" s="18" t="s">
        <v>109</v>
      </c>
      <c r="AA226" s="72" t="s">
        <v>19</v>
      </c>
      <c r="AB226" s="72" t="s">
        <v>19</v>
      </c>
      <c r="AC226" s="72" t="s">
        <v>19</v>
      </c>
      <c r="AD226" s="72" t="s">
        <v>19</v>
      </c>
      <c r="AE226" s="18" t="s">
        <v>19</v>
      </c>
      <c r="AF226" s="18" t="s">
        <v>109</v>
      </c>
      <c r="AG226" s="18" t="s">
        <v>109</v>
      </c>
      <c r="AH226" s="18" t="s">
        <v>109</v>
      </c>
      <c r="AI226" s="18" t="s">
        <v>109</v>
      </c>
      <c r="AJ226" s="18" t="s">
        <v>109</v>
      </c>
      <c r="AK226" s="18" t="s">
        <v>109</v>
      </c>
      <c r="AL226" s="18" t="s">
        <v>109</v>
      </c>
      <c r="AM226" s="18" t="s">
        <v>109</v>
      </c>
      <c r="AN226" s="18" t="s">
        <v>109</v>
      </c>
      <c r="AO226" s="18" t="s">
        <v>109</v>
      </c>
      <c r="AP226" s="18" t="s">
        <v>109</v>
      </c>
      <c r="AQ226" s="18" t="s">
        <v>109</v>
      </c>
      <c r="AR226" s="18" t="s">
        <v>109</v>
      </c>
      <c r="AS226" s="18" t="s">
        <v>109</v>
      </c>
      <c r="AT226" s="18" t="s">
        <v>109</v>
      </c>
      <c r="AU226" s="18" t="s">
        <v>109</v>
      </c>
      <c r="AV226" s="36" t="s">
        <v>109</v>
      </c>
      <c r="AW226" s="16"/>
      <c r="AX226" s="16"/>
      <c r="AY226" s="16"/>
      <c r="AZ226" s="16"/>
      <c r="BA226" s="16"/>
      <c r="BB226" s="16"/>
      <c r="BC226" s="16"/>
      <c r="BD226" s="16"/>
      <c r="BE226" s="16"/>
      <c r="BF226" s="16"/>
      <c r="BG226" s="16"/>
      <c r="BH226" s="16"/>
      <c r="BI226" s="16"/>
      <c r="BJ226" s="16"/>
      <c r="BK226" s="16"/>
      <c r="BL226" s="16"/>
      <c r="BM226" s="16"/>
      <c r="BN226" s="16"/>
      <c r="BO226" s="16"/>
      <c r="BP226" s="16"/>
      <c r="BQ226" s="16"/>
      <c r="BR226" s="16"/>
      <c r="BS226" s="16"/>
      <c r="BT226" s="16"/>
      <c r="BU226" s="16"/>
      <c r="BV226" s="16"/>
      <c r="BW226" s="16"/>
      <c r="BX226" s="16"/>
      <c r="BY226" s="16"/>
      <c r="BZ226" s="16"/>
      <c r="CA226" s="16"/>
      <c r="CB226" s="16"/>
      <c r="CC226" s="16"/>
      <c r="CD226" s="16"/>
      <c r="CE226" s="16"/>
      <c r="CF226" s="16"/>
      <c r="CG226" s="16"/>
      <c r="CH226" s="16"/>
      <c r="CI226" s="16"/>
      <c r="CJ226" s="16"/>
      <c r="CK226" s="16"/>
      <c r="CL226" s="16"/>
      <c r="CM226" s="16"/>
      <c r="CN226" s="16"/>
      <c r="CO226" s="16"/>
      <c r="CP226" s="16"/>
      <c r="CQ226" s="16"/>
      <c r="CR226" s="16"/>
      <c r="CS226" s="16"/>
      <c r="CT226" s="16"/>
      <c r="CU226" s="16"/>
      <c r="CV226" s="16"/>
      <c r="CW226" s="16"/>
      <c r="CX226" s="16"/>
      <c r="CY226" s="16"/>
      <c r="CZ226" s="16"/>
      <c r="DA226" s="16"/>
      <c r="DB226" s="16"/>
      <c r="DC226" s="16"/>
      <c r="DD226" s="16"/>
      <c r="DE226" s="16"/>
      <c r="DF226" s="16"/>
      <c r="DG226" s="16"/>
      <c r="DH226" s="16"/>
      <c r="DI226" s="16"/>
      <c r="DJ226" s="16"/>
      <c r="DK226" s="16"/>
      <c r="DL226" s="16"/>
      <c r="DM226" s="16"/>
      <c r="DN226" s="16"/>
      <c r="DO226" s="16"/>
      <c r="DP226" s="16"/>
      <c r="DQ226" s="16"/>
      <c r="DR226" s="16"/>
      <c r="DS226" s="16"/>
      <c r="DT226" s="16"/>
      <c r="DU226" s="16"/>
      <c r="DV226" s="16"/>
      <c r="DW226" s="16"/>
      <c r="DX226" s="16"/>
      <c r="DY226" s="16"/>
      <c r="DZ226" s="16"/>
      <c r="EA226" s="16"/>
      <c r="EB226" s="16"/>
      <c r="EC226" s="16"/>
      <c r="ED226" s="16"/>
      <c r="EE226" s="16"/>
      <c r="EF226" s="16"/>
      <c r="EG226" s="16"/>
      <c r="EH226" s="16"/>
      <c r="EI226" s="16"/>
      <c r="EJ226" s="16"/>
      <c r="EK226" s="16"/>
      <c r="EL226" s="16"/>
      <c r="EM226" s="16"/>
      <c r="EN226" s="16"/>
      <c r="EO226" s="16"/>
      <c r="EP226" s="16"/>
      <c r="EQ226" s="16"/>
      <c r="ER226" s="16"/>
      <c r="ES226" s="16"/>
      <c r="ET226" s="16"/>
      <c r="EU226" s="16"/>
      <c r="EV226" s="16"/>
      <c r="EW226" s="16"/>
      <c r="EX226" s="16"/>
      <c r="EY226" s="16"/>
      <c r="EZ226" s="16"/>
      <c r="FA226" s="16"/>
      <c r="FB226" s="16"/>
      <c r="FC226" s="16"/>
      <c r="FD226" s="16"/>
      <c r="FE226" s="16"/>
      <c r="FF226" s="16"/>
      <c r="FG226" s="16"/>
      <c r="FH226" s="16"/>
      <c r="FI226" s="16"/>
      <c r="FJ226" s="16"/>
      <c r="FK226" s="16"/>
      <c r="FL226" s="16"/>
      <c r="FM226" s="16"/>
      <c r="FN226" s="16"/>
      <c r="FO226" s="16"/>
      <c r="FP226" s="16"/>
      <c r="FQ226" s="16"/>
      <c r="FR226" s="16"/>
      <c r="FS226" s="16"/>
      <c r="FT226" s="16"/>
      <c r="FU226" s="16"/>
      <c r="FV226" s="16"/>
      <c r="FW226" s="16"/>
      <c r="FX226" s="16"/>
      <c r="FY226" s="16"/>
      <c r="FZ226" s="16"/>
      <c r="GA226" s="16"/>
      <c r="GB226" s="16"/>
      <c r="GC226" s="16"/>
      <c r="GD226" s="16"/>
      <c r="GE226" s="16"/>
      <c r="GF226" s="16"/>
      <c r="GG226" s="16"/>
      <c r="GH226" s="16"/>
      <c r="GI226" s="16"/>
      <c r="GJ226" s="16"/>
      <c r="GK226" s="16"/>
      <c r="GL226" s="16"/>
      <c r="GM226" s="16"/>
      <c r="GN226" s="16"/>
      <c r="GO226" s="16"/>
      <c r="GP226" s="16"/>
      <c r="GQ226" s="16"/>
      <c r="GR226" s="16"/>
      <c r="GS226" s="16"/>
      <c r="GT226" s="16"/>
      <c r="GU226" s="16"/>
      <c r="GV226" s="16"/>
      <c r="GW226" s="16"/>
      <c r="GX226" s="16"/>
      <c r="GY226" s="16"/>
      <c r="GZ226" s="16"/>
      <c r="HA226" s="16"/>
      <c r="HB226" s="16"/>
      <c r="HC226" s="16"/>
      <c r="HD226" s="16"/>
      <c r="HE226" s="16"/>
      <c r="HF226" s="16"/>
      <c r="HG226" s="16"/>
      <c r="HH226" s="16"/>
      <c r="HI226" s="16"/>
      <c r="HJ226" s="16"/>
      <c r="HK226" s="16"/>
      <c r="HL226" s="16"/>
      <c r="HM226" s="16"/>
      <c r="HN226" s="16"/>
      <c r="HO226" s="16"/>
      <c r="HP226" s="16"/>
      <c r="HQ226" s="16"/>
      <c r="HR226" s="16"/>
      <c r="HS226" s="16"/>
      <c r="HT226" s="16"/>
      <c r="HU226" s="16"/>
      <c r="HV226" s="16"/>
      <c r="HW226" s="16"/>
      <c r="HX226" s="16"/>
      <c r="HY226" s="16"/>
      <c r="HZ226" s="16"/>
      <c r="IA226" s="16"/>
      <c r="IB226" s="16"/>
      <c r="IC226" s="16"/>
      <c r="ID226" s="16"/>
      <c r="IE226" s="16"/>
      <c r="IF226" s="16"/>
      <c r="IG226" s="16"/>
      <c r="IH226" s="16"/>
      <c r="II226" s="16"/>
      <c r="IJ226" s="16"/>
      <c r="IK226" s="16"/>
      <c r="IL226" s="16"/>
      <c r="IM226" s="16"/>
      <c r="IN226" s="16"/>
      <c r="IO226" s="16"/>
      <c r="IP226" s="16"/>
      <c r="IQ226" s="16"/>
      <c r="IR226" s="16"/>
      <c r="IS226" s="16"/>
      <c r="IT226" s="16"/>
      <c r="IU226" s="16"/>
      <c r="IV226" s="16"/>
      <c r="IW226" s="16"/>
      <c r="IX226" s="16"/>
      <c r="IY226" s="16"/>
      <c r="IZ226" s="16"/>
      <c r="JA226" s="16"/>
      <c r="JB226" s="16"/>
      <c r="JC226" s="16"/>
      <c r="JD226" s="16"/>
    </row>
    <row r="227" spans="1:264" s="5" customFormat="1" ht="70.5" hidden="1" customHeight="1" x14ac:dyDescent="0.3">
      <c r="A227" s="15" t="s">
        <v>56</v>
      </c>
      <c r="B227" s="15" t="s">
        <v>1282</v>
      </c>
      <c r="C227" s="15" t="s">
        <v>438</v>
      </c>
      <c r="D227" s="15" t="s">
        <v>19</v>
      </c>
      <c r="E227" s="18" t="s">
        <v>109</v>
      </c>
      <c r="F227" s="18" t="s">
        <v>109</v>
      </c>
      <c r="G227" s="18" t="s">
        <v>109</v>
      </c>
      <c r="H227" s="18" t="s">
        <v>109</v>
      </c>
      <c r="I227" s="18" t="s">
        <v>19</v>
      </c>
      <c r="J227" s="18" t="s">
        <v>19</v>
      </c>
      <c r="K227" s="72" t="s">
        <v>19</v>
      </c>
      <c r="L227" s="72" t="s">
        <v>19</v>
      </c>
      <c r="M227" s="15" t="s">
        <v>439</v>
      </c>
      <c r="N227" s="4" t="s">
        <v>1205</v>
      </c>
      <c r="O227" s="15"/>
      <c r="P227" s="4" t="s">
        <v>3072</v>
      </c>
      <c r="S227" s="15" t="e" cm="1">
        <f t="array" aca="1" ref="S227" ca="1">COMMONMARKETCOUNT(H227:AV227)</f>
        <v>#NAME?</v>
      </c>
      <c r="T227" s="6" t="e" cm="1">
        <f t="array" aca="1" ref="T227" ca="1">AUTOMATEDCOUNT(H227:AV227)</f>
        <v>#NAME?</v>
      </c>
      <c r="V227" s="18" t="s">
        <v>109</v>
      </c>
      <c r="W227" s="18" t="s">
        <v>109</v>
      </c>
      <c r="X227" s="18" t="s">
        <v>109</v>
      </c>
      <c r="Y227" s="18" t="s">
        <v>109</v>
      </c>
      <c r="Z227" s="18" t="s">
        <v>109</v>
      </c>
      <c r="AA227" s="18" t="s">
        <v>19</v>
      </c>
      <c r="AB227" s="18" t="s">
        <v>19</v>
      </c>
      <c r="AC227" s="18" t="s">
        <v>19</v>
      </c>
      <c r="AD227" s="18" t="s">
        <v>19</v>
      </c>
      <c r="AE227" s="18" t="s">
        <v>19</v>
      </c>
      <c r="AF227" s="18" t="s">
        <v>19</v>
      </c>
      <c r="AG227" s="18" t="s">
        <v>19</v>
      </c>
      <c r="AH227" s="18" t="s">
        <v>19</v>
      </c>
      <c r="AI227" s="18" t="s">
        <v>19</v>
      </c>
      <c r="AJ227" s="18" t="s">
        <v>19</v>
      </c>
      <c r="AK227" s="18" t="s">
        <v>19</v>
      </c>
      <c r="AL227" s="18" t="s">
        <v>19</v>
      </c>
      <c r="AM227" s="18" t="s">
        <v>19</v>
      </c>
      <c r="AN227" s="18" t="s">
        <v>19</v>
      </c>
      <c r="AO227" s="18" t="s">
        <v>19</v>
      </c>
      <c r="AP227" s="18" t="s">
        <v>109</v>
      </c>
      <c r="AQ227" s="18" t="s">
        <v>109</v>
      </c>
      <c r="AR227" s="18" t="s">
        <v>109</v>
      </c>
      <c r="AS227" s="18" t="s">
        <v>109</v>
      </c>
      <c r="AT227" s="18" t="s">
        <v>109</v>
      </c>
      <c r="AU227" s="18" t="s">
        <v>109</v>
      </c>
      <c r="AV227" s="36" t="s">
        <v>109</v>
      </c>
      <c r="AW227" s="16"/>
      <c r="AX227" s="16"/>
      <c r="AY227" s="16"/>
      <c r="AZ227" s="16"/>
      <c r="BA227" s="16"/>
      <c r="BB227" s="16"/>
      <c r="BC227" s="16"/>
      <c r="BD227" s="16"/>
      <c r="BE227" s="16"/>
      <c r="BF227" s="16"/>
      <c r="BG227" s="16"/>
      <c r="BH227" s="16"/>
      <c r="BI227" s="16"/>
      <c r="BJ227" s="16"/>
      <c r="BK227" s="16"/>
      <c r="BL227" s="16"/>
      <c r="BM227" s="16"/>
      <c r="BN227" s="16"/>
      <c r="BO227" s="16"/>
      <c r="BP227" s="16"/>
      <c r="BQ227" s="16"/>
      <c r="BR227" s="16"/>
      <c r="BS227" s="16"/>
      <c r="BT227" s="16"/>
      <c r="BU227" s="16"/>
      <c r="BV227" s="16"/>
      <c r="BW227" s="16"/>
      <c r="BX227" s="16"/>
      <c r="BY227" s="16"/>
      <c r="BZ227" s="16"/>
      <c r="CA227" s="16"/>
      <c r="CB227" s="16"/>
      <c r="CC227" s="16"/>
      <c r="CD227" s="16"/>
      <c r="CE227" s="16"/>
      <c r="CF227" s="16"/>
      <c r="CG227" s="16"/>
      <c r="CH227" s="16"/>
      <c r="CI227" s="16"/>
      <c r="CJ227" s="16"/>
      <c r="CK227" s="16"/>
      <c r="CL227" s="16"/>
      <c r="CM227" s="16"/>
      <c r="CN227" s="16"/>
      <c r="CO227" s="16"/>
      <c r="CP227" s="16"/>
      <c r="CQ227" s="16"/>
      <c r="CR227" s="16"/>
      <c r="CS227" s="16"/>
      <c r="CT227" s="16"/>
      <c r="CU227" s="16"/>
      <c r="CV227" s="16"/>
      <c r="CW227" s="16"/>
      <c r="CX227" s="16"/>
      <c r="CY227" s="16"/>
      <c r="CZ227" s="16"/>
      <c r="DA227" s="16"/>
      <c r="DB227" s="16"/>
      <c r="DC227" s="16"/>
      <c r="DD227" s="16"/>
      <c r="DE227" s="16"/>
      <c r="DF227" s="16"/>
      <c r="DG227" s="16"/>
      <c r="DH227" s="16"/>
      <c r="DI227" s="16"/>
      <c r="DJ227" s="16"/>
      <c r="DK227" s="16"/>
      <c r="DL227" s="16"/>
      <c r="DM227" s="16"/>
      <c r="DN227" s="16"/>
      <c r="DO227" s="16"/>
      <c r="DP227" s="16"/>
      <c r="DQ227" s="16"/>
      <c r="DR227" s="16"/>
      <c r="DS227" s="16"/>
      <c r="DT227" s="16"/>
      <c r="DU227" s="16"/>
      <c r="DV227" s="16"/>
      <c r="DW227" s="16"/>
      <c r="DX227" s="16"/>
      <c r="DY227" s="16"/>
      <c r="DZ227" s="16"/>
      <c r="EA227" s="16"/>
      <c r="EB227" s="16"/>
      <c r="EC227" s="16"/>
      <c r="ED227" s="16"/>
      <c r="EE227" s="16"/>
      <c r="EF227" s="16"/>
      <c r="EG227" s="16"/>
      <c r="EH227" s="16"/>
      <c r="EI227" s="16"/>
      <c r="EJ227" s="16"/>
      <c r="EK227" s="16"/>
      <c r="EL227" s="16"/>
      <c r="EM227" s="16"/>
      <c r="EN227" s="16"/>
      <c r="EO227" s="16"/>
      <c r="EP227" s="16"/>
      <c r="EQ227" s="16"/>
      <c r="ER227" s="16"/>
      <c r="ES227" s="16"/>
      <c r="ET227" s="16"/>
      <c r="EU227" s="16"/>
      <c r="EV227" s="16"/>
      <c r="EW227" s="16"/>
      <c r="EX227" s="16"/>
      <c r="EY227" s="16"/>
      <c r="EZ227" s="16"/>
      <c r="FA227" s="16"/>
      <c r="FB227" s="16"/>
      <c r="FC227" s="16"/>
      <c r="FD227" s="16"/>
      <c r="FE227" s="16"/>
      <c r="FF227" s="16"/>
      <c r="FG227" s="16"/>
      <c r="FH227" s="16"/>
      <c r="FI227" s="16"/>
      <c r="FJ227" s="16"/>
      <c r="FK227" s="16"/>
      <c r="FL227" s="16"/>
      <c r="FM227" s="16"/>
      <c r="FN227" s="16"/>
      <c r="FO227" s="16"/>
      <c r="FP227" s="16"/>
      <c r="FQ227" s="16"/>
      <c r="FR227" s="16"/>
      <c r="FS227" s="16"/>
      <c r="FT227" s="16"/>
      <c r="FU227" s="16"/>
      <c r="FV227" s="16"/>
      <c r="FW227" s="16"/>
      <c r="FX227" s="16"/>
      <c r="FY227" s="16"/>
      <c r="FZ227" s="16"/>
      <c r="GA227" s="16"/>
      <c r="GB227" s="16"/>
      <c r="GC227" s="16"/>
      <c r="GD227" s="16"/>
      <c r="GE227" s="16"/>
      <c r="GF227" s="16"/>
      <c r="GG227" s="16"/>
      <c r="GH227" s="16"/>
      <c r="GI227" s="16"/>
      <c r="GJ227" s="16"/>
      <c r="GK227" s="16"/>
      <c r="GL227" s="16"/>
      <c r="GM227" s="16"/>
      <c r="GN227" s="16"/>
      <c r="GO227" s="16"/>
      <c r="GP227" s="16"/>
      <c r="GQ227" s="16"/>
      <c r="GR227" s="16"/>
      <c r="GS227" s="16"/>
      <c r="GT227" s="16"/>
      <c r="GU227" s="16"/>
      <c r="GV227" s="16"/>
      <c r="GW227" s="16"/>
      <c r="GX227" s="16"/>
      <c r="GY227" s="16"/>
      <c r="GZ227" s="16"/>
      <c r="HA227" s="16"/>
      <c r="HB227" s="16"/>
      <c r="HC227" s="16"/>
      <c r="HD227" s="16"/>
      <c r="HE227" s="16"/>
      <c r="HF227" s="16"/>
      <c r="HG227" s="16"/>
      <c r="HH227" s="16"/>
      <c r="HI227" s="16"/>
      <c r="HJ227" s="16"/>
      <c r="HK227" s="16"/>
      <c r="HL227" s="16"/>
      <c r="HM227" s="16"/>
      <c r="HN227" s="16"/>
      <c r="HO227" s="16"/>
      <c r="HP227" s="16"/>
      <c r="HQ227" s="16"/>
      <c r="HR227" s="16"/>
      <c r="HS227" s="16"/>
      <c r="HT227" s="16"/>
      <c r="HU227" s="16"/>
      <c r="HV227" s="16"/>
      <c r="HW227" s="16"/>
      <c r="HX227" s="16"/>
      <c r="HY227" s="16"/>
      <c r="HZ227" s="16"/>
      <c r="IA227" s="16"/>
      <c r="IB227" s="16"/>
      <c r="IC227" s="16"/>
      <c r="ID227" s="16"/>
      <c r="IE227" s="16"/>
      <c r="IF227" s="16"/>
      <c r="IG227" s="16"/>
      <c r="IH227" s="16"/>
      <c r="II227" s="16"/>
      <c r="IJ227" s="16"/>
      <c r="IK227" s="16"/>
      <c r="IL227" s="16"/>
      <c r="IM227" s="16"/>
      <c r="IN227" s="16"/>
      <c r="IO227" s="16"/>
      <c r="IP227" s="16"/>
      <c r="IQ227" s="16"/>
      <c r="IR227" s="16"/>
      <c r="IS227" s="16"/>
      <c r="IT227" s="16"/>
      <c r="IU227" s="16"/>
      <c r="IV227" s="16"/>
      <c r="IW227" s="16"/>
      <c r="IX227" s="16"/>
      <c r="IY227" s="16"/>
      <c r="IZ227" s="16"/>
      <c r="JA227" s="16"/>
      <c r="JB227" s="16"/>
      <c r="JC227" s="16"/>
      <c r="JD227" s="16"/>
    </row>
    <row r="228" spans="1:264" s="5" customFormat="1" ht="70.5" hidden="1" customHeight="1" x14ac:dyDescent="0.3">
      <c r="A228" s="15" t="s">
        <v>25</v>
      </c>
      <c r="B228" s="15" t="s">
        <v>1282</v>
      </c>
      <c r="C228" s="15" t="s">
        <v>440</v>
      </c>
      <c r="D228" s="15" t="s">
        <v>19</v>
      </c>
      <c r="E228" s="18" t="s">
        <v>109</v>
      </c>
      <c r="F228" s="18" t="s">
        <v>109</v>
      </c>
      <c r="G228" s="18" t="s">
        <v>109</v>
      </c>
      <c r="H228" s="18" t="s">
        <v>109</v>
      </c>
      <c r="I228" s="18" t="s">
        <v>19</v>
      </c>
      <c r="J228" s="18" t="s">
        <v>19</v>
      </c>
      <c r="K228" s="72" t="s">
        <v>19</v>
      </c>
      <c r="L228" s="72" t="s">
        <v>19</v>
      </c>
      <c r="M228" s="15" t="s">
        <v>441</v>
      </c>
      <c r="N228" s="4" t="s">
        <v>1206</v>
      </c>
      <c r="O228" s="15"/>
      <c r="P228" s="4" t="s">
        <v>3073</v>
      </c>
      <c r="S228" s="15" t="e" cm="1">
        <f t="array" aca="1" ref="S228" ca="1">COMMONMARKETCOUNT(H228:AV228)</f>
        <v>#NAME?</v>
      </c>
      <c r="T228" s="6" t="e" cm="1">
        <f t="array" aca="1" ref="T228" ca="1">AUTOMATEDCOUNT(H228:AV228)</f>
        <v>#NAME?</v>
      </c>
      <c r="V228" s="18" t="s">
        <v>109</v>
      </c>
      <c r="W228" s="18" t="s">
        <v>109</v>
      </c>
      <c r="X228" s="18" t="s">
        <v>109</v>
      </c>
      <c r="Y228" s="18" t="s">
        <v>109</v>
      </c>
      <c r="Z228" s="18" t="s">
        <v>109</v>
      </c>
      <c r="AA228" s="18" t="s">
        <v>19</v>
      </c>
      <c r="AB228" s="18" t="s">
        <v>19</v>
      </c>
      <c r="AC228" s="18" t="s">
        <v>19</v>
      </c>
      <c r="AD228" s="18" t="s">
        <v>19</v>
      </c>
      <c r="AE228" s="18" t="s">
        <v>19</v>
      </c>
      <c r="AF228" s="18" t="s">
        <v>19</v>
      </c>
      <c r="AG228" s="18" t="s">
        <v>19</v>
      </c>
      <c r="AH228" s="18" t="s">
        <v>19</v>
      </c>
      <c r="AI228" s="18" t="s">
        <v>19</v>
      </c>
      <c r="AJ228" s="18" t="s">
        <v>19</v>
      </c>
      <c r="AK228" s="18" t="s">
        <v>19</v>
      </c>
      <c r="AL228" s="18" t="s">
        <v>19</v>
      </c>
      <c r="AM228" s="18" t="s">
        <v>19</v>
      </c>
      <c r="AN228" s="18" t="s">
        <v>19</v>
      </c>
      <c r="AO228" s="18" t="s">
        <v>19</v>
      </c>
      <c r="AP228" s="18" t="s">
        <v>109</v>
      </c>
      <c r="AQ228" s="18" t="s">
        <v>109</v>
      </c>
      <c r="AR228" s="18" t="s">
        <v>109</v>
      </c>
      <c r="AS228" s="18" t="s">
        <v>109</v>
      </c>
      <c r="AT228" s="18" t="s">
        <v>109</v>
      </c>
      <c r="AU228" s="18" t="s">
        <v>109</v>
      </c>
      <c r="AV228" s="36" t="s">
        <v>109</v>
      </c>
      <c r="AW228" s="16"/>
      <c r="AX228" s="16"/>
      <c r="AY228" s="16"/>
      <c r="AZ228" s="16"/>
      <c r="BA228" s="16"/>
      <c r="BB228" s="16"/>
      <c r="BC228" s="16"/>
      <c r="BD228" s="16"/>
      <c r="BE228" s="16"/>
      <c r="BF228" s="16"/>
      <c r="BG228" s="16"/>
      <c r="BH228" s="16"/>
      <c r="BI228" s="16"/>
      <c r="BJ228" s="16"/>
      <c r="BK228" s="16"/>
      <c r="BL228" s="16"/>
      <c r="BM228" s="16"/>
      <c r="BN228" s="16"/>
      <c r="BO228" s="16"/>
      <c r="BP228" s="16"/>
      <c r="BQ228" s="16"/>
      <c r="BR228" s="16"/>
      <c r="BS228" s="16"/>
      <c r="BT228" s="16"/>
      <c r="BU228" s="16"/>
      <c r="BV228" s="16"/>
      <c r="BW228" s="16"/>
      <c r="BX228" s="16"/>
      <c r="BY228" s="16"/>
      <c r="BZ228" s="16"/>
      <c r="CA228" s="16"/>
      <c r="CB228" s="16"/>
      <c r="CC228" s="16"/>
      <c r="CD228" s="16"/>
      <c r="CE228" s="16"/>
      <c r="CF228" s="16"/>
      <c r="CG228" s="16"/>
      <c r="CH228" s="16"/>
      <c r="CI228" s="16"/>
      <c r="CJ228" s="16"/>
      <c r="CK228" s="16"/>
      <c r="CL228" s="16"/>
      <c r="CM228" s="16"/>
      <c r="CN228" s="16"/>
      <c r="CO228" s="16"/>
      <c r="CP228" s="16"/>
      <c r="CQ228" s="16"/>
      <c r="CR228" s="16"/>
      <c r="CS228" s="16"/>
      <c r="CT228" s="16"/>
      <c r="CU228" s="16"/>
      <c r="CV228" s="16"/>
      <c r="CW228" s="16"/>
      <c r="CX228" s="16"/>
      <c r="CY228" s="16"/>
      <c r="CZ228" s="16"/>
      <c r="DA228" s="16"/>
      <c r="DB228" s="16"/>
      <c r="DC228" s="16"/>
      <c r="DD228" s="16"/>
      <c r="DE228" s="16"/>
      <c r="DF228" s="16"/>
      <c r="DG228" s="16"/>
      <c r="DH228" s="16"/>
      <c r="DI228" s="16"/>
      <c r="DJ228" s="16"/>
      <c r="DK228" s="16"/>
      <c r="DL228" s="16"/>
      <c r="DM228" s="16"/>
      <c r="DN228" s="16"/>
      <c r="DO228" s="16"/>
      <c r="DP228" s="16"/>
      <c r="DQ228" s="16"/>
      <c r="DR228" s="16"/>
      <c r="DS228" s="16"/>
      <c r="DT228" s="16"/>
      <c r="DU228" s="16"/>
      <c r="DV228" s="16"/>
      <c r="DW228" s="16"/>
      <c r="DX228" s="16"/>
      <c r="DY228" s="16"/>
      <c r="DZ228" s="16"/>
      <c r="EA228" s="16"/>
      <c r="EB228" s="16"/>
      <c r="EC228" s="16"/>
      <c r="ED228" s="16"/>
      <c r="EE228" s="16"/>
      <c r="EF228" s="16"/>
      <c r="EG228" s="16"/>
      <c r="EH228" s="16"/>
      <c r="EI228" s="16"/>
      <c r="EJ228" s="16"/>
      <c r="EK228" s="16"/>
      <c r="EL228" s="16"/>
      <c r="EM228" s="16"/>
      <c r="EN228" s="16"/>
      <c r="EO228" s="16"/>
      <c r="EP228" s="16"/>
      <c r="EQ228" s="16"/>
      <c r="ER228" s="16"/>
      <c r="ES228" s="16"/>
      <c r="ET228" s="16"/>
      <c r="EU228" s="16"/>
      <c r="EV228" s="16"/>
      <c r="EW228" s="16"/>
      <c r="EX228" s="16"/>
      <c r="EY228" s="16"/>
      <c r="EZ228" s="16"/>
      <c r="FA228" s="16"/>
      <c r="FB228" s="16"/>
      <c r="FC228" s="16"/>
      <c r="FD228" s="16"/>
      <c r="FE228" s="16"/>
      <c r="FF228" s="16"/>
      <c r="FG228" s="16"/>
      <c r="FH228" s="16"/>
      <c r="FI228" s="16"/>
      <c r="FJ228" s="16"/>
      <c r="FK228" s="16"/>
      <c r="FL228" s="16"/>
      <c r="FM228" s="16"/>
      <c r="FN228" s="16"/>
      <c r="FO228" s="16"/>
      <c r="FP228" s="16"/>
      <c r="FQ228" s="16"/>
      <c r="FR228" s="16"/>
      <c r="FS228" s="16"/>
      <c r="FT228" s="16"/>
      <c r="FU228" s="16"/>
      <c r="FV228" s="16"/>
      <c r="FW228" s="16"/>
      <c r="FX228" s="16"/>
      <c r="FY228" s="16"/>
      <c r="FZ228" s="16"/>
      <c r="GA228" s="16"/>
      <c r="GB228" s="16"/>
      <c r="GC228" s="16"/>
      <c r="GD228" s="16"/>
      <c r="GE228" s="16"/>
      <c r="GF228" s="16"/>
      <c r="GG228" s="16"/>
      <c r="GH228" s="16"/>
      <c r="GI228" s="16"/>
      <c r="GJ228" s="16"/>
      <c r="GK228" s="16"/>
      <c r="GL228" s="16"/>
      <c r="GM228" s="16"/>
      <c r="GN228" s="16"/>
      <c r="GO228" s="16"/>
      <c r="GP228" s="16"/>
      <c r="GQ228" s="16"/>
      <c r="GR228" s="16"/>
      <c r="GS228" s="16"/>
      <c r="GT228" s="16"/>
      <c r="GU228" s="16"/>
      <c r="GV228" s="16"/>
      <c r="GW228" s="16"/>
      <c r="GX228" s="16"/>
      <c r="GY228" s="16"/>
      <c r="GZ228" s="16"/>
      <c r="HA228" s="16"/>
      <c r="HB228" s="16"/>
      <c r="HC228" s="16"/>
      <c r="HD228" s="16"/>
      <c r="HE228" s="16"/>
      <c r="HF228" s="16"/>
      <c r="HG228" s="16"/>
      <c r="HH228" s="16"/>
      <c r="HI228" s="16"/>
      <c r="HJ228" s="16"/>
      <c r="HK228" s="16"/>
      <c r="HL228" s="16"/>
      <c r="HM228" s="16"/>
      <c r="HN228" s="16"/>
      <c r="HO228" s="16"/>
      <c r="HP228" s="16"/>
      <c r="HQ228" s="16"/>
      <c r="HR228" s="16"/>
      <c r="HS228" s="16"/>
      <c r="HT228" s="16"/>
      <c r="HU228" s="16"/>
      <c r="HV228" s="16"/>
      <c r="HW228" s="16"/>
      <c r="HX228" s="16"/>
      <c r="HY228" s="16"/>
      <c r="HZ228" s="16"/>
      <c r="IA228" s="16"/>
      <c r="IB228" s="16"/>
      <c r="IC228" s="16"/>
      <c r="ID228" s="16"/>
      <c r="IE228" s="16"/>
      <c r="IF228" s="16"/>
      <c r="IG228" s="16"/>
      <c r="IH228" s="16"/>
      <c r="II228" s="16"/>
      <c r="IJ228" s="16"/>
      <c r="IK228" s="16"/>
      <c r="IL228" s="16"/>
      <c r="IM228" s="16"/>
      <c r="IN228" s="16"/>
      <c r="IO228" s="16"/>
      <c r="IP228" s="16"/>
      <c r="IQ228" s="16"/>
      <c r="IR228" s="16"/>
      <c r="IS228" s="16"/>
      <c r="IT228" s="16"/>
      <c r="IU228" s="16"/>
      <c r="IV228" s="16"/>
      <c r="IW228" s="16"/>
      <c r="IX228" s="16"/>
      <c r="IY228" s="16"/>
      <c r="IZ228" s="16"/>
      <c r="JA228" s="16"/>
      <c r="JB228" s="16"/>
      <c r="JC228" s="16"/>
      <c r="JD228" s="16"/>
    </row>
    <row r="229" spans="1:264" ht="70.5" hidden="1" customHeight="1" x14ac:dyDescent="0.3">
      <c r="A229" s="15" t="s">
        <v>25</v>
      </c>
      <c r="B229" s="15" t="s">
        <v>1282</v>
      </c>
      <c r="C229" s="15" t="s">
        <v>442</v>
      </c>
      <c r="D229" s="15" t="s">
        <v>19</v>
      </c>
      <c r="E229" s="18" t="s">
        <v>109</v>
      </c>
      <c r="F229" s="18" t="s">
        <v>109</v>
      </c>
      <c r="G229" s="18" t="s">
        <v>109</v>
      </c>
      <c r="H229" s="18" t="s">
        <v>109</v>
      </c>
      <c r="I229" s="18" t="s">
        <v>19</v>
      </c>
      <c r="J229" s="18" t="s">
        <v>19</v>
      </c>
      <c r="K229" s="72" t="s">
        <v>19</v>
      </c>
      <c r="L229" s="72" t="s">
        <v>19</v>
      </c>
      <c r="M229" s="15" t="s">
        <v>443</v>
      </c>
      <c r="N229" s="4" t="s">
        <v>1207</v>
      </c>
      <c r="O229" s="15"/>
      <c r="P229" s="4" t="s">
        <v>3074</v>
      </c>
      <c r="S229" s="15" t="e" cm="1">
        <f t="array" aca="1" ref="S229" ca="1">COMMONMARKETCOUNT(H229:AV229)</f>
        <v>#NAME?</v>
      </c>
      <c r="T229" s="6" t="e" cm="1">
        <f t="array" aca="1" ref="T229" ca="1">AUTOMATEDCOUNT(H229:AV229)</f>
        <v>#NAME?</v>
      </c>
      <c r="V229" s="18" t="s">
        <v>109</v>
      </c>
      <c r="W229" s="18" t="s">
        <v>109</v>
      </c>
      <c r="X229" s="18" t="s">
        <v>109</v>
      </c>
      <c r="Y229" s="18" t="s">
        <v>109</v>
      </c>
      <c r="Z229" s="18" t="s">
        <v>109</v>
      </c>
      <c r="AA229" s="18" t="s">
        <v>19</v>
      </c>
      <c r="AB229" s="18" t="s">
        <v>19</v>
      </c>
      <c r="AC229" s="18" t="s">
        <v>19</v>
      </c>
      <c r="AD229" s="18" t="s">
        <v>19</v>
      </c>
      <c r="AE229" s="18" t="s">
        <v>19</v>
      </c>
      <c r="AF229" s="18" t="s">
        <v>19</v>
      </c>
      <c r="AG229" s="18" t="s">
        <v>19</v>
      </c>
      <c r="AH229" s="18" t="s">
        <v>19</v>
      </c>
      <c r="AI229" s="18" t="s">
        <v>19</v>
      </c>
      <c r="AJ229" s="18" t="s">
        <v>19</v>
      </c>
      <c r="AK229" s="18" t="s">
        <v>19</v>
      </c>
      <c r="AL229" s="18" t="s">
        <v>19</v>
      </c>
      <c r="AM229" s="18" t="s">
        <v>19</v>
      </c>
      <c r="AN229" s="18" t="s">
        <v>19</v>
      </c>
      <c r="AO229" s="18" t="s">
        <v>19</v>
      </c>
      <c r="AP229" s="18" t="s">
        <v>109</v>
      </c>
      <c r="AQ229" s="18" t="s">
        <v>109</v>
      </c>
      <c r="AR229" s="18" t="s">
        <v>109</v>
      </c>
      <c r="AS229" s="18" t="s">
        <v>109</v>
      </c>
      <c r="AT229" s="18" t="s">
        <v>109</v>
      </c>
      <c r="AU229" s="18" t="s">
        <v>109</v>
      </c>
      <c r="AV229" s="36" t="s">
        <v>109</v>
      </c>
    </row>
    <row r="230" spans="1:264" s="5" customFormat="1" ht="70.5" hidden="1" customHeight="1" x14ac:dyDescent="0.3">
      <c r="A230" s="15" t="s">
        <v>18</v>
      </c>
      <c r="B230" s="15" t="s">
        <v>1121</v>
      </c>
      <c r="C230" s="15" t="s">
        <v>936</v>
      </c>
      <c r="D230" s="15" t="s">
        <v>32</v>
      </c>
      <c r="E230" s="15" t="s">
        <v>109</v>
      </c>
      <c r="F230" s="15" t="s">
        <v>109</v>
      </c>
      <c r="G230" s="15" t="s">
        <v>109</v>
      </c>
      <c r="H230" s="15" t="s">
        <v>109</v>
      </c>
      <c r="I230" s="15" t="s">
        <v>109</v>
      </c>
      <c r="J230" s="15" t="s">
        <v>109</v>
      </c>
      <c r="K230" s="15" t="s">
        <v>109</v>
      </c>
      <c r="L230" s="15" t="s">
        <v>109</v>
      </c>
      <c r="M230" s="15" t="s">
        <v>933</v>
      </c>
      <c r="N230" s="4" t="s">
        <v>1162</v>
      </c>
      <c r="O230" s="33" t="s">
        <v>1645</v>
      </c>
      <c r="P230" s="4" t="s">
        <v>3045</v>
      </c>
      <c r="S230" s="15" t="e" cm="1">
        <f t="array" aca="1" ref="S230" ca="1">COMMONMARKETCOUNT(H230:AV230)</f>
        <v>#NAME?</v>
      </c>
      <c r="T230" s="6" t="e" cm="1">
        <f t="array" aca="1" ref="T230" ca="1">AUTOMATEDCOUNT(H230:AV230)</f>
        <v>#NAME?</v>
      </c>
      <c r="V230" s="15" t="s">
        <v>109</v>
      </c>
      <c r="W230" s="15" t="s">
        <v>109</v>
      </c>
      <c r="X230" s="15" t="s">
        <v>109</v>
      </c>
      <c r="Y230" s="15" t="s">
        <v>109</v>
      </c>
      <c r="Z230" s="15" t="s">
        <v>109</v>
      </c>
      <c r="AA230" s="15" t="s">
        <v>109</v>
      </c>
      <c r="AB230" s="15" t="s">
        <v>109</v>
      </c>
      <c r="AC230" s="15" t="s">
        <v>109</v>
      </c>
      <c r="AD230" s="18" t="s">
        <v>19</v>
      </c>
      <c r="AE230" s="18" t="s">
        <v>19</v>
      </c>
      <c r="AF230" s="15" t="s">
        <v>109</v>
      </c>
      <c r="AG230" s="15" t="s">
        <v>109</v>
      </c>
      <c r="AH230" s="15" t="s">
        <v>109</v>
      </c>
      <c r="AI230" s="15" t="s">
        <v>109</v>
      </c>
      <c r="AJ230" s="15" t="s">
        <v>109</v>
      </c>
      <c r="AK230" s="15" t="s">
        <v>109</v>
      </c>
      <c r="AL230" s="15" t="s">
        <v>109</v>
      </c>
      <c r="AM230" s="15" t="s">
        <v>109</v>
      </c>
      <c r="AN230" s="15" t="s">
        <v>109</v>
      </c>
      <c r="AO230" s="15" t="s">
        <v>109</v>
      </c>
      <c r="AP230" s="15" t="s">
        <v>109</v>
      </c>
      <c r="AQ230" s="15" t="s">
        <v>109</v>
      </c>
      <c r="AR230" s="15" t="s">
        <v>109</v>
      </c>
      <c r="AS230" s="15" t="s">
        <v>109</v>
      </c>
      <c r="AT230" s="15" t="s">
        <v>109</v>
      </c>
      <c r="AU230" s="15" t="s">
        <v>3153</v>
      </c>
      <c r="AV230" s="36" t="s">
        <v>109</v>
      </c>
      <c r="AW230" s="16"/>
      <c r="AX230" s="16"/>
      <c r="AY230" s="16"/>
      <c r="AZ230" s="16"/>
      <c r="BA230" s="16"/>
      <c r="BB230" s="16"/>
      <c r="BC230" s="16"/>
      <c r="BD230" s="16"/>
      <c r="BE230" s="16"/>
      <c r="BF230" s="16"/>
      <c r="BG230" s="16"/>
      <c r="BH230" s="16"/>
      <c r="BI230" s="16"/>
      <c r="BJ230" s="16"/>
      <c r="BK230" s="16"/>
      <c r="BL230" s="16"/>
      <c r="BM230" s="16"/>
      <c r="BN230" s="16"/>
      <c r="BO230" s="16"/>
      <c r="BP230" s="16"/>
      <c r="BQ230" s="16"/>
      <c r="BR230" s="16"/>
      <c r="BS230" s="16"/>
      <c r="BT230" s="16"/>
      <c r="BU230" s="16"/>
      <c r="BV230" s="16"/>
      <c r="BW230" s="16"/>
      <c r="BX230" s="16"/>
      <c r="BY230" s="16"/>
      <c r="BZ230" s="16"/>
      <c r="CA230" s="16"/>
      <c r="CB230" s="16"/>
      <c r="CC230" s="16"/>
      <c r="CD230" s="16"/>
      <c r="CE230" s="16"/>
      <c r="CF230" s="16"/>
      <c r="CG230" s="16"/>
      <c r="CH230" s="16"/>
      <c r="CI230" s="16"/>
      <c r="CJ230" s="16"/>
      <c r="CK230" s="16"/>
      <c r="CL230" s="16"/>
      <c r="CM230" s="16"/>
      <c r="CN230" s="16"/>
      <c r="CO230" s="16"/>
      <c r="CP230" s="16"/>
      <c r="CQ230" s="16"/>
      <c r="CR230" s="16"/>
      <c r="CS230" s="16"/>
      <c r="CT230" s="16"/>
      <c r="CU230" s="16"/>
      <c r="CV230" s="16"/>
      <c r="CW230" s="16"/>
      <c r="CX230" s="16"/>
      <c r="CY230" s="16"/>
      <c r="CZ230" s="16"/>
      <c r="DA230" s="16"/>
      <c r="DB230" s="16"/>
      <c r="DC230" s="16"/>
      <c r="DD230" s="16"/>
      <c r="DE230" s="16"/>
      <c r="DF230" s="16"/>
      <c r="DG230" s="16"/>
      <c r="DH230" s="16"/>
      <c r="DI230" s="16"/>
      <c r="DJ230" s="16"/>
      <c r="DK230" s="16"/>
      <c r="DL230" s="16"/>
      <c r="DM230" s="16"/>
      <c r="DN230" s="16"/>
      <c r="DO230" s="16"/>
      <c r="DP230" s="16"/>
      <c r="DQ230" s="16"/>
      <c r="DR230" s="16"/>
      <c r="DS230" s="16"/>
      <c r="DT230" s="16"/>
      <c r="DU230" s="16"/>
      <c r="DV230" s="16"/>
      <c r="DW230" s="16"/>
      <c r="DX230" s="16"/>
      <c r="DY230" s="16"/>
      <c r="DZ230" s="16"/>
      <c r="EA230" s="16"/>
      <c r="EB230" s="16"/>
      <c r="EC230" s="16"/>
      <c r="ED230" s="16"/>
      <c r="EE230" s="16"/>
      <c r="EF230" s="16"/>
      <c r="EG230" s="16"/>
      <c r="EH230" s="16"/>
      <c r="EI230" s="16"/>
      <c r="EJ230" s="16"/>
      <c r="EK230" s="16"/>
      <c r="EL230" s="16"/>
      <c r="EM230" s="16"/>
      <c r="EN230" s="16"/>
      <c r="EO230" s="16"/>
      <c r="EP230" s="16"/>
      <c r="EQ230" s="16"/>
      <c r="ER230" s="16"/>
      <c r="ES230" s="16"/>
      <c r="ET230" s="16"/>
      <c r="EU230" s="16"/>
      <c r="EV230" s="16"/>
      <c r="EW230" s="16"/>
      <c r="EX230" s="16"/>
      <c r="EY230" s="16"/>
      <c r="EZ230" s="16"/>
      <c r="FA230" s="16"/>
      <c r="FB230" s="16"/>
      <c r="FC230" s="16"/>
      <c r="FD230" s="16"/>
      <c r="FE230" s="16"/>
      <c r="FF230" s="16"/>
      <c r="FG230" s="16"/>
      <c r="FH230" s="16"/>
      <c r="FI230" s="16"/>
      <c r="FJ230" s="16"/>
      <c r="FK230" s="16"/>
      <c r="FL230" s="16"/>
      <c r="FM230" s="16"/>
      <c r="FN230" s="16"/>
      <c r="FO230" s="16"/>
      <c r="FP230" s="16"/>
      <c r="FQ230" s="16"/>
      <c r="FR230" s="16"/>
      <c r="FS230" s="16"/>
      <c r="FT230" s="16"/>
      <c r="FU230" s="16"/>
      <c r="FV230" s="16"/>
      <c r="FW230" s="16"/>
      <c r="FX230" s="16"/>
      <c r="FY230" s="16"/>
      <c r="FZ230" s="16"/>
      <c r="GA230" s="16"/>
      <c r="GB230" s="16"/>
      <c r="GC230" s="16"/>
      <c r="GD230" s="16"/>
      <c r="GE230" s="16"/>
      <c r="GF230" s="16"/>
      <c r="GG230" s="16"/>
      <c r="GH230" s="16"/>
      <c r="GI230" s="16"/>
      <c r="GJ230" s="16"/>
      <c r="GK230" s="16"/>
      <c r="GL230" s="16"/>
      <c r="GM230" s="16"/>
      <c r="GN230" s="16"/>
      <c r="GO230" s="16"/>
      <c r="GP230" s="16"/>
      <c r="GQ230" s="16"/>
      <c r="GR230" s="16"/>
      <c r="GS230" s="16"/>
      <c r="GT230" s="16"/>
      <c r="GU230" s="16"/>
      <c r="GV230" s="16"/>
      <c r="GW230" s="16"/>
      <c r="GX230" s="16"/>
      <c r="GY230" s="16"/>
      <c r="GZ230" s="16"/>
      <c r="HA230" s="16"/>
      <c r="HB230" s="16"/>
      <c r="HC230" s="16"/>
      <c r="HD230" s="16"/>
      <c r="HE230" s="16"/>
      <c r="HF230" s="16"/>
      <c r="HG230" s="16"/>
      <c r="HH230" s="16"/>
      <c r="HI230" s="16"/>
      <c r="HJ230" s="16"/>
      <c r="HK230" s="16"/>
      <c r="HL230" s="16"/>
      <c r="HM230" s="16"/>
      <c r="HN230" s="16"/>
      <c r="HO230" s="16"/>
      <c r="HP230" s="16"/>
      <c r="HQ230" s="16"/>
      <c r="HR230" s="16"/>
      <c r="HS230" s="16"/>
      <c r="HT230" s="16"/>
      <c r="HU230" s="16"/>
      <c r="HV230" s="16"/>
      <c r="HW230" s="16"/>
      <c r="HX230" s="16"/>
      <c r="HY230" s="16"/>
      <c r="HZ230" s="16"/>
      <c r="IA230" s="16"/>
      <c r="IB230" s="16"/>
      <c r="IC230" s="16"/>
      <c r="ID230" s="16"/>
      <c r="IE230" s="16"/>
      <c r="IF230" s="16"/>
      <c r="IG230" s="16"/>
      <c r="IH230" s="16"/>
      <c r="II230" s="16"/>
      <c r="IJ230" s="16"/>
      <c r="IK230" s="16"/>
      <c r="IL230" s="16"/>
      <c r="IM230" s="16"/>
      <c r="IN230" s="16"/>
      <c r="IO230" s="16"/>
      <c r="IP230" s="16"/>
      <c r="IQ230" s="16"/>
      <c r="IR230" s="16"/>
      <c r="IS230" s="16"/>
      <c r="IT230" s="16"/>
      <c r="IU230" s="16"/>
      <c r="IV230" s="16"/>
      <c r="IW230" s="16"/>
      <c r="IX230" s="16"/>
      <c r="IY230" s="16"/>
      <c r="IZ230" s="16"/>
      <c r="JA230" s="16"/>
      <c r="JB230" s="16"/>
      <c r="JC230" s="16"/>
      <c r="JD230" s="16"/>
    </row>
    <row r="231" spans="1:264" ht="70.5" customHeight="1" x14ac:dyDescent="0.3">
      <c r="A231" s="15" t="s">
        <v>25</v>
      </c>
      <c r="B231" s="15" t="s">
        <v>24</v>
      </c>
      <c r="C231" s="19" t="s">
        <v>444</v>
      </c>
      <c r="D231" s="15" t="s">
        <v>19</v>
      </c>
      <c r="E231" s="70" t="s">
        <v>19</v>
      </c>
      <c r="F231" s="70" t="s">
        <v>19</v>
      </c>
      <c r="G231" s="70" t="s">
        <v>19</v>
      </c>
      <c r="H231" s="70" t="s">
        <v>19</v>
      </c>
      <c r="I231" s="72" t="s">
        <v>19</v>
      </c>
      <c r="J231" s="72" t="s">
        <v>19</v>
      </c>
      <c r="K231" s="72" t="s">
        <v>19</v>
      </c>
      <c r="L231" s="72" t="s">
        <v>19</v>
      </c>
      <c r="M231" s="15" t="s">
        <v>445</v>
      </c>
      <c r="N231" s="4" t="s">
        <v>1537</v>
      </c>
      <c r="O231" s="15"/>
      <c r="P231" s="4" t="s">
        <v>3075</v>
      </c>
      <c r="S231" s="15" t="e" cm="1">
        <f t="array" aca="1" ref="S231" ca="1">COMMONMARKETCOUNT(H231:AV231)</f>
        <v>#NAME?</v>
      </c>
      <c r="T231" s="6" t="e" cm="1">
        <f t="array" aca="1" ref="T231" ca="1">AUTOMATEDCOUNT(H231:AV231)</f>
        <v>#NAME?</v>
      </c>
      <c r="V231" s="70" t="s">
        <v>19</v>
      </c>
      <c r="W231" s="70" t="s">
        <v>19</v>
      </c>
      <c r="X231" s="70" t="s">
        <v>19</v>
      </c>
      <c r="Y231" s="70" t="s">
        <v>19</v>
      </c>
      <c r="Z231" s="70" t="s">
        <v>19</v>
      </c>
      <c r="AA231" s="72" t="s">
        <v>19</v>
      </c>
      <c r="AB231" s="72" t="s">
        <v>19</v>
      </c>
      <c r="AC231" s="72" t="s">
        <v>19</v>
      </c>
      <c r="AD231" s="15" t="s">
        <v>109</v>
      </c>
      <c r="AE231" s="15" t="s">
        <v>109</v>
      </c>
      <c r="AF231" s="18" t="s">
        <v>19</v>
      </c>
      <c r="AG231" s="29" t="s">
        <v>19</v>
      </c>
      <c r="AH231" s="18" t="s">
        <v>19</v>
      </c>
      <c r="AI231" s="18" t="s">
        <v>19</v>
      </c>
      <c r="AJ231" s="18" t="s">
        <v>19</v>
      </c>
      <c r="AK231" s="18" t="s">
        <v>19</v>
      </c>
      <c r="AL231" s="18" t="s">
        <v>19</v>
      </c>
      <c r="AM231" s="18" t="s">
        <v>19</v>
      </c>
      <c r="AN231" s="18" t="s">
        <v>19</v>
      </c>
      <c r="AO231" s="18" t="s">
        <v>19</v>
      </c>
      <c r="AP231" s="18" t="s">
        <v>19</v>
      </c>
      <c r="AQ231" s="18" t="s">
        <v>19</v>
      </c>
      <c r="AR231" s="18" t="s">
        <v>19</v>
      </c>
      <c r="AS231" s="70" t="s">
        <v>19</v>
      </c>
      <c r="AT231" s="72" t="s">
        <v>19</v>
      </c>
      <c r="AU231" s="29" t="s">
        <v>3153</v>
      </c>
      <c r="AV231" s="36" t="s">
        <v>19</v>
      </c>
    </row>
    <row r="232" spans="1:264" ht="70.5" hidden="1" customHeight="1" x14ac:dyDescent="0.3">
      <c r="A232" s="15" t="s">
        <v>25</v>
      </c>
      <c r="B232" s="15" t="s">
        <v>1283</v>
      </c>
      <c r="C232" s="15" t="s">
        <v>446</v>
      </c>
      <c r="D232" s="15" t="s">
        <v>32</v>
      </c>
      <c r="E232" s="18" t="s">
        <v>109</v>
      </c>
      <c r="F232" s="18" t="s">
        <v>109</v>
      </c>
      <c r="G232" s="18" t="s">
        <v>109</v>
      </c>
      <c r="H232" s="18" t="s">
        <v>109</v>
      </c>
      <c r="I232" s="18" t="s">
        <v>109</v>
      </c>
      <c r="J232" s="18" t="s">
        <v>109</v>
      </c>
      <c r="K232" s="18" t="s">
        <v>109</v>
      </c>
      <c r="L232" s="18" t="s">
        <v>109</v>
      </c>
      <c r="M232" s="15" t="s">
        <v>1733</v>
      </c>
      <c r="N232" s="4" t="s">
        <v>1208</v>
      </c>
      <c r="O232" s="15"/>
      <c r="P232" s="4" t="s">
        <v>3076</v>
      </c>
      <c r="S232" s="15" t="e" cm="1">
        <f t="array" aca="1" ref="S232" ca="1">COMMONMARKETCOUNT(H232:AV232)</f>
        <v>#NAME?</v>
      </c>
      <c r="T232" s="6" t="e" cm="1">
        <f t="array" aca="1" ref="T232" ca="1">AUTOMATEDCOUNT(H232:AV232)</f>
        <v>#NAME?</v>
      </c>
      <c r="V232" s="18" t="s">
        <v>109</v>
      </c>
      <c r="W232" s="18" t="s">
        <v>109</v>
      </c>
      <c r="X232" s="18" t="s">
        <v>109</v>
      </c>
      <c r="Y232" s="18" t="s">
        <v>109</v>
      </c>
      <c r="Z232" s="18" t="s">
        <v>109</v>
      </c>
      <c r="AA232" s="18" t="s">
        <v>109</v>
      </c>
      <c r="AB232" s="18" t="s">
        <v>109</v>
      </c>
      <c r="AC232" s="18" t="s">
        <v>109</v>
      </c>
      <c r="AD232" s="18" t="s">
        <v>109</v>
      </c>
      <c r="AE232" s="18" t="s">
        <v>109</v>
      </c>
      <c r="AF232" s="18" t="s">
        <v>109</v>
      </c>
      <c r="AG232" s="18" t="s">
        <v>109</v>
      </c>
      <c r="AH232" s="18" t="s">
        <v>109</v>
      </c>
      <c r="AI232" s="18" t="s">
        <v>109</v>
      </c>
      <c r="AJ232" s="18" t="s">
        <v>109</v>
      </c>
      <c r="AK232" s="18" t="s">
        <v>109</v>
      </c>
      <c r="AL232" s="18" t="s">
        <v>109</v>
      </c>
      <c r="AM232" s="18" t="s">
        <v>19</v>
      </c>
      <c r="AN232" s="18" t="s">
        <v>109</v>
      </c>
      <c r="AO232" s="18" t="s">
        <v>109</v>
      </c>
      <c r="AP232" s="18" t="s">
        <v>109</v>
      </c>
      <c r="AQ232" s="18" t="s">
        <v>109</v>
      </c>
      <c r="AR232" s="18" t="s">
        <v>109</v>
      </c>
      <c r="AS232" s="18" t="s">
        <v>109</v>
      </c>
      <c r="AT232" s="18" t="s">
        <v>109</v>
      </c>
      <c r="AU232" s="18" t="s">
        <v>3153</v>
      </c>
      <c r="AV232" s="36" t="s">
        <v>109</v>
      </c>
    </row>
    <row r="233" spans="1:264" ht="62.25" hidden="1" customHeight="1" x14ac:dyDescent="0.3">
      <c r="A233" s="15" t="s">
        <v>25</v>
      </c>
      <c r="B233" s="15" t="s">
        <v>1283</v>
      </c>
      <c r="C233" s="15" t="s">
        <v>447</v>
      </c>
      <c r="D233" s="15" t="s">
        <v>32</v>
      </c>
      <c r="E233" s="18" t="s">
        <v>109</v>
      </c>
      <c r="F233" s="18" t="s">
        <v>109</v>
      </c>
      <c r="G233" s="18" t="s">
        <v>109</v>
      </c>
      <c r="H233" s="18" t="s">
        <v>109</v>
      </c>
      <c r="I233" s="18" t="s">
        <v>109</v>
      </c>
      <c r="J233" s="18" t="s">
        <v>109</v>
      </c>
      <c r="K233" s="18" t="s">
        <v>109</v>
      </c>
      <c r="L233" s="18" t="s">
        <v>109</v>
      </c>
      <c r="M233" s="15" t="s">
        <v>1734</v>
      </c>
      <c r="N233" s="4" t="s">
        <v>1209</v>
      </c>
      <c r="O233" s="15"/>
      <c r="P233" s="4" t="s">
        <v>335</v>
      </c>
      <c r="S233" s="15" t="e" cm="1">
        <f t="array" aca="1" ref="S233" ca="1">COMMONMARKETCOUNT(H233:AV233)</f>
        <v>#NAME?</v>
      </c>
      <c r="T233" s="6" t="e" cm="1">
        <f t="array" aca="1" ref="T233" ca="1">AUTOMATEDCOUNT(H233:AV233)</f>
        <v>#NAME?</v>
      </c>
      <c r="V233" s="18" t="s">
        <v>109</v>
      </c>
      <c r="W233" s="18" t="s">
        <v>109</v>
      </c>
      <c r="X233" s="18" t="s">
        <v>109</v>
      </c>
      <c r="Y233" s="18" t="s">
        <v>109</v>
      </c>
      <c r="Z233" s="18" t="s">
        <v>109</v>
      </c>
      <c r="AA233" s="18" t="s">
        <v>109</v>
      </c>
      <c r="AB233" s="18" t="s">
        <v>109</v>
      </c>
      <c r="AC233" s="18" t="s">
        <v>109</v>
      </c>
      <c r="AD233" s="18" t="s">
        <v>109</v>
      </c>
      <c r="AE233" s="18" t="s">
        <v>109</v>
      </c>
      <c r="AF233" s="18" t="s">
        <v>109</v>
      </c>
      <c r="AG233" s="18" t="s">
        <v>109</v>
      </c>
      <c r="AH233" s="18" t="s">
        <v>109</v>
      </c>
      <c r="AI233" s="18" t="s">
        <v>109</v>
      </c>
      <c r="AJ233" s="18" t="s">
        <v>109</v>
      </c>
      <c r="AK233" s="18" t="s">
        <v>109</v>
      </c>
      <c r="AL233" s="18" t="s">
        <v>109</v>
      </c>
      <c r="AM233" s="18" t="s">
        <v>19</v>
      </c>
      <c r="AN233" s="18" t="s">
        <v>109</v>
      </c>
      <c r="AO233" s="18" t="s">
        <v>109</v>
      </c>
      <c r="AP233" s="18" t="s">
        <v>109</v>
      </c>
      <c r="AQ233" s="18" t="s">
        <v>109</v>
      </c>
      <c r="AR233" s="18" t="s">
        <v>109</v>
      </c>
      <c r="AS233" s="18" t="s">
        <v>109</v>
      </c>
      <c r="AT233" s="18" t="s">
        <v>109</v>
      </c>
      <c r="AU233" s="18" t="s">
        <v>3153</v>
      </c>
      <c r="AV233" s="36" t="s">
        <v>109</v>
      </c>
    </row>
    <row r="234" spans="1:264" ht="80.25" hidden="1" customHeight="1" x14ac:dyDescent="0.3">
      <c r="A234" s="15" t="s">
        <v>25</v>
      </c>
      <c r="B234" s="15" t="s">
        <v>1283</v>
      </c>
      <c r="C234" s="15" t="s">
        <v>448</v>
      </c>
      <c r="D234" s="15" t="s">
        <v>32</v>
      </c>
      <c r="E234" s="18" t="s">
        <v>109</v>
      </c>
      <c r="F234" s="18" t="s">
        <v>109</v>
      </c>
      <c r="G234" s="18" t="s">
        <v>109</v>
      </c>
      <c r="H234" s="18" t="s">
        <v>109</v>
      </c>
      <c r="I234" s="18" t="s">
        <v>109</v>
      </c>
      <c r="J234" s="18" t="s">
        <v>109</v>
      </c>
      <c r="K234" s="18" t="s">
        <v>109</v>
      </c>
      <c r="L234" s="18" t="s">
        <v>109</v>
      </c>
      <c r="M234" s="15" t="s">
        <v>1735</v>
      </c>
      <c r="N234" s="4" t="s">
        <v>1210</v>
      </c>
      <c r="O234" s="15"/>
      <c r="P234" s="4" t="s">
        <v>335</v>
      </c>
      <c r="S234" s="15" t="e" cm="1">
        <f t="array" aca="1" ref="S234" ca="1">COMMONMARKETCOUNT(H234:AV234)</f>
        <v>#NAME?</v>
      </c>
      <c r="T234" s="6" t="e" cm="1">
        <f t="array" aca="1" ref="T234" ca="1">AUTOMATEDCOUNT(H234:AV234)</f>
        <v>#NAME?</v>
      </c>
      <c r="V234" s="18" t="s">
        <v>109</v>
      </c>
      <c r="W234" s="18" t="s">
        <v>109</v>
      </c>
      <c r="X234" s="18" t="s">
        <v>109</v>
      </c>
      <c r="Y234" s="18" t="s">
        <v>109</v>
      </c>
      <c r="Z234" s="18" t="s">
        <v>109</v>
      </c>
      <c r="AA234" s="18" t="s">
        <v>109</v>
      </c>
      <c r="AB234" s="18" t="s">
        <v>109</v>
      </c>
      <c r="AC234" s="18" t="s">
        <v>109</v>
      </c>
      <c r="AD234" s="18" t="s">
        <v>109</v>
      </c>
      <c r="AE234" s="18" t="s">
        <v>109</v>
      </c>
      <c r="AF234" s="18" t="s">
        <v>109</v>
      </c>
      <c r="AG234" s="18" t="s">
        <v>109</v>
      </c>
      <c r="AH234" s="18" t="s">
        <v>109</v>
      </c>
      <c r="AI234" s="18" t="s">
        <v>109</v>
      </c>
      <c r="AJ234" s="18" t="s">
        <v>109</v>
      </c>
      <c r="AK234" s="18" t="s">
        <v>109</v>
      </c>
      <c r="AL234" s="18" t="s">
        <v>109</v>
      </c>
      <c r="AM234" s="18" t="s">
        <v>19</v>
      </c>
      <c r="AN234" s="18" t="s">
        <v>109</v>
      </c>
      <c r="AO234" s="18" t="s">
        <v>109</v>
      </c>
      <c r="AP234" s="18" t="s">
        <v>109</v>
      </c>
      <c r="AQ234" s="18" t="s">
        <v>109</v>
      </c>
      <c r="AR234" s="18" t="s">
        <v>109</v>
      </c>
      <c r="AS234" s="18" t="s">
        <v>109</v>
      </c>
      <c r="AT234" s="18" t="s">
        <v>109</v>
      </c>
      <c r="AU234" s="18" t="s">
        <v>3153</v>
      </c>
      <c r="AV234" s="36" t="s">
        <v>109</v>
      </c>
    </row>
    <row r="235" spans="1:264" ht="51.75" hidden="1" customHeight="1" x14ac:dyDescent="0.3">
      <c r="A235" s="15" t="s">
        <v>25</v>
      </c>
      <c r="B235" s="15" t="s">
        <v>1283</v>
      </c>
      <c r="C235" s="15" t="s">
        <v>449</v>
      </c>
      <c r="D235" s="15" t="s">
        <v>32</v>
      </c>
      <c r="E235" s="18" t="s">
        <v>109</v>
      </c>
      <c r="F235" s="18" t="s">
        <v>109</v>
      </c>
      <c r="G235" s="18" t="s">
        <v>109</v>
      </c>
      <c r="H235" s="18" t="s">
        <v>109</v>
      </c>
      <c r="I235" s="18" t="s">
        <v>109</v>
      </c>
      <c r="J235" s="18" t="s">
        <v>109</v>
      </c>
      <c r="K235" s="18" t="s">
        <v>109</v>
      </c>
      <c r="L235" s="18" t="s">
        <v>109</v>
      </c>
      <c r="M235" s="15" t="s">
        <v>1736</v>
      </c>
      <c r="N235" s="4" t="s">
        <v>1211</v>
      </c>
      <c r="O235" s="15"/>
      <c r="P235" s="4" t="s">
        <v>335</v>
      </c>
      <c r="S235" s="15" t="e" cm="1">
        <f t="array" aca="1" ref="S235" ca="1">COMMONMARKETCOUNT(H235:AV235)</f>
        <v>#NAME?</v>
      </c>
      <c r="T235" s="6" t="e" cm="1">
        <f t="array" aca="1" ref="T235" ca="1">AUTOMATEDCOUNT(H235:AV235)</f>
        <v>#NAME?</v>
      </c>
      <c r="V235" s="18" t="s">
        <v>109</v>
      </c>
      <c r="W235" s="18" t="s">
        <v>109</v>
      </c>
      <c r="X235" s="18" t="s">
        <v>109</v>
      </c>
      <c r="Y235" s="18" t="s">
        <v>109</v>
      </c>
      <c r="Z235" s="18" t="s">
        <v>109</v>
      </c>
      <c r="AA235" s="18" t="s">
        <v>109</v>
      </c>
      <c r="AB235" s="18" t="s">
        <v>109</v>
      </c>
      <c r="AC235" s="18" t="s">
        <v>109</v>
      </c>
      <c r="AD235" s="18" t="s">
        <v>109</v>
      </c>
      <c r="AE235" s="18" t="s">
        <v>109</v>
      </c>
      <c r="AF235" s="18" t="s">
        <v>109</v>
      </c>
      <c r="AG235" s="18" t="s">
        <v>109</v>
      </c>
      <c r="AH235" s="18" t="s">
        <v>109</v>
      </c>
      <c r="AI235" s="18" t="s">
        <v>109</v>
      </c>
      <c r="AJ235" s="18" t="s">
        <v>109</v>
      </c>
      <c r="AK235" s="18" t="s">
        <v>109</v>
      </c>
      <c r="AL235" s="18" t="s">
        <v>109</v>
      </c>
      <c r="AM235" s="18" t="s">
        <v>19</v>
      </c>
      <c r="AN235" s="18" t="s">
        <v>109</v>
      </c>
      <c r="AO235" s="18" t="s">
        <v>109</v>
      </c>
      <c r="AP235" s="18" t="s">
        <v>109</v>
      </c>
      <c r="AQ235" s="18" t="s">
        <v>109</v>
      </c>
      <c r="AR235" s="18" t="s">
        <v>109</v>
      </c>
      <c r="AS235" s="18" t="s">
        <v>109</v>
      </c>
      <c r="AT235" s="18" t="s">
        <v>109</v>
      </c>
      <c r="AU235" s="18" t="s">
        <v>3153</v>
      </c>
      <c r="AV235" s="36" t="s">
        <v>109</v>
      </c>
    </row>
    <row r="236" spans="1:264" ht="62.25" hidden="1" customHeight="1" x14ac:dyDescent="0.3">
      <c r="A236" s="15" t="s">
        <v>25</v>
      </c>
      <c r="B236" s="15" t="s">
        <v>1285</v>
      </c>
      <c r="C236" s="15" t="s">
        <v>450</v>
      </c>
      <c r="D236" s="15" t="s">
        <v>109</v>
      </c>
      <c r="E236" s="18" t="s">
        <v>109</v>
      </c>
      <c r="F236" s="18" t="s">
        <v>109</v>
      </c>
      <c r="G236" s="18" t="s">
        <v>109</v>
      </c>
      <c r="H236" s="18" t="s">
        <v>109</v>
      </c>
      <c r="I236" s="18" t="s">
        <v>109</v>
      </c>
      <c r="J236" s="18" t="s">
        <v>109</v>
      </c>
      <c r="K236" s="18" t="s">
        <v>109</v>
      </c>
      <c r="L236" s="18" t="s">
        <v>109</v>
      </c>
      <c r="M236" s="15" t="s">
        <v>451</v>
      </c>
      <c r="N236" s="4" t="s">
        <v>1212</v>
      </c>
      <c r="O236" s="15"/>
      <c r="P236" s="4" t="s">
        <v>335</v>
      </c>
      <c r="S236" s="15" t="e" cm="1">
        <f t="array" aca="1" ref="S236" ca="1">COMMONMARKETCOUNT(H236:AV236)</f>
        <v>#NAME?</v>
      </c>
      <c r="T236" s="6" t="e" cm="1">
        <f t="array" aca="1" ref="T236" ca="1">AUTOMATEDCOUNT(H236:AV236)</f>
        <v>#NAME?</v>
      </c>
      <c r="V236" s="18" t="s">
        <v>109</v>
      </c>
      <c r="W236" s="18" t="s">
        <v>109</v>
      </c>
      <c r="X236" s="18" t="s">
        <v>109</v>
      </c>
      <c r="Y236" s="18" t="s">
        <v>109</v>
      </c>
      <c r="Z236" s="18" t="s">
        <v>109</v>
      </c>
      <c r="AA236" s="18" t="s">
        <v>109</v>
      </c>
      <c r="AB236" s="18" t="s">
        <v>109</v>
      </c>
      <c r="AC236" s="18" t="s">
        <v>109</v>
      </c>
      <c r="AD236" s="18" t="s">
        <v>109</v>
      </c>
      <c r="AE236" s="18" t="s">
        <v>109</v>
      </c>
      <c r="AF236" s="18" t="s">
        <v>109</v>
      </c>
      <c r="AG236" s="18" t="s">
        <v>109</v>
      </c>
      <c r="AH236" s="18" t="s">
        <v>109</v>
      </c>
      <c r="AI236" s="18" t="s">
        <v>109</v>
      </c>
      <c r="AJ236" s="18" t="s">
        <v>109</v>
      </c>
      <c r="AK236" s="18" t="s">
        <v>109</v>
      </c>
      <c r="AL236" s="18" t="s">
        <v>109</v>
      </c>
      <c r="AM236" s="18" t="s">
        <v>19</v>
      </c>
      <c r="AN236" s="18" t="s">
        <v>109</v>
      </c>
      <c r="AO236" s="18" t="s">
        <v>109</v>
      </c>
      <c r="AP236" s="18" t="s">
        <v>109</v>
      </c>
      <c r="AQ236" s="18" t="s">
        <v>109</v>
      </c>
      <c r="AR236" s="18" t="s">
        <v>109</v>
      </c>
      <c r="AS236" s="18" t="s">
        <v>109</v>
      </c>
      <c r="AT236" s="18" t="s">
        <v>109</v>
      </c>
      <c r="AU236" s="18" t="s">
        <v>3153</v>
      </c>
      <c r="AV236" s="36" t="s">
        <v>109</v>
      </c>
    </row>
    <row r="237" spans="1:264" ht="40.5" hidden="1" customHeight="1" x14ac:dyDescent="0.3">
      <c r="A237" s="34" t="s">
        <v>25</v>
      </c>
      <c r="B237" s="15" t="s">
        <v>1285</v>
      </c>
      <c r="C237" s="15" t="s">
        <v>452</v>
      </c>
      <c r="D237" s="15" t="s">
        <v>109</v>
      </c>
      <c r="E237" s="18" t="s">
        <v>109</v>
      </c>
      <c r="F237" s="18" t="s">
        <v>109</v>
      </c>
      <c r="G237" s="18" t="s">
        <v>109</v>
      </c>
      <c r="H237" s="18" t="s">
        <v>109</v>
      </c>
      <c r="I237" s="18" t="s">
        <v>109</v>
      </c>
      <c r="J237" s="18" t="s">
        <v>109</v>
      </c>
      <c r="K237" s="18" t="s">
        <v>109</v>
      </c>
      <c r="L237" s="18" t="s">
        <v>109</v>
      </c>
      <c r="M237" s="15" t="s">
        <v>453</v>
      </c>
      <c r="N237" s="4" t="s">
        <v>1213</v>
      </c>
      <c r="O237" s="15"/>
      <c r="P237" s="4" t="s">
        <v>335</v>
      </c>
      <c r="S237" s="15" t="e" cm="1">
        <f t="array" aca="1" ref="S237" ca="1">COMMONMARKETCOUNT(H237:AV237)</f>
        <v>#NAME?</v>
      </c>
      <c r="T237" s="6" t="e" cm="1">
        <f t="array" aca="1" ref="T237" ca="1">AUTOMATEDCOUNT(H237:AV237)</f>
        <v>#NAME?</v>
      </c>
      <c r="V237" s="18" t="s">
        <v>109</v>
      </c>
      <c r="W237" s="18" t="s">
        <v>109</v>
      </c>
      <c r="X237" s="18" t="s">
        <v>109</v>
      </c>
      <c r="Y237" s="18" t="s">
        <v>109</v>
      </c>
      <c r="Z237" s="18" t="s">
        <v>109</v>
      </c>
      <c r="AA237" s="18" t="s">
        <v>109</v>
      </c>
      <c r="AB237" s="18" t="s">
        <v>109</v>
      </c>
      <c r="AC237" s="18" t="s">
        <v>109</v>
      </c>
      <c r="AD237" s="18" t="s">
        <v>109</v>
      </c>
      <c r="AE237" s="18" t="s">
        <v>109</v>
      </c>
      <c r="AF237" s="18" t="s">
        <v>109</v>
      </c>
      <c r="AG237" s="18" t="s">
        <v>109</v>
      </c>
      <c r="AH237" s="18" t="s">
        <v>109</v>
      </c>
      <c r="AI237" s="18" t="s">
        <v>109</v>
      </c>
      <c r="AJ237" s="18" t="s">
        <v>109</v>
      </c>
      <c r="AK237" s="18" t="s">
        <v>109</v>
      </c>
      <c r="AL237" s="18" t="s">
        <v>109</v>
      </c>
      <c r="AM237" s="18" t="s">
        <v>19</v>
      </c>
      <c r="AN237" s="18" t="s">
        <v>109</v>
      </c>
      <c r="AO237" s="18" t="s">
        <v>109</v>
      </c>
      <c r="AP237" s="18" t="s">
        <v>109</v>
      </c>
      <c r="AQ237" s="18" t="s">
        <v>109</v>
      </c>
      <c r="AR237" s="18" t="s">
        <v>109</v>
      </c>
      <c r="AS237" s="18" t="s">
        <v>109</v>
      </c>
      <c r="AT237" s="18" t="s">
        <v>109</v>
      </c>
      <c r="AU237" s="18" t="s">
        <v>3153</v>
      </c>
      <c r="AV237" s="36" t="s">
        <v>109</v>
      </c>
    </row>
    <row r="238" spans="1:264" s="5" customFormat="1" ht="87.75" hidden="1" customHeight="1" x14ac:dyDescent="0.3">
      <c r="A238" s="15" t="s">
        <v>25</v>
      </c>
      <c r="B238" s="15" t="s">
        <v>1285</v>
      </c>
      <c r="C238" s="15" t="s">
        <v>454</v>
      </c>
      <c r="D238" s="15" t="s">
        <v>109</v>
      </c>
      <c r="E238" s="18" t="s">
        <v>109</v>
      </c>
      <c r="F238" s="18" t="s">
        <v>109</v>
      </c>
      <c r="G238" s="18" t="s">
        <v>109</v>
      </c>
      <c r="H238" s="18" t="s">
        <v>109</v>
      </c>
      <c r="I238" s="18" t="s">
        <v>109</v>
      </c>
      <c r="J238" s="18" t="s">
        <v>109</v>
      </c>
      <c r="K238" s="18" t="s">
        <v>109</v>
      </c>
      <c r="L238" s="18" t="s">
        <v>109</v>
      </c>
      <c r="M238" s="15" t="s">
        <v>455</v>
      </c>
      <c r="N238" s="4" t="s">
        <v>1214</v>
      </c>
      <c r="O238" s="15"/>
      <c r="P238" s="4" t="s">
        <v>335</v>
      </c>
      <c r="S238" s="15" t="e" cm="1">
        <f t="array" aca="1" ref="S238" ca="1">COMMONMARKETCOUNT(H238:AV238)</f>
        <v>#NAME?</v>
      </c>
      <c r="T238" s="6" t="e" cm="1">
        <f t="array" aca="1" ref="T238" ca="1">AUTOMATEDCOUNT(H238:AV238)</f>
        <v>#NAME?</v>
      </c>
      <c r="V238" s="18" t="s">
        <v>109</v>
      </c>
      <c r="W238" s="18" t="s">
        <v>109</v>
      </c>
      <c r="X238" s="18" t="s">
        <v>109</v>
      </c>
      <c r="Y238" s="18" t="s">
        <v>109</v>
      </c>
      <c r="Z238" s="18" t="s">
        <v>109</v>
      </c>
      <c r="AA238" s="18" t="s">
        <v>109</v>
      </c>
      <c r="AB238" s="18" t="s">
        <v>109</v>
      </c>
      <c r="AC238" s="18" t="s">
        <v>109</v>
      </c>
      <c r="AD238" s="18" t="s">
        <v>109</v>
      </c>
      <c r="AE238" s="18" t="s">
        <v>109</v>
      </c>
      <c r="AF238" s="18" t="s">
        <v>109</v>
      </c>
      <c r="AG238" s="18" t="s">
        <v>109</v>
      </c>
      <c r="AH238" s="18" t="s">
        <v>109</v>
      </c>
      <c r="AI238" s="18" t="s">
        <v>109</v>
      </c>
      <c r="AJ238" s="18" t="s">
        <v>109</v>
      </c>
      <c r="AK238" s="18" t="s">
        <v>109</v>
      </c>
      <c r="AL238" s="18" t="s">
        <v>109</v>
      </c>
      <c r="AM238" s="18" t="s">
        <v>19</v>
      </c>
      <c r="AN238" s="18" t="s">
        <v>109</v>
      </c>
      <c r="AO238" s="18" t="s">
        <v>109</v>
      </c>
      <c r="AP238" s="18" t="s">
        <v>109</v>
      </c>
      <c r="AQ238" s="18" t="s">
        <v>109</v>
      </c>
      <c r="AR238" s="18" t="s">
        <v>109</v>
      </c>
      <c r="AS238" s="18" t="s">
        <v>109</v>
      </c>
      <c r="AT238" s="18" t="s">
        <v>109</v>
      </c>
      <c r="AU238" s="18" t="s">
        <v>3153</v>
      </c>
      <c r="AV238" s="36" t="s">
        <v>109</v>
      </c>
      <c r="AW238" s="16"/>
      <c r="AX238" s="16"/>
      <c r="AY238" s="16"/>
      <c r="AZ238" s="16"/>
      <c r="BA238" s="16"/>
      <c r="BB238" s="16"/>
      <c r="BC238" s="16"/>
      <c r="BD238" s="16"/>
      <c r="BE238" s="16"/>
      <c r="BF238" s="16"/>
      <c r="BG238" s="16"/>
      <c r="BH238" s="16"/>
      <c r="BI238" s="16"/>
      <c r="BJ238" s="16"/>
      <c r="BK238" s="16"/>
      <c r="BL238" s="16"/>
      <c r="BM238" s="16"/>
      <c r="BN238" s="16"/>
      <c r="BO238" s="16"/>
      <c r="BP238" s="16"/>
      <c r="BQ238" s="16"/>
      <c r="BR238" s="16"/>
      <c r="BS238" s="16"/>
      <c r="BT238" s="16"/>
      <c r="BU238" s="16"/>
      <c r="BV238" s="16"/>
      <c r="BW238" s="16"/>
      <c r="BX238" s="16"/>
      <c r="BY238" s="16"/>
      <c r="BZ238" s="16"/>
      <c r="CA238" s="16"/>
      <c r="CB238" s="16"/>
      <c r="CC238" s="16"/>
      <c r="CD238" s="16"/>
      <c r="CE238" s="16"/>
      <c r="CF238" s="16"/>
      <c r="CG238" s="16"/>
      <c r="CH238" s="16"/>
      <c r="CI238" s="16"/>
      <c r="CJ238" s="16"/>
      <c r="CK238" s="16"/>
      <c r="CL238" s="16"/>
      <c r="CM238" s="16"/>
      <c r="CN238" s="16"/>
      <c r="CO238" s="16"/>
      <c r="CP238" s="16"/>
      <c r="CQ238" s="16"/>
      <c r="CR238" s="16"/>
      <c r="CS238" s="16"/>
      <c r="CT238" s="16"/>
      <c r="CU238" s="16"/>
      <c r="CV238" s="16"/>
      <c r="CW238" s="16"/>
      <c r="CX238" s="16"/>
      <c r="CY238" s="16"/>
      <c r="CZ238" s="16"/>
      <c r="DA238" s="16"/>
      <c r="DB238" s="16"/>
      <c r="DC238" s="16"/>
      <c r="DD238" s="16"/>
      <c r="DE238" s="16"/>
      <c r="DF238" s="16"/>
      <c r="DG238" s="16"/>
      <c r="DH238" s="16"/>
      <c r="DI238" s="16"/>
      <c r="DJ238" s="16"/>
      <c r="DK238" s="16"/>
      <c r="DL238" s="16"/>
      <c r="DM238" s="16"/>
      <c r="DN238" s="16"/>
      <c r="DO238" s="16"/>
      <c r="DP238" s="16"/>
      <c r="DQ238" s="16"/>
      <c r="DR238" s="16"/>
      <c r="DS238" s="16"/>
      <c r="DT238" s="16"/>
      <c r="DU238" s="16"/>
      <c r="DV238" s="16"/>
      <c r="DW238" s="16"/>
      <c r="DX238" s="16"/>
      <c r="DY238" s="16"/>
      <c r="DZ238" s="16"/>
      <c r="EA238" s="16"/>
      <c r="EB238" s="16"/>
      <c r="EC238" s="16"/>
      <c r="ED238" s="16"/>
      <c r="EE238" s="16"/>
      <c r="EF238" s="16"/>
      <c r="EG238" s="16"/>
      <c r="EH238" s="16"/>
      <c r="EI238" s="16"/>
      <c r="EJ238" s="16"/>
      <c r="EK238" s="16"/>
      <c r="EL238" s="16"/>
      <c r="EM238" s="16"/>
      <c r="EN238" s="16"/>
      <c r="EO238" s="16"/>
      <c r="EP238" s="16"/>
      <c r="EQ238" s="16"/>
      <c r="ER238" s="16"/>
      <c r="ES238" s="16"/>
      <c r="ET238" s="16"/>
      <c r="EU238" s="16"/>
      <c r="EV238" s="16"/>
      <c r="EW238" s="16"/>
      <c r="EX238" s="16"/>
      <c r="EY238" s="16"/>
      <c r="EZ238" s="16"/>
      <c r="FA238" s="16"/>
      <c r="FB238" s="16"/>
      <c r="FC238" s="16"/>
      <c r="FD238" s="16"/>
      <c r="FE238" s="16"/>
      <c r="FF238" s="16"/>
      <c r="FG238" s="16"/>
      <c r="FH238" s="16"/>
      <c r="FI238" s="16"/>
      <c r="FJ238" s="16"/>
      <c r="FK238" s="16"/>
      <c r="FL238" s="16"/>
      <c r="FM238" s="16"/>
      <c r="FN238" s="16"/>
      <c r="FO238" s="16"/>
      <c r="FP238" s="16"/>
      <c r="FQ238" s="16"/>
      <c r="FR238" s="16"/>
      <c r="FS238" s="16"/>
      <c r="FT238" s="16"/>
      <c r="FU238" s="16"/>
      <c r="FV238" s="16"/>
      <c r="FW238" s="16"/>
      <c r="FX238" s="16"/>
      <c r="FY238" s="16"/>
      <c r="FZ238" s="16"/>
      <c r="GA238" s="16"/>
      <c r="GB238" s="16"/>
      <c r="GC238" s="16"/>
      <c r="GD238" s="16"/>
      <c r="GE238" s="16"/>
      <c r="GF238" s="16"/>
      <c r="GG238" s="16"/>
      <c r="GH238" s="16"/>
      <c r="GI238" s="16"/>
      <c r="GJ238" s="16"/>
      <c r="GK238" s="16"/>
      <c r="GL238" s="16"/>
      <c r="GM238" s="16"/>
      <c r="GN238" s="16"/>
      <c r="GO238" s="16"/>
      <c r="GP238" s="16"/>
      <c r="GQ238" s="16"/>
      <c r="GR238" s="16"/>
      <c r="GS238" s="16"/>
      <c r="GT238" s="16"/>
      <c r="GU238" s="16"/>
      <c r="GV238" s="16"/>
      <c r="GW238" s="16"/>
      <c r="GX238" s="16"/>
      <c r="GY238" s="16"/>
      <c r="GZ238" s="16"/>
      <c r="HA238" s="16"/>
      <c r="HB238" s="16"/>
      <c r="HC238" s="16"/>
      <c r="HD238" s="16"/>
      <c r="HE238" s="16"/>
      <c r="HF238" s="16"/>
      <c r="HG238" s="16"/>
      <c r="HH238" s="16"/>
      <c r="HI238" s="16"/>
      <c r="HJ238" s="16"/>
      <c r="HK238" s="16"/>
      <c r="HL238" s="16"/>
      <c r="HM238" s="16"/>
      <c r="HN238" s="16"/>
      <c r="HO238" s="16"/>
      <c r="HP238" s="16"/>
      <c r="HQ238" s="16"/>
      <c r="HR238" s="16"/>
      <c r="HS238" s="16"/>
      <c r="HT238" s="16"/>
      <c r="HU238" s="16"/>
      <c r="HV238" s="16"/>
      <c r="HW238" s="16"/>
      <c r="HX238" s="16"/>
      <c r="HY238" s="16"/>
      <c r="HZ238" s="16"/>
      <c r="IA238" s="16"/>
      <c r="IB238" s="16"/>
      <c r="IC238" s="16"/>
      <c r="ID238" s="16"/>
      <c r="IE238" s="16"/>
      <c r="IF238" s="16"/>
      <c r="IG238" s="16"/>
      <c r="IH238" s="16"/>
      <c r="II238" s="16"/>
      <c r="IJ238" s="16"/>
      <c r="IK238" s="16"/>
      <c r="IL238" s="16"/>
      <c r="IM238" s="16"/>
      <c r="IN238" s="16"/>
      <c r="IO238" s="16"/>
      <c r="IP238" s="16"/>
      <c r="IQ238" s="16"/>
      <c r="IR238" s="16"/>
      <c r="IS238" s="16"/>
      <c r="IT238" s="16"/>
      <c r="IU238" s="16"/>
      <c r="IV238" s="16"/>
      <c r="IW238" s="16"/>
      <c r="IX238" s="16"/>
      <c r="IY238" s="16"/>
      <c r="IZ238" s="16"/>
      <c r="JA238" s="16"/>
      <c r="JB238" s="16"/>
      <c r="JC238" s="16"/>
      <c r="JD238" s="16"/>
    </row>
    <row r="239" spans="1:264" ht="40.5" hidden="1" customHeight="1" x14ac:dyDescent="0.3">
      <c r="A239" s="15" t="s">
        <v>25</v>
      </c>
      <c r="B239" s="15" t="s">
        <v>1286</v>
      </c>
      <c r="C239" s="15" t="s">
        <v>456</v>
      </c>
      <c r="D239" s="15" t="s">
        <v>109</v>
      </c>
      <c r="E239" s="18" t="s">
        <v>109</v>
      </c>
      <c r="F239" s="18" t="s">
        <v>109</v>
      </c>
      <c r="G239" s="18" t="s">
        <v>109</v>
      </c>
      <c r="H239" s="18" t="s">
        <v>109</v>
      </c>
      <c r="I239" s="18" t="s">
        <v>109</v>
      </c>
      <c r="J239" s="18" t="s">
        <v>109</v>
      </c>
      <c r="K239" s="18" t="s">
        <v>109</v>
      </c>
      <c r="L239" s="18" t="s">
        <v>109</v>
      </c>
      <c r="M239" s="15" t="s">
        <v>457</v>
      </c>
      <c r="N239" s="4" t="s">
        <v>1215</v>
      </c>
      <c r="O239" s="15"/>
      <c r="P239" s="4" t="s">
        <v>335</v>
      </c>
      <c r="S239" s="15" t="e" cm="1">
        <f t="array" aca="1" ref="S239" ca="1">COMMONMARKETCOUNT(H239:AV239)</f>
        <v>#NAME?</v>
      </c>
      <c r="T239" s="6" t="e" cm="1">
        <f t="array" aca="1" ref="T239" ca="1">AUTOMATEDCOUNT(H239:AV239)</f>
        <v>#NAME?</v>
      </c>
      <c r="V239" s="18" t="s">
        <v>109</v>
      </c>
      <c r="W239" s="18" t="s">
        <v>109</v>
      </c>
      <c r="X239" s="18" t="s">
        <v>109</v>
      </c>
      <c r="Y239" s="18" t="s">
        <v>109</v>
      </c>
      <c r="Z239" s="18" t="s">
        <v>109</v>
      </c>
      <c r="AA239" s="18" t="s">
        <v>109</v>
      </c>
      <c r="AB239" s="18" t="s">
        <v>109</v>
      </c>
      <c r="AC239" s="18" t="s">
        <v>109</v>
      </c>
      <c r="AD239" s="18" t="s">
        <v>109</v>
      </c>
      <c r="AE239" s="18" t="s">
        <v>109</v>
      </c>
      <c r="AF239" s="18" t="s">
        <v>109</v>
      </c>
      <c r="AG239" s="18" t="s">
        <v>109</v>
      </c>
      <c r="AH239" s="18" t="s">
        <v>109</v>
      </c>
      <c r="AI239" s="18" t="s">
        <v>109</v>
      </c>
      <c r="AJ239" s="18" t="s">
        <v>109</v>
      </c>
      <c r="AK239" s="18" t="s">
        <v>109</v>
      </c>
      <c r="AL239" s="18" t="s">
        <v>109</v>
      </c>
      <c r="AM239" s="18" t="s">
        <v>19</v>
      </c>
      <c r="AN239" s="18" t="s">
        <v>109</v>
      </c>
      <c r="AO239" s="18" t="s">
        <v>109</v>
      </c>
      <c r="AP239" s="18" t="s">
        <v>109</v>
      </c>
      <c r="AQ239" s="18" t="s">
        <v>109</v>
      </c>
      <c r="AR239" s="18" t="s">
        <v>109</v>
      </c>
      <c r="AS239" s="18" t="s">
        <v>109</v>
      </c>
      <c r="AT239" s="18" t="s">
        <v>109</v>
      </c>
      <c r="AU239" s="18" t="s">
        <v>3153</v>
      </c>
      <c r="AV239" s="36" t="s">
        <v>109</v>
      </c>
    </row>
    <row r="240" spans="1:264" ht="55.5" hidden="1" customHeight="1" x14ac:dyDescent="0.3">
      <c r="A240" s="15" t="s">
        <v>25</v>
      </c>
      <c r="B240" s="15" t="s">
        <v>1286</v>
      </c>
      <c r="C240" s="15" t="s">
        <v>458</v>
      </c>
      <c r="D240" s="15" t="s">
        <v>109</v>
      </c>
      <c r="E240" s="18" t="s">
        <v>109</v>
      </c>
      <c r="F240" s="18" t="s">
        <v>109</v>
      </c>
      <c r="G240" s="18" t="s">
        <v>109</v>
      </c>
      <c r="H240" s="18" t="s">
        <v>109</v>
      </c>
      <c r="I240" s="18" t="s">
        <v>109</v>
      </c>
      <c r="J240" s="18" t="s">
        <v>109</v>
      </c>
      <c r="K240" s="18" t="s">
        <v>109</v>
      </c>
      <c r="L240" s="18" t="s">
        <v>109</v>
      </c>
      <c r="M240" s="15" t="s">
        <v>1734</v>
      </c>
      <c r="N240" s="4" t="s">
        <v>1209</v>
      </c>
      <c r="O240" s="15"/>
      <c r="P240" s="4" t="s">
        <v>335</v>
      </c>
      <c r="S240" s="15" t="e" cm="1">
        <f t="array" aca="1" ref="S240" ca="1">COMMONMARKETCOUNT(H240:AV240)</f>
        <v>#NAME?</v>
      </c>
      <c r="T240" s="6" t="e" cm="1">
        <f t="array" aca="1" ref="T240" ca="1">AUTOMATEDCOUNT(H240:AV240)</f>
        <v>#NAME?</v>
      </c>
      <c r="V240" s="18" t="s">
        <v>109</v>
      </c>
      <c r="W240" s="18" t="s">
        <v>109</v>
      </c>
      <c r="X240" s="18" t="s">
        <v>109</v>
      </c>
      <c r="Y240" s="18" t="s">
        <v>109</v>
      </c>
      <c r="Z240" s="18" t="s">
        <v>109</v>
      </c>
      <c r="AA240" s="18" t="s">
        <v>109</v>
      </c>
      <c r="AB240" s="18" t="s">
        <v>109</v>
      </c>
      <c r="AC240" s="18" t="s">
        <v>109</v>
      </c>
      <c r="AD240" s="18" t="s">
        <v>109</v>
      </c>
      <c r="AE240" s="18" t="s">
        <v>109</v>
      </c>
      <c r="AF240" s="18" t="s">
        <v>109</v>
      </c>
      <c r="AG240" s="18" t="s">
        <v>109</v>
      </c>
      <c r="AH240" s="18" t="s">
        <v>109</v>
      </c>
      <c r="AI240" s="18" t="s">
        <v>109</v>
      </c>
      <c r="AJ240" s="18" t="s">
        <v>109</v>
      </c>
      <c r="AK240" s="18" t="s">
        <v>109</v>
      </c>
      <c r="AL240" s="18" t="s">
        <v>109</v>
      </c>
      <c r="AM240" s="18" t="s">
        <v>19</v>
      </c>
      <c r="AN240" s="18" t="s">
        <v>109</v>
      </c>
      <c r="AO240" s="18" t="s">
        <v>109</v>
      </c>
      <c r="AP240" s="18" t="s">
        <v>109</v>
      </c>
      <c r="AQ240" s="18" t="s">
        <v>109</v>
      </c>
      <c r="AR240" s="18" t="s">
        <v>109</v>
      </c>
      <c r="AS240" s="18" t="s">
        <v>109</v>
      </c>
      <c r="AT240" s="18" t="s">
        <v>109</v>
      </c>
      <c r="AU240" s="18" t="s">
        <v>3153</v>
      </c>
      <c r="AV240" s="36" t="s">
        <v>109</v>
      </c>
    </row>
    <row r="241" spans="1:264" ht="40.5" hidden="1" customHeight="1" x14ac:dyDescent="0.3">
      <c r="A241" s="15" t="s">
        <v>25</v>
      </c>
      <c r="B241" s="15" t="s">
        <v>1286</v>
      </c>
      <c r="C241" s="15" t="s">
        <v>459</v>
      </c>
      <c r="D241" s="15" t="s">
        <v>109</v>
      </c>
      <c r="E241" s="18" t="s">
        <v>109</v>
      </c>
      <c r="F241" s="18" t="s">
        <v>109</v>
      </c>
      <c r="G241" s="18" t="s">
        <v>109</v>
      </c>
      <c r="H241" s="18" t="s">
        <v>109</v>
      </c>
      <c r="I241" s="18" t="s">
        <v>109</v>
      </c>
      <c r="J241" s="18" t="s">
        <v>109</v>
      </c>
      <c r="K241" s="18" t="s">
        <v>109</v>
      </c>
      <c r="L241" s="18" t="s">
        <v>109</v>
      </c>
      <c r="M241" s="15" t="s">
        <v>1734</v>
      </c>
      <c r="N241" s="4" t="s">
        <v>1209</v>
      </c>
      <c r="O241" s="15"/>
      <c r="P241" s="4" t="s">
        <v>335</v>
      </c>
      <c r="S241" s="15" t="e" cm="1">
        <f t="array" aca="1" ref="S241" ca="1">COMMONMARKETCOUNT(H241:AV241)</f>
        <v>#NAME?</v>
      </c>
      <c r="T241" s="6" t="e" cm="1">
        <f t="array" aca="1" ref="T241" ca="1">AUTOMATEDCOUNT(H241:AV241)</f>
        <v>#NAME?</v>
      </c>
      <c r="V241" s="18" t="s">
        <v>109</v>
      </c>
      <c r="W241" s="18" t="s">
        <v>109</v>
      </c>
      <c r="X241" s="18" t="s">
        <v>109</v>
      </c>
      <c r="Y241" s="18" t="s">
        <v>109</v>
      </c>
      <c r="Z241" s="18" t="s">
        <v>109</v>
      </c>
      <c r="AA241" s="18" t="s">
        <v>109</v>
      </c>
      <c r="AB241" s="18" t="s">
        <v>109</v>
      </c>
      <c r="AC241" s="18" t="s">
        <v>109</v>
      </c>
      <c r="AD241" s="18" t="s">
        <v>109</v>
      </c>
      <c r="AE241" s="18" t="s">
        <v>109</v>
      </c>
      <c r="AF241" s="18" t="s">
        <v>109</v>
      </c>
      <c r="AG241" s="18" t="s">
        <v>109</v>
      </c>
      <c r="AH241" s="18" t="s">
        <v>109</v>
      </c>
      <c r="AI241" s="18" t="s">
        <v>109</v>
      </c>
      <c r="AJ241" s="18" t="s">
        <v>109</v>
      </c>
      <c r="AK241" s="18" t="s">
        <v>109</v>
      </c>
      <c r="AL241" s="18" t="s">
        <v>109</v>
      </c>
      <c r="AM241" s="18" t="s">
        <v>19</v>
      </c>
      <c r="AN241" s="18" t="s">
        <v>109</v>
      </c>
      <c r="AO241" s="18" t="s">
        <v>109</v>
      </c>
      <c r="AP241" s="18" t="s">
        <v>109</v>
      </c>
      <c r="AQ241" s="18" t="s">
        <v>109</v>
      </c>
      <c r="AR241" s="18" t="s">
        <v>109</v>
      </c>
      <c r="AS241" s="18" t="s">
        <v>109</v>
      </c>
      <c r="AT241" s="18" t="s">
        <v>109</v>
      </c>
      <c r="AU241" s="18" t="s">
        <v>3153</v>
      </c>
      <c r="AV241" s="36" t="s">
        <v>109</v>
      </c>
      <c r="AW241" s="5"/>
      <c r="AX241" s="5"/>
      <c r="AY241" s="5"/>
      <c r="AZ241" s="5"/>
      <c r="BA241" s="5"/>
      <c r="BB241" s="5"/>
      <c r="BC241" s="5"/>
      <c r="BD241" s="5"/>
      <c r="BE241" s="5"/>
      <c r="BF241" s="5"/>
      <c r="BG241" s="5"/>
      <c r="BH241" s="5"/>
      <c r="BI241" s="5"/>
      <c r="BJ241" s="5"/>
      <c r="BK241" s="5"/>
      <c r="BL241" s="5"/>
      <c r="BM241" s="5"/>
      <c r="BN241" s="5"/>
      <c r="BO241" s="5"/>
      <c r="BP241" s="5"/>
      <c r="BQ241" s="5"/>
      <c r="BR241" s="5"/>
      <c r="BS241" s="5"/>
      <c r="BT241" s="5"/>
      <c r="BU241" s="5"/>
      <c r="BV241" s="5"/>
      <c r="BW241" s="5"/>
      <c r="BX241" s="5"/>
      <c r="BY241" s="5"/>
      <c r="BZ241" s="5"/>
      <c r="CA241" s="5"/>
      <c r="CB241" s="5"/>
      <c r="CC241" s="5"/>
      <c r="CD241" s="5"/>
      <c r="CE241" s="5"/>
      <c r="CF241" s="5"/>
      <c r="CG241" s="5"/>
      <c r="CH241" s="5"/>
      <c r="CI241" s="5"/>
      <c r="CJ241" s="5"/>
      <c r="CK241" s="5"/>
      <c r="CL241" s="5"/>
      <c r="CM241" s="5"/>
      <c r="CN241" s="5"/>
      <c r="CO241" s="5"/>
      <c r="CP241" s="5"/>
      <c r="CQ241" s="5"/>
      <c r="CR241" s="5"/>
      <c r="CS241" s="5"/>
      <c r="CT241" s="5"/>
      <c r="CU241" s="5"/>
      <c r="CV241" s="5"/>
      <c r="CW241" s="5"/>
      <c r="CX241" s="5"/>
      <c r="CY241" s="5"/>
      <c r="CZ241" s="5"/>
      <c r="DA241" s="5"/>
      <c r="DB241" s="5"/>
      <c r="DC241" s="5"/>
      <c r="DD241" s="5"/>
      <c r="DE241" s="5"/>
      <c r="DF241" s="5"/>
      <c r="DG241" s="5"/>
      <c r="DH241" s="5"/>
      <c r="DI241" s="5"/>
      <c r="DJ241" s="5"/>
      <c r="DK241" s="5"/>
      <c r="DL241" s="5"/>
      <c r="DM241" s="5"/>
      <c r="DN241" s="5"/>
      <c r="DO241" s="5"/>
      <c r="DP241" s="5"/>
      <c r="DQ241" s="5"/>
      <c r="DR241" s="5"/>
      <c r="DS241" s="5"/>
      <c r="DT241" s="5"/>
      <c r="DU241" s="5"/>
      <c r="DV241" s="5"/>
      <c r="DW241" s="5"/>
      <c r="DX241" s="5"/>
      <c r="DY241" s="5"/>
      <c r="DZ241" s="5"/>
      <c r="EA241" s="5"/>
      <c r="EB241" s="5"/>
      <c r="EC241" s="5"/>
      <c r="ED241" s="5"/>
      <c r="EE241" s="5"/>
      <c r="EF241" s="5"/>
      <c r="EG241" s="5"/>
      <c r="EH241" s="5"/>
      <c r="EI241" s="5"/>
      <c r="EJ241" s="5"/>
      <c r="EK241" s="5"/>
      <c r="EL241" s="5"/>
      <c r="EM241" s="5"/>
      <c r="EN241" s="5"/>
      <c r="EO241" s="5"/>
      <c r="EP241" s="5"/>
      <c r="EQ241" s="5"/>
      <c r="ER241" s="5"/>
      <c r="ES241" s="5"/>
      <c r="ET241" s="5"/>
      <c r="EU241" s="5"/>
      <c r="EV241" s="5"/>
      <c r="EW241" s="5"/>
      <c r="EX241" s="5"/>
      <c r="EY241" s="5"/>
      <c r="EZ241" s="5"/>
      <c r="FA241" s="5"/>
      <c r="FB241" s="5"/>
      <c r="FC241" s="5"/>
      <c r="FD241" s="5"/>
      <c r="FE241" s="5"/>
      <c r="FF241" s="5"/>
      <c r="FG241" s="5"/>
      <c r="FH241" s="5"/>
      <c r="FI241" s="5"/>
      <c r="FJ241" s="5"/>
      <c r="FK241" s="5"/>
      <c r="FL241" s="5"/>
      <c r="FM241" s="5"/>
      <c r="FN241" s="5"/>
      <c r="FO241" s="5"/>
      <c r="FP241" s="5"/>
      <c r="FQ241" s="5"/>
      <c r="FR241" s="5"/>
      <c r="FS241" s="5"/>
      <c r="FT241" s="5"/>
      <c r="FU241" s="5"/>
      <c r="FV241" s="5"/>
      <c r="FW241" s="5"/>
      <c r="FX241" s="5"/>
      <c r="FY241" s="5"/>
      <c r="FZ241" s="5"/>
      <c r="GA241" s="5"/>
      <c r="GB241" s="5"/>
      <c r="GC241" s="5"/>
      <c r="GD241" s="5"/>
      <c r="GE241" s="5"/>
      <c r="GF241" s="5"/>
      <c r="GG241" s="5"/>
      <c r="GH241" s="5"/>
      <c r="GI241" s="5"/>
      <c r="GJ241" s="5"/>
      <c r="GK241" s="5"/>
      <c r="GL241" s="5"/>
      <c r="GM241" s="5"/>
      <c r="GN241" s="5"/>
      <c r="GO241" s="5"/>
      <c r="GP241" s="5"/>
      <c r="GQ241" s="5"/>
      <c r="GR241" s="5"/>
      <c r="GS241" s="5"/>
      <c r="GT241" s="5"/>
      <c r="GU241" s="5"/>
      <c r="GV241" s="5"/>
      <c r="GW241" s="5"/>
      <c r="GX241" s="5"/>
      <c r="GY241" s="5"/>
      <c r="GZ241" s="5"/>
      <c r="HA241" s="5"/>
      <c r="HB241" s="5"/>
      <c r="HC241" s="5"/>
      <c r="HD241" s="5"/>
      <c r="HE241" s="5"/>
      <c r="HF241" s="5"/>
      <c r="HG241" s="5"/>
      <c r="HH241" s="5"/>
      <c r="HI241" s="5"/>
      <c r="HJ241" s="5"/>
      <c r="HK241" s="5"/>
      <c r="HL241" s="5"/>
      <c r="HM241" s="5"/>
      <c r="HN241" s="5"/>
      <c r="HO241" s="5"/>
      <c r="HP241" s="5"/>
      <c r="HQ241" s="5"/>
      <c r="HR241" s="5"/>
      <c r="HS241" s="5"/>
      <c r="HT241" s="5"/>
      <c r="HU241" s="5"/>
      <c r="HV241" s="5"/>
      <c r="HW241" s="5"/>
      <c r="HX241" s="5"/>
      <c r="HY241" s="5"/>
      <c r="HZ241" s="5"/>
      <c r="IA241" s="5"/>
      <c r="IB241" s="5"/>
      <c r="IC241" s="5"/>
      <c r="ID241" s="5"/>
      <c r="IE241" s="5"/>
      <c r="IF241" s="5"/>
      <c r="IG241" s="5"/>
      <c r="IH241" s="5"/>
      <c r="II241" s="5"/>
      <c r="IJ241" s="5"/>
      <c r="IK241" s="5"/>
      <c r="IL241" s="5"/>
      <c r="IM241" s="5"/>
      <c r="IN241" s="5"/>
      <c r="IO241" s="5"/>
      <c r="IP241" s="5"/>
      <c r="IQ241" s="5"/>
      <c r="IR241" s="5"/>
      <c r="IS241" s="5"/>
      <c r="IT241" s="5"/>
      <c r="IU241" s="5"/>
      <c r="IV241" s="5"/>
      <c r="IW241" s="5"/>
      <c r="IX241" s="5"/>
      <c r="IY241" s="5"/>
      <c r="IZ241" s="5"/>
      <c r="JA241" s="5"/>
      <c r="JB241" s="5"/>
      <c r="JC241" s="5"/>
      <c r="JD241" s="5"/>
    </row>
    <row r="242" spans="1:264" ht="78.75" hidden="1" customHeight="1" x14ac:dyDescent="0.3">
      <c r="A242" s="15" t="s">
        <v>25</v>
      </c>
      <c r="B242" s="15" t="s">
        <v>37</v>
      </c>
      <c r="C242" s="15" t="s">
        <v>460</v>
      </c>
      <c r="D242" s="15" t="s">
        <v>32</v>
      </c>
      <c r="E242" s="15" t="s">
        <v>19</v>
      </c>
      <c r="F242" s="15" t="s">
        <v>19</v>
      </c>
      <c r="G242" s="15" t="s">
        <v>19</v>
      </c>
      <c r="H242" s="15" t="s">
        <v>19</v>
      </c>
      <c r="I242" s="18" t="s">
        <v>19</v>
      </c>
      <c r="J242" s="18" t="s">
        <v>19</v>
      </c>
      <c r="K242" s="18" t="s">
        <v>19</v>
      </c>
      <c r="L242" s="18" t="s">
        <v>19</v>
      </c>
      <c r="M242" s="15" t="s">
        <v>2918</v>
      </c>
      <c r="N242" s="4" t="s">
        <v>1537</v>
      </c>
      <c r="O242" s="15"/>
      <c r="P242" s="4" t="s">
        <v>3077</v>
      </c>
      <c r="S242" s="15" t="e" cm="1">
        <f t="array" aca="1" ref="S242" ca="1">COMMONMARKETCOUNT(H242:AV242)</f>
        <v>#NAME?</v>
      </c>
      <c r="T242" s="6" t="e" cm="1">
        <f t="array" aca="1" ref="T242" ca="1">AUTOMATEDCOUNT(H242:AV242)</f>
        <v>#NAME?</v>
      </c>
      <c r="V242" s="15" t="s">
        <v>19</v>
      </c>
      <c r="W242" s="15" t="s">
        <v>19</v>
      </c>
      <c r="X242" s="15" t="s">
        <v>19</v>
      </c>
      <c r="Y242" s="15" t="s">
        <v>19</v>
      </c>
      <c r="Z242" s="15" t="s">
        <v>19</v>
      </c>
      <c r="AA242" s="18" t="s">
        <v>19</v>
      </c>
      <c r="AB242" s="18" t="s">
        <v>19</v>
      </c>
      <c r="AC242" s="18" t="s">
        <v>19</v>
      </c>
      <c r="AD242" s="18" t="s">
        <v>109</v>
      </c>
      <c r="AE242" s="18" t="s">
        <v>109</v>
      </c>
      <c r="AF242" s="18" t="s">
        <v>19</v>
      </c>
      <c r="AG242" s="18" t="s">
        <v>19</v>
      </c>
      <c r="AH242" s="18" t="s">
        <v>19</v>
      </c>
      <c r="AI242" s="18" t="s">
        <v>19</v>
      </c>
      <c r="AJ242" s="18" t="s">
        <v>19</v>
      </c>
      <c r="AK242" s="18" t="s">
        <v>19</v>
      </c>
      <c r="AL242" s="18" t="s">
        <v>19</v>
      </c>
      <c r="AM242" s="18" t="s">
        <v>19</v>
      </c>
      <c r="AN242" s="18" t="s">
        <v>19</v>
      </c>
      <c r="AO242" s="18" t="s">
        <v>19</v>
      </c>
      <c r="AP242" s="18" t="s">
        <v>19</v>
      </c>
      <c r="AQ242" s="18" t="s">
        <v>19</v>
      </c>
      <c r="AR242" s="18" t="s">
        <v>19</v>
      </c>
      <c r="AS242" s="15" t="s">
        <v>19</v>
      </c>
      <c r="AT242" s="18" t="s">
        <v>19</v>
      </c>
      <c r="AU242" s="18" t="s">
        <v>3153</v>
      </c>
      <c r="AV242" s="36" t="s">
        <v>19</v>
      </c>
    </row>
    <row r="243" spans="1:264" ht="52.5" hidden="1" customHeight="1" x14ac:dyDescent="0.3">
      <c r="A243" s="15" t="s">
        <v>25</v>
      </c>
      <c r="B243" s="18" t="s">
        <v>37</v>
      </c>
      <c r="C243" s="15" t="s">
        <v>878</v>
      </c>
      <c r="D243" s="18" t="s">
        <v>32</v>
      </c>
      <c r="E243" s="15" t="s">
        <v>19</v>
      </c>
      <c r="F243" s="15" t="s">
        <v>19</v>
      </c>
      <c r="G243" s="15" t="s">
        <v>19</v>
      </c>
      <c r="H243" s="15" t="s">
        <v>19</v>
      </c>
      <c r="I243" s="18" t="s">
        <v>19</v>
      </c>
      <c r="J243" s="18" t="s">
        <v>19</v>
      </c>
      <c r="K243" s="18" t="s">
        <v>19</v>
      </c>
      <c r="L243" s="18" t="s">
        <v>19</v>
      </c>
      <c r="M243" s="15" t="s">
        <v>879</v>
      </c>
      <c r="N243" s="4" t="s">
        <v>1538</v>
      </c>
      <c r="O243" s="15"/>
      <c r="P243" s="4" t="s">
        <v>978</v>
      </c>
      <c r="S243" s="15" t="e" cm="1">
        <f t="array" aca="1" ref="S243" ca="1">COMMONMARKETCOUNT(H243:AV243)</f>
        <v>#NAME?</v>
      </c>
      <c r="T243" s="6" t="e" cm="1">
        <f t="array" aca="1" ref="T243" ca="1">AUTOMATEDCOUNT(H243:AV243)</f>
        <v>#NAME?</v>
      </c>
      <c r="V243" s="15" t="s">
        <v>19</v>
      </c>
      <c r="W243" s="15" t="s">
        <v>19</v>
      </c>
      <c r="X243" s="15" t="s">
        <v>19</v>
      </c>
      <c r="Y243" s="15" t="s">
        <v>19</v>
      </c>
      <c r="Z243" s="15" t="s">
        <v>19</v>
      </c>
      <c r="AA243" s="18" t="s">
        <v>19</v>
      </c>
      <c r="AB243" s="18" t="s">
        <v>19</v>
      </c>
      <c r="AC243" s="18" t="s">
        <v>19</v>
      </c>
      <c r="AD243" s="18" t="s">
        <v>19</v>
      </c>
      <c r="AE243" s="18" t="s">
        <v>19</v>
      </c>
      <c r="AF243" s="18" t="s">
        <v>19</v>
      </c>
      <c r="AG243" s="18" t="s">
        <v>19</v>
      </c>
      <c r="AH243" s="18" t="s">
        <v>19</v>
      </c>
      <c r="AI243" s="18" t="s">
        <v>19</v>
      </c>
      <c r="AJ243" s="18" t="s">
        <v>19</v>
      </c>
      <c r="AK243" s="18" t="s">
        <v>19</v>
      </c>
      <c r="AL243" s="18" t="s">
        <v>19</v>
      </c>
      <c r="AM243" s="18" t="s">
        <v>19</v>
      </c>
      <c r="AN243" s="18" t="s">
        <v>19</v>
      </c>
      <c r="AO243" s="18" t="s">
        <v>19</v>
      </c>
      <c r="AP243" s="18" t="s">
        <v>19</v>
      </c>
      <c r="AQ243" s="18" t="s">
        <v>19</v>
      </c>
      <c r="AR243" s="18" t="s">
        <v>19</v>
      </c>
      <c r="AS243" s="18" t="s">
        <v>19</v>
      </c>
      <c r="AT243" s="18" t="s">
        <v>19</v>
      </c>
      <c r="AU243" s="18" t="s">
        <v>3153</v>
      </c>
      <c r="AV243" s="36" t="s">
        <v>19</v>
      </c>
    </row>
    <row r="244" spans="1:264" ht="40.5" hidden="1" customHeight="1" x14ac:dyDescent="0.3">
      <c r="A244" s="15" t="s">
        <v>25</v>
      </c>
      <c r="B244" s="15" t="s">
        <v>1823</v>
      </c>
      <c r="C244" s="15" t="s">
        <v>880</v>
      </c>
      <c r="D244" s="15" t="s">
        <v>32</v>
      </c>
      <c r="E244" s="15" t="s">
        <v>19</v>
      </c>
      <c r="F244" s="15" t="s">
        <v>19</v>
      </c>
      <c r="G244" s="15" t="s">
        <v>19</v>
      </c>
      <c r="H244" s="15" t="s">
        <v>19</v>
      </c>
      <c r="I244" s="18" t="s">
        <v>19</v>
      </c>
      <c r="J244" s="18" t="s">
        <v>19</v>
      </c>
      <c r="K244" s="18" t="s">
        <v>19</v>
      </c>
      <c r="L244" s="18" t="s">
        <v>19</v>
      </c>
      <c r="M244" s="15" t="s">
        <v>934</v>
      </c>
      <c r="N244" s="4" t="s">
        <v>1539</v>
      </c>
      <c r="O244" s="15"/>
      <c r="P244" s="4" t="s">
        <v>1737</v>
      </c>
      <c r="S244" s="15" t="e" cm="1">
        <f t="array" aca="1" ref="S244" ca="1">COMMONMARKETCOUNT(H244:AV244)</f>
        <v>#NAME?</v>
      </c>
      <c r="T244" s="6" t="e" cm="1">
        <f t="array" aca="1" ref="T244" ca="1">AUTOMATEDCOUNT(H244:AV244)</f>
        <v>#NAME?</v>
      </c>
      <c r="V244" s="15" t="s">
        <v>19</v>
      </c>
      <c r="W244" s="15" t="s">
        <v>19</v>
      </c>
      <c r="X244" s="15" t="s">
        <v>19</v>
      </c>
      <c r="Y244" s="15" t="s">
        <v>19</v>
      </c>
      <c r="Z244" s="15" t="s">
        <v>19</v>
      </c>
      <c r="AA244" s="18" t="s">
        <v>19</v>
      </c>
      <c r="AB244" s="18" t="s">
        <v>19</v>
      </c>
      <c r="AC244" s="18" t="s">
        <v>19</v>
      </c>
      <c r="AD244" s="18" t="s">
        <v>19</v>
      </c>
      <c r="AE244" s="18" t="s">
        <v>19</v>
      </c>
      <c r="AF244" s="18" t="s">
        <v>19</v>
      </c>
      <c r="AG244" s="18" t="s">
        <v>19</v>
      </c>
      <c r="AH244" s="18" t="s">
        <v>19</v>
      </c>
      <c r="AI244" s="18" t="s">
        <v>19</v>
      </c>
      <c r="AJ244" s="18" t="s">
        <v>19</v>
      </c>
      <c r="AK244" s="18" t="s">
        <v>19</v>
      </c>
      <c r="AL244" s="18" t="s">
        <v>19</v>
      </c>
      <c r="AM244" s="18" t="s">
        <v>19</v>
      </c>
      <c r="AN244" s="18" t="s">
        <v>19</v>
      </c>
      <c r="AO244" s="18" t="s">
        <v>19</v>
      </c>
      <c r="AP244" s="18" t="s">
        <v>19</v>
      </c>
      <c r="AQ244" s="18" t="s">
        <v>19</v>
      </c>
      <c r="AR244" s="18" t="s">
        <v>19</v>
      </c>
      <c r="AS244" s="18" t="s">
        <v>19</v>
      </c>
      <c r="AT244" s="18" t="s">
        <v>19</v>
      </c>
      <c r="AU244" s="18" t="s">
        <v>3153</v>
      </c>
      <c r="AV244" s="36" t="s">
        <v>19</v>
      </c>
    </row>
    <row r="245" spans="1:264" ht="63.75" customHeight="1" x14ac:dyDescent="0.3">
      <c r="A245" s="15" t="s">
        <v>25</v>
      </c>
      <c r="B245" s="15" t="s">
        <v>24</v>
      </c>
      <c r="C245" s="15" t="s">
        <v>461</v>
      </c>
      <c r="D245" s="15" t="s">
        <v>19</v>
      </c>
      <c r="E245" s="70" t="s">
        <v>19</v>
      </c>
      <c r="F245" s="70" t="s">
        <v>19</v>
      </c>
      <c r="G245" s="70" t="s">
        <v>19</v>
      </c>
      <c r="H245" s="70" t="s">
        <v>19</v>
      </c>
      <c r="I245" s="72" t="s">
        <v>19</v>
      </c>
      <c r="J245" s="72" t="s">
        <v>19</v>
      </c>
      <c r="K245" s="20" t="s">
        <v>19</v>
      </c>
      <c r="L245" s="20" t="s">
        <v>19</v>
      </c>
      <c r="M245" s="15" t="s">
        <v>462</v>
      </c>
      <c r="N245" s="4" t="s">
        <v>1587</v>
      </c>
      <c r="O245" s="33" t="s">
        <v>1645</v>
      </c>
      <c r="P245" s="4" t="s">
        <v>3078</v>
      </c>
      <c r="S245" s="15" t="e" cm="1">
        <f t="array" aca="1" ref="S245" ca="1">COMMONMARKETCOUNT(H245:AV245)</f>
        <v>#NAME?</v>
      </c>
      <c r="T245" s="6" t="e" cm="1">
        <f t="array" aca="1" ref="T245" ca="1">AUTOMATEDCOUNT(H245:AV245)</f>
        <v>#NAME?</v>
      </c>
      <c r="V245" s="15" t="s">
        <v>109</v>
      </c>
      <c r="W245" s="15" t="s">
        <v>109</v>
      </c>
      <c r="X245" s="70" t="s">
        <v>19</v>
      </c>
      <c r="Y245" s="70" t="s">
        <v>19</v>
      </c>
      <c r="Z245" s="70" t="s">
        <v>19</v>
      </c>
      <c r="AA245" s="72" t="s">
        <v>19</v>
      </c>
      <c r="AB245" s="72" t="s">
        <v>19</v>
      </c>
      <c r="AC245" s="72" t="s">
        <v>19</v>
      </c>
      <c r="AD245" s="72" t="s">
        <v>19</v>
      </c>
      <c r="AE245" s="18" t="s">
        <v>19</v>
      </c>
      <c r="AF245" s="15" t="s">
        <v>19</v>
      </c>
      <c r="AG245" s="20" t="s">
        <v>19</v>
      </c>
      <c r="AH245" s="20" t="s">
        <v>19</v>
      </c>
      <c r="AI245" s="15" t="s">
        <v>19</v>
      </c>
      <c r="AJ245" s="15" t="s">
        <v>19</v>
      </c>
      <c r="AK245" s="20" t="s">
        <v>19</v>
      </c>
      <c r="AL245" s="20" t="s">
        <v>19</v>
      </c>
      <c r="AM245" s="15" t="s">
        <v>19</v>
      </c>
      <c r="AN245" s="15" t="s">
        <v>19</v>
      </c>
      <c r="AO245" s="15" t="s">
        <v>19</v>
      </c>
      <c r="AP245" s="15" t="s">
        <v>19</v>
      </c>
      <c r="AQ245" s="15" t="s">
        <v>19</v>
      </c>
      <c r="AR245" s="15" t="s">
        <v>19</v>
      </c>
      <c r="AS245" s="20" t="s">
        <v>19</v>
      </c>
      <c r="AT245" s="20" t="s">
        <v>19</v>
      </c>
      <c r="AU245" s="20" t="s">
        <v>3153</v>
      </c>
      <c r="AV245" s="36" t="s">
        <v>19</v>
      </c>
      <c r="AW245" s="5"/>
      <c r="AX245" s="5"/>
      <c r="AY245" s="5"/>
      <c r="AZ245" s="5"/>
      <c r="BA245" s="5"/>
      <c r="BB245" s="5"/>
      <c r="BC245" s="5"/>
      <c r="BD245" s="5"/>
      <c r="BE245" s="5"/>
      <c r="BF245" s="5"/>
      <c r="BG245" s="5"/>
      <c r="BH245" s="5"/>
      <c r="BI245" s="5"/>
      <c r="BJ245" s="5"/>
      <c r="BK245" s="5"/>
      <c r="BL245" s="5"/>
      <c r="BM245" s="5"/>
      <c r="BN245" s="5"/>
      <c r="BO245" s="5"/>
      <c r="BP245" s="5"/>
      <c r="BQ245" s="5"/>
      <c r="BR245" s="5"/>
      <c r="BS245" s="5"/>
      <c r="BT245" s="5"/>
      <c r="BU245" s="5"/>
      <c r="BV245" s="5"/>
      <c r="BW245" s="5"/>
      <c r="BX245" s="5"/>
      <c r="BY245" s="5"/>
      <c r="BZ245" s="5"/>
      <c r="CA245" s="5"/>
      <c r="CB245" s="5"/>
      <c r="CC245" s="5"/>
      <c r="CD245" s="5"/>
      <c r="CE245" s="5"/>
      <c r="CF245" s="5"/>
      <c r="CG245" s="5"/>
      <c r="CH245" s="5"/>
      <c r="CI245" s="5"/>
      <c r="CJ245" s="5"/>
      <c r="CK245" s="5"/>
      <c r="CL245" s="5"/>
      <c r="CM245" s="5"/>
      <c r="CN245" s="5"/>
      <c r="CO245" s="5"/>
      <c r="CP245" s="5"/>
      <c r="CQ245" s="5"/>
      <c r="CR245" s="5"/>
      <c r="CS245" s="5"/>
      <c r="CT245" s="5"/>
      <c r="CU245" s="5"/>
      <c r="CV245" s="5"/>
      <c r="CW245" s="5"/>
      <c r="CX245" s="5"/>
      <c r="CY245" s="5"/>
      <c r="CZ245" s="5"/>
      <c r="DA245" s="5"/>
      <c r="DB245" s="5"/>
      <c r="DC245" s="5"/>
      <c r="DD245" s="5"/>
      <c r="DE245" s="5"/>
      <c r="DF245" s="5"/>
      <c r="DG245" s="5"/>
      <c r="DH245" s="5"/>
      <c r="DI245" s="5"/>
      <c r="DJ245" s="5"/>
      <c r="DK245" s="5"/>
      <c r="DL245" s="5"/>
      <c r="DM245" s="5"/>
      <c r="DN245" s="5"/>
      <c r="DO245" s="5"/>
      <c r="DP245" s="5"/>
      <c r="DQ245" s="5"/>
      <c r="DR245" s="5"/>
      <c r="DS245" s="5"/>
      <c r="DT245" s="5"/>
      <c r="DU245" s="5"/>
      <c r="DV245" s="5"/>
      <c r="DW245" s="5"/>
      <c r="DX245" s="5"/>
      <c r="DY245" s="5"/>
      <c r="DZ245" s="5"/>
      <c r="EA245" s="5"/>
      <c r="EB245" s="5"/>
      <c r="EC245" s="5"/>
      <c r="ED245" s="5"/>
      <c r="EE245" s="5"/>
      <c r="EF245" s="5"/>
      <c r="EG245" s="5"/>
      <c r="EH245" s="5"/>
      <c r="EI245" s="5"/>
      <c r="EJ245" s="5"/>
      <c r="EK245" s="5"/>
      <c r="EL245" s="5"/>
      <c r="EM245" s="5"/>
      <c r="EN245" s="5"/>
      <c r="EO245" s="5"/>
      <c r="EP245" s="5"/>
      <c r="EQ245" s="5"/>
      <c r="ER245" s="5"/>
      <c r="ES245" s="5"/>
      <c r="ET245" s="5"/>
      <c r="EU245" s="5"/>
      <c r="EV245" s="5"/>
      <c r="EW245" s="5"/>
      <c r="EX245" s="5"/>
      <c r="EY245" s="5"/>
      <c r="EZ245" s="5"/>
      <c r="FA245" s="5"/>
      <c r="FB245" s="5"/>
      <c r="FC245" s="5"/>
      <c r="FD245" s="5"/>
      <c r="FE245" s="5"/>
      <c r="FF245" s="5"/>
      <c r="FG245" s="5"/>
      <c r="FH245" s="5"/>
      <c r="FI245" s="5"/>
      <c r="FJ245" s="5"/>
      <c r="FK245" s="5"/>
      <c r="FL245" s="5"/>
      <c r="FM245" s="5"/>
      <c r="FN245" s="5"/>
      <c r="FO245" s="5"/>
      <c r="FP245" s="5"/>
      <c r="FQ245" s="5"/>
      <c r="FR245" s="5"/>
      <c r="FS245" s="5"/>
      <c r="FT245" s="5"/>
      <c r="FU245" s="5"/>
      <c r="FV245" s="5"/>
      <c r="FW245" s="5"/>
      <c r="FX245" s="5"/>
      <c r="FY245" s="5"/>
      <c r="FZ245" s="5"/>
      <c r="GA245" s="5"/>
      <c r="GB245" s="5"/>
      <c r="GC245" s="5"/>
      <c r="GD245" s="5"/>
      <c r="GE245" s="5"/>
      <c r="GF245" s="5"/>
      <c r="GG245" s="5"/>
      <c r="GH245" s="5"/>
      <c r="GI245" s="5"/>
      <c r="GJ245" s="5"/>
      <c r="GK245" s="5"/>
      <c r="GL245" s="5"/>
      <c r="GM245" s="5"/>
      <c r="GN245" s="5"/>
      <c r="GO245" s="5"/>
      <c r="GP245" s="5"/>
      <c r="GQ245" s="5"/>
      <c r="GR245" s="5"/>
      <c r="GS245" s="5"/>
      <c r="GT245" s="5"/>
      <c r="GU245" s="5"/>
      <c r="GV245" s="5"/>
      <c r="GW245" s="5"/>
      <c r="GX245" s="5"/>
      <c r="GY245" s="5"/>
      <c r="GZ245" s="5"/>
      <c r="HA245" s="5"/>
      <c r="HB245" s="5"/>
      <c r="HC245" s="5"/>
      <c r="HD245" s="5"/>
      <c r="HE245" s="5"/>
      <c r="HF245" s="5"/>
      <c r="HG245" s="5"/>
      <c r="HH245" s="5"/>
      <c r="HI245" s="5"/>
      <c r="HJ245" s="5"/>
      <c r="HK245" s="5"/>
      <c r="HL245" s="5"/>
      <c r="HM245" s="5"/>
      <c r="HN245" s="5"/>
      <c r="HO245" s="5"/>
      <c r="HP245" s="5"/>
      <c r="HQ245" s="5"/>
      <c r="HR245" s="5"/>
      <c r="HS245" s="5"/>
      <c r="HT245" s="5"/>
      <c r="HU245" s="5"/>
      <c r="HV245" s="5"/>
      <c r="HW245" s="5"/>
      <c r="HX245" s="5"/>
      <c r="HY245" s="5"/>
      <c r="HZ245" s="5"/>
      <c r="IA245" s="5"/>
      <c r="IB245" s="5"/>
      <c r="IC245" s="5"/>
      <c r="ID245" s="5"/>
      <c r="IE245" s="5"/>
      <c r="IF245" s="5"/>
      <c r="IG245" s="5"/>
      <c r="IH245" s="5"/>
      <c r="II245" s="5"/>
      <c r="IJ245" s="5"/>
      <c r="IK245" s="5"/>
      <c r="IL245" s="5"/>
      <c r="IM245" s="5"/>
      <c r="IN245" s="5"/>
      <c r="IO245" s="5"/>
      <c r="IP245" s="5"/>
      <c r="IQ245" s="5"/>
      <c r="IR245" s="5"/>
      <c r="IS245" s="5"/>
      <c r="IT245" s="5"/>
      <c r="IU245" s="5"/>
      <c r="IV245" s="5"/>
      <c r="IW245" s="5"/>
      <c r="IX245" s="5"/>
      <c r="IY245" s="5"/>
      <c r="IZ245" s="5"/>
      <c r="JA245" s="5"/>
      <c r="JB245" s="5"/>
      <c r="JC245" s="5"/>
      <c r="JD245" s="5"/>
    </row>
    <row r="246" spans="1:264" ht="27.6" hidden="1" x14ac:dyDescent="0.3">
      <c r="A246" s="15" t="s">
        <v>25</v>
      </c>
      <c r="B246" s="15" t="s">
        <v>1286</v>
      </c>
      <c r="C246" s="15" t="s">
        <v>463</v>
      </c>
      <c r="D246" s="15" t="s">
        <v>109</v>
      </c>
      <c r="E246" s="18" t="s">
        <v>109</v>
      </c>
      <c r="F246" s="18" t="s">
        <v>109</v>
      </c>
      <c r="G246" s="18" t="s">
        <v>109</v>
      </c>
      <c r="H246" s="18" t="s">
        <v>109</v>
      </c>
      <c r="I246" s="18" t="s">
        <v>109</v>
      </c>
      <c r="J246" s="18" t="s">
        <v>109</v>
      </c>
      <c r="K246" s="18" t="s">
        <v>109</v>
      </c>
      <c r="L246" s="18" t="s">
        <v>109</v>
      </c>
      <c r="M246" s="15" t="s">
        <v>1736</v>
      </c>
      <c r="N246" s="4" t="s">
        <v>1211</v>
      </c>
      <c r="O246" s="15"/>
      <c r="P246" s="4" t="s">
        <v>335</v>
      </c>
      <c r="S246" s="15" t="e" cm="1">
        <f t="array" aca="1" ref="S246" ca="1">COMMONMARKETCOUNT(H246:AV246)</f>
        <v>#NAME?</v>
      </c>
      <c r="T246" s="6" t="e" cm="1">
        <f t="array" aca="1" ref="T246" ca="1">AUTOMATEDCOUNT(H246:AV246)</f>
        <v>#NAME?</v>
      </c>
      <c r="V246" s="18" t="s">
        <v>109</v>
      </c>
      <c r="W246" s="18" t="s">
        <v>109</v>
      </c>
      <c r="X246" s="18" t="s">
        <v>109</v>
      </c>
      <c r="Y246" s="18" t="s">
        <v>109</v>
      </c>
      <c r="Z246" s="18" t="s">
        <v>109</v>
      </c>
      <c r="AA246" s="18" t="s">
        <v>109</v>
      </c>
      <c r="AB246" s="18" t="s">
        <v>109</v>
      </c>
      <c r="AC246" s="18" t="s">
        <v>109</v>
      </c>
      <c r="AD246" s="18" t="s">
        <v>19</v>
      </c>
      <c r="AE246" s="18" t="s">
        <v>19</v>
      </c>
      <c r="AF246" s="18" t="s">
        <v>109</v>
      </c>
      <c r="AG246" s="18" t="s">
        <v>109</v>
      </c>
      <c r="AH246" s="18" t="s">
        <v>109</v>
      </c>
      <c r="AI246" s="18" t="s">
        <v>109</v>
      </c>
      <c r="AJ246" s="18" t="s">
        <v>109</v>
      </c>
      <c r="AK246" s="18" t="s">
        <v>109</v>
      </c>
      <c r="AL246" s="18" t="s">
        <v>109</v>
      </c>
      <c r="AM246" s="18" t="s">
        <v>19</v>
      </c>
      <c r="AN246" s="18" t="s">
        <v>109</v>
      </c>
      <c r="AO246" s="18" t="s">
        <v>109</v>
      </c>
      <c r="AP246" s="18" t="s">
        <v>109</v>
      </c>
      <c r="AQ246" s="18" t="s">
        <v>109</v>
      </c>
      <c r="AR246" s="18" t="s">
        <v>109</v>
      </c>
      <c r="AS246" s="18" t="s">
        <v>109</v>
      </c>
      <c r="AT246" s="18" t="s">
        <v>109</v>
      </c>
      <c r="AU246" s="18" t="s">
        <v>3153</v>
      </c>
      <c r="AV246" s="36" t="s">
        <v>109</v>
      </c>
      <c r="AW246" s="5"/>
      <c r="AX246" s="5"/>
      <c r="AY246" s="5"/>
      <c r="AZ246" s="5"/>
      <c r="BA246" s="5"/>
      <c r="BB246" s="5"/>
      <c r="BC246" s="5"/>
      <c r="BD246" s="5"/>
      <c r="BE246" s="5"/>
      <c r="BF246" s="5"/>
      <c r="BG246" s="5"/>
      <c r="BH246" s="5"/>
      <c r="BI246" s="5"/>
      <c r="BJ246" s="5"/>
      <c r="BK246" s="5"/>
      <c r="BL246" s="5"/>
      <c r="BM246" s="5"/>
      <c r="BN246" s="5"/>
      <c r="BO246" s="5"/>
      <c r="BP246" s="5"/>
      <c r="BQ246" s="5"/>
      <c r="BR246" s="5"/>
      <c r="BS246" s="5"/>
      <c r="BT246" s="5"/>
      <c r="BU246" s="5"/>
      <c r="BV246" s="5"/>
      <c r="BW246" s="5"/>
      <c r="BX246" s="5"/>
      <c r="BY246" s="5"/>
      <c r="BZ246" s="5"/>
      <c r="CA246" s="5"/>
      <c r="CB246" s="5"/>
      <c r="CC246" s="5"/>
      <c r="CD246" s="5"/>
      <c r="CE246" s="5"/>
      <c r="CF246" s="5"/>
      <c r="CG246" s="5"/>
      <c r="CH246" s="5"/>
      <c r="CI246" s="5"/>
      <c r="CJ246" s="5"/>
      <c r="CK246" s="5"/>
      <c r="CL246" s="5"/>
      <c r="CM246" s="5"/>
      <c r="CN246" s="5"/>
      <c r="CO246" s="5"/>
      <c r="CP246" s="5"/>
      <c r="CQ246" s="5"/>
      <c r="CR246" s="5"/>
      <c r="CS246" s="5"/>
      <c r="CT246" s="5"/>
      <c r="CU246" s="5"/>
      <c r="CV246" s="5"/>
      <c r="CW246" s="5"/>
      <c r="CX246" s="5"/>
      <c r="CY246" s="5"/>
      <c r="CZ246" s="5"/>
      <c r="DA246" s="5"/>
      <c r="DB246" s="5"/>
      <c r="DC246" s="5"/>
      <c r="DD246" s="5"/>
      <c r="DE246" s="5"/>
      <c r="DF246" s="5"/>
      <c r="DG246" s="5"/>
      <c r="DH246" s="5"/>
      <c r="DI246" s="5"/>
      <c r="DJ246" s="5"/>
      <c r="DK246" s="5"/>
      <c r="DL246" s="5"/>
      <c r="DM246" s="5"/>
      <c r="DN246" s="5"/>
      <c r="DO246" s="5"/>
      <c r="DP246" s="5"/>
      <c r="DQ246" s="5"/>
      <c r="DR246" s="5"/>
      <c r="DS246" s="5"/>
      <c r="DT246" s="5"/>
      <c r="DU246" s="5"/>
      <c r="DV246" s="5"/>
      <c r="DW246" s="5"/>
      <c r="DX246" s="5"/>
      <c r="DY246" s="5"/>
      <c r="DZ246" s="5"/>
      <c r="EA246" s="5"/>
      <c r="EB246" s="5"/>
      <c r="EC246" s="5"/>
      <c r="ED246" s="5"/>
      <c r="EE246" s="5"/>
      <c r="EF246" s="5"/>
      <c r="EG246" s="5"/>
      <c r="EH246" s="5"/>
      <c r="EI246" s="5"/>
      <c r="EJ246" s="5"/>
      <c r="EK246" s="5"/>
      <c r="EL246" s="5"/>
      <c r="EM246" s="5"/>
      <c r="EN246" s="5"/>
      <c r="EO246" s="5"/>
      <c r="EP246" s="5"/>
      <c r="EQ246" s="5"/>
      <c r="ER246" s="5"/>
      <c r="ES246" s="5"/>
      <c r="ET246" s="5"/>
      <c r="EU246" s="5"/>
      <c r="EV246" s="5"/>
      <c r="EW246" s="5"/>
      <c r="EX246" s="5"/>
      <c r="EY246" s="5"/>
      <c r="EZ246" s="5"/>
      <c r="FA246" s="5"/>
      <c r="FB246" s="5"/>
      <c r="FC246" s="5"/>
      <c r="FD246" s="5"/>
      <c r="FE246" s="5"/>
      <c r="FF246" s="5"/>
      <c r="FG246" s="5"/>
      <c r="FH246" s="5"/>
      <c r="FI246" s="5"/>
      <c r="FJ246" s="5"/>
      <c r="FK246" s="5"/>
      <c r="FL246" s="5"/>
      <c r="FM246" s="5"/>
      <c r="FN246" s="5"/>
      <c r="FO246" s="5"/>
      <c r="FP246" s="5"/>
      <c r="FQ246" s="5"/>
      <c r="FR246" s="5"/>
      <c r="FS246" s="5"/>
      <c r="FT246" s="5"/>
      <c r="FU246" s="5"/>
      <c r="FV246" s="5"/>
      <c r="FW246" s="5"/>
      <c r="FX246" s="5"/>
      <c r="FY246" s="5"/>
      <c r="FZ246" s="5"/>
      <c r="GA246" s="5"/>
      <c r="GB246" s="5"/>
      <c r="GC246" s="5"/>
      <c r="GD246" s="5"/>
      <c r="GE246" s="5"/>
      <c r="GF246" s="5"/>
      <c r="GG246" s="5"/>
      <c r="GH246" s="5"/>
      <c r="GI246" s="5"/>
      <c r="GJ246" s="5"/>
      <c r="GK246" s="5"/>
      <c r="GL246" s="5"/>
      <c r="GM246" s="5"/>
      <c r="GN246" s="5"/>
      <c r="GO246" s="5"/>
      <c r="GP246" s="5"/>
      <c r="GQ246" s="5"/>
      <c r="GR246" s="5"/>
      <c r="GS246" s="5"/>
      <c r="GT246" s="5"/>
      <c r="GU246" s="5"/>
      <c r="GV246" s="5"/>
      <c r="GW246" s="5"/>
      <c r="GX246" s="5"/>
      <c r="GY246" s="5"/>
      <c r="GZ246" s="5"/>
      <c r="HA246" s="5"/>
      <c r="HB246" s="5"/>
      <c r="HC246" s="5"/>
      <c r="HD246" s="5"/>
      <c r="HE246" s="5"/>
      <c r="HF246" s="5"/>
      <c r="HG246" s="5"/>
      <c r="HH246" s="5"/>
      <c r="HI246" s="5"/>
      <c r="HJ246" s="5"/>
      <c r="HK246" s="5"/>
      <c r="HL246" s="5"/>
      <c r="HM246" s="5"/>
      <c r="HN246" s="5"/>
      <c r="HO246" s="5"/>
      <c r="HP246" s="5"/>
      <c r="HQ246" s="5"/>
      <c r="HR246" s="5"/>
      <c r="HS246" s="5"/>
      <c r="HT246" s="5"/>
      <c r="HU246" s="5"/>
      <c r="HV246" s="5"/>
      <c r="HW246" s="5"/>
      <c r="HX246" s="5"/>
      <c r="HY246" s="5"/>
      <c r="HZ246" s="5"/>
      <c r="IA246" s="5"/>
      <c r="IB246" s="5"/>
      <c r="IC246" s="5"/>
      <c r="ID246" s="5"/>
      <c r="IE246" s="5"/>
      <c r="IF246" s="5"/>
      <c r="IG246" s="5"/>
      <c r="IH246" s="5"/>
      <c r="II246" s="5"/>
      <c r="IJ246" s="5"/>
      <c r="IK246" s="5"/>
      <c r="IL246" s="5"/>
      <c r="IM246" s="5"/>
      <c r="IN246" s="5"/>
      <c r="IO246" s="5"/>
      <c r="IP246" s="5"/>
      <c r="IQ246" s="5"/>
      <c r="IR246" s="5"/>
      <c r="IS246" s="5"/>
      <c r="IT246" s="5"/>
      <c r="IU246" s="5"/>
      <c r="IV246" s="5"/>
      <c r="IW246" s="5"/>
      <c r="IX246" s="5"/>
      <c r="IY246" s="5"/>
      <c r="IZ246" s="5"/>
      <c r="JA246" s="5"/>
      <c r="JB246" s="5"/>
      <c r="JC246" s="5"/>
      <c r="JD246" s="5"/>
    </row>
    <row r="247" spans="1:264" ht="27.6" hidden="1" x14ac:dyDescent="0.3">
      <c r="A247" s="15" t="s">
        <v>25</v>
      </c>
      <c r="B247" s="15" t="s">
        <v>1286</v>
      </c>
      <c r="C247" s="15" t="s">
        <v>464</v>
      </c>
      <c r="D247" s="15" t="s">
        <v>109</v>
      </c>
      <c r="E247" s="18" t="s">
        <v>109</v>
      </c>
      <c r="F247" s="18" t="s">
        <v>109</v>
      </c>
      <c r="G247" s="18" t="s">
        <v>109</v>
      </c>
      <c r="H247" s="18" t="s">
        <v>109</v>
      </c>
      <c r="I247" s="18" t="s">
        <v>109</v>
      </c>
      <c r="J247" s="18" t="s">
        <v>109</v>
      </c>
      <c r="K247" s="18" t="s">
        <v>109</v>
      </c>
      <c r="L247" s="18" t="s">
        <v>109</v>
      </c>
      <c r="M247" s="15" t="s">
        <v>457</v>
      </c>
      <c r="N247" s="4" t="s">
        <v>1215</v>
      </c>
      <c r="O247" s="15"/>
      <c r="P247" s="4" t="s">
        <v>335</v>
      </c>
      <c r="S247" s="15" t="e" cm="1">
        <f t="array" aca="1" ref="S247" ca="1">COMMONMARKETCOUNT(H247:AV247)</f>
        <v>#NAME?</v>
      </c>
      <c r="T247" s="6" t="e" cm="1">
        <f t="array" aca="1" ref="T247" ca="1">AUTOMATEDCOUNT(H247:AV247)</f>
        <v>#NAME?</v>
      </c>
      <c r="V247" s="18" t="s">
        <v>109</v>
      </c>
      <c r="W247" s="18" t="s">
        <v>109</v>
      </c>
      <c r="X247" s="18" t="s">
        <v>109</v>
      </c>
      <c r="Y247" s="18" t="s">
        <v>109</v>
      </c>
      <c r="Z247" s="18" t="s">
        <v>109</v>
      </c>
      <c r="AA247" s="18" t="s">
        <v>109</v>
      </c>
      <c r="AB247" s="18" t="s">
        <v>109</v>
      </c>
      <c r="AC247" s="18" t="s">
        <v>109</v>
      </c>
      <c r="AD247" s="18" t="s">
        <v>109</v>
      </c>
      <c r="AE247" s="18" t="s">
        <v>109</v>
      </c>
      <c r="AF247" s="18" t="s">
        <v>109</v>
      </c>
      <c r="AG247" s="18" t="s">
        <v>109</v>
      </c>
      <c r="AH247" s="18" t="s">
        <v>109</v>
      </c>
      <c r="AI247" s="18" t="s">
        <v>109</v>
      </c>
      <c r="AJ247" s="18" t="s">
        <v>109</v>
      </c>
      <c r="AK247" s="18" t="s">
        <v>109</v>
      </c>
      <c r="AL247" s="18" t="s">
        <v>109</v>
      </c>
      <c r="AM247" s="18" t="s">
        <v>19</v>
      </c>
      <c r="AN247" s="18" t="s">
        <v>109</v>
      </c>
      <c r="AO247" s="18" t="s">
        <v>109</v>
      </c>
      <c r="AP247" s="18" t="s">
        <v>109</v>
      </c>
      <c r="AQ247" s="18" t="s">
        <v>109</v>
      </c>
      <c r="AR247" s="18" t="s">
        <v>109</v>
      </c>
      <c r="AS247" s="18" t="s">
        <v>109</v>
      </c>
      <c r="AT247" s="18" t="s">
        <v>109</v>
      </c>
      <c r="AU247" s="18" t="s">
        <v>3153</v>
      </c>
      <c r="AV247" s="36" t="s">
        <v>109</v>
      </c>
    </row>
    <row r="248" spans="1:264" ht="40.5" hidden="1" customHeight="1" x14ac:dyDescent="0.3">
      <c r="A248" s="15" t="s">
        <v>25</v>
      </c>
      <c r="B248" s="15" t="s">
        <v>1287</v>
      </c>
      <c r="C248" s="15" t="s">
        <v>465</v>
      </c>
      <c r="D248" s="15" t="s">
        <v>32</v>
      </c>
      <c r="E248" s="18" t="s">
        <v>109</v>
      </c>
      <c r="F248" s="18" t="s">
        <v>109</v>
      </c>
      <c r="G248" s="18" t="s">
        <v>109</v>
      </c>
      <c r="H248" s="18" t="s">
        <v>109</v>
      </c>
      <c r="I248" s="18" t="s">
        <v>109</v>
      </c>
      <c r="J248" s="18" t="s">
        <v>109</v>
      </c>
      <c r="K248" s="18" t="s">
        <v>109</v>
      </c>
      <c r="L248" s="18" t="s">
        <v>109</v>
      </c>
      <c r="M248" s="15" t="s">
        <v>466</v>
      </c>
      <c r="N248" s="4" t="s">
        <v>1216</v>
      </c>
      <c r="O248" s="15"/>
      <c r="P248" s="4" t="s">
        <v>335</v>
      </c>
      <c r="S248" s="15" t="e" cm="1">
        <f t="array" aca="1" ref="S248" ca="1">COMMONMARKETCOUNT(H248:AV248)</f>
        <v>#NAME?</v>
      </c>
      <c r="T248" s="6" t="e" cm="1">
        <f t="array" aca="1" ref="T248" ca="1">AUTOMATEDCOUNT(H248:AV248)</f>
        <v>#NAME?</v>
      </c>
      <c r="V248" s="18" t="s">
        <v>109</v>
      </c>
      <c r="W248" s="18" t="s">
        <v>109</v>
      </c>
      <c r="X248" s="18" t="s">
        <v>109</v>
      </c>
      <c r="Y248" s="18" t="s">
        <v>109</v>
      </c>
      <c r="Z248" s="18" t="s">
        <v>109</v>
      </c>
      <c r="AA248" s="18" t="s">
        <v>109</v>
      </c>
      <c r="AB248" s="18" t="s">
        <v>109</v>
      </c>
      <c r="AC248" s="18" t="s">
        <v>109</v>
      </c>
      <c r="AD248" s="18" t="s">
        <v>109</v>
      </c>
      <c r="AE248" s="18" t="s">
        <v>109</v>
      </c>
      <c r="AF248" s="18" t="s">
        <v>109</v>
      </c>
      <c r="AG248" s="18" t="s">
        <v>109</v>
      </c>
      <c r="AH248" s="18" t="s">
        <v>109</v>
      </c>
      <c r="AI248" s="18" t="s">
        <v>109</v>
      </c>
      <c r="AJ248" s="18" t="s">
        <v>109</v>
      </c>
      <c r="AK248" s="18" t="s">
        <v>109</v>
      </c>
      <c r="AL248" s="18" t="s">
        <v>109</v>
      </c>
      <c r="AM248" s="18" t="s">
        <v>19</v>
      </c>
      <c r="AN248" s="18" t="s">
        <v>109</v>
      </c>
      <c r="AO248" s="18" t="s">
        <v>109</v>
      </c>
      <c r="AP248" s="18" t="s">
        <v>109</v>
      </c>
      <c r="AQ248" s="18" t="s">
        <v>109</v>
      </c>
      <c r="AR248" s="18" t="s">
        <v>109</v>
      </c>
      <c r="AS248" s="18" t="s">
        <v>109</v>
      </c>
      <c r="AT248" s="18" t="s">
        <v>109</v>
      </c>
      <c r="AU248" s="18" t="s">
        <v>3153</v>
      </c>
      <c r="AV248" s="36" t="s">
        <v>109</v>
      </c>
    </row>
    <row r="249" spans="1:264" ht="40.5" hidden="1" customHeight="1" x14ac:dyDescent="0.3">
      <c r="A249" s="15" t="s">
        <v>25</v>
      </c>
      <c r="B249" s="15" t="s">
        <v>1287</v>
      </c>
      <c r="C249" s="15" t="s">
        <v>467</v>
      </c>
      <c r="D249" s="15" t="s">
        <v>32</v>
      </c>
      <c r="E249" s="18" t="s">
        <v>109</v>
      </c>
      <c r="F249" s="18" t="s">
        <v>109</v>
      </c>
      <c r="G249" s="18" t="s">
        <v>109</v>
      </c>
      <c r="H249" s="18" t="s">
        <v>109</v>
      </c>
      <c r="I249" s="18" t="s">
        <v>109</v>
      </c>
      <c r="J249" s="18" t="s">
        <v>109</v>
      </c>
      <c r="K249" s="18" t="s">
        <v>109</v>
      </c>
      <c r="L249" s="18" t="s">
        <v>109</v>
      </c>
      <c r="M249" s="15" t="s">
        <v>468</v>
      </c>
      <c r="N249" s="4" t="s">
        <v>1217</v>
      </c>
      <c r="O249" s="15"/>
      <c r="P249" s="4" t="s">
        <v>335</v>
      </c>
      <c r="S249" s="15" t="e" cm="1">
        <f t="array" aca="1" ref="S249" ca="1">COMMONMARKETCOUNT(H249:AV249)</f>
        <v>#NAME?</v>
      </c>
      <c r="T249" s="6" t="e" cm="1">
        <f t="array" aca="1" ref="T249" ca="1">AUTOMATEDCOUNT(H249:AV249)</f>
        <v>#NAME?</v>
      </c>
      <c r="V249" s="18" t="s">
        <v>109</v>
      </c>
      <c r="W249" s="18" t="s">
        <v>109</v>
      </c>
      <c r="X249" s="18" t="s">
        <v>109</v>
      </c>
      <c r="Y249" s="18" t="s">
        <v>109</v>
      </c>
      <c r="Z249" s="18" t="s">
        <v>109</v>
      </c>
      <c r="AA249" s="18" t="s">
        <v>109</v>
      </c>
      <c r="AB249" s="18" t="s">
        <v>109</v>
      </c>
      <c r="AC249" s="18" t="s">
        <v>109</v>
      </c>
      <c r="AD249" s="18" t="s">
        <v>109</v>
      </c>
      <c r="AE249" s="18" t="s">
        <v>109</v>
      </c>
      <c r="AF249" s="18" t="s">
        <v>109</v>
      </c>
      <c r="AG249" s="18" t="s">
        <v>109</v>
      </c>
      <c r="AH249" s="18" t="s">
        <v>109</v>
      </c>
      <c r="AI249" s="18" t="s">
        <v>109</v>
      </c>
      <c r="AJ249" s="18" t="s">
        <v>109</v>
      </c>
      <c r="AK249" s="18" t="s">
        <v>109</v>
      </c>
      <c r="AL249" s="18" t="s">
        <v>109</v>
      </c>
      <c r="AM249" s="18" t="s">
        <v>19</v>
      </c>
      <c r="AN249" s="18" t="s">
        <v>109</v>
      </c>
      <c r="AO249" s="18" t="s">
        <v>109</v>
      </c>
      <c r="AP249" s="18" t="s">
        <v>109</v>
      </c>
      <c r="AQ249" s="18" t="s">
        <v>109</v>
      </c>
      <c r="AR249" s="18" t="s">
        <v>109</v>
      </c>
      <c r="AS249" s="18" t="s">
        <v>109</v>
      </c>
      <c r="AT249" s="18" t="s">
        <v>109</v>
      </c>
      <c r="AU249" s="18" t="s">
        <v>3153</v>
      </c>
      <c r="AV249" s="36" t="s">
        <v>109</v>
      </c>
    </row>
    <row r="250" spans="1:264" ht="69" hidden="1" customHeight="1" x14ac:dyDescent="0.3">
      <c r="A250" s="15" t="s">
        <v>25</v>
      </c>
      <c r="B250" s="15" t="s">
        <v>1287</v>
      </c>
      <c r="C250" s="15" t="s">
        <v>469</v>
      </c>
      <c r="D250" s="15" t="s">
        <v>32</v>
      </c>
      <c r="E250" s="18" t="s">
        <v>109</v>
      </c>
      <c r="F250" s="18" t="s">
        <v>109</v>
      </c>
      <c r="G250" s="18" t="s">
        <v>109</v>
      </c>
      <c r="H250" s="18" t="s">
        <v>109</v>
      </c>
      <c r="I250" s="18" t="s">
        <v>109</v>
      </c>
      <c r="J250" s="18" t="s">
        <v>109</v>
      </c>
      <c r="K250" s="18" t="s">
        <v>109</v>
      </c>
      <c r="L250" s="18" t="s">
        <v>109</v>
      </c>
      <c r="M250" s="15" t="s">
        <v>470</v>
      </c>
      <c r="N250" s="4" t="s">
        <v>1218</v>
      </c>
      <c r="O250" s="15"/>
      <c r="P250" s="4" t="s">
        <v>335</v>
      </c>
      <c r="S250" s="15" t="e" cm="1">
        <f t="array" aca="1" ref="S250" ca="1">COMMONMARKETCOUNT(H250:AV250)</f>
        <v>#NAME?</v>
      </c>
      <c r="T250" s="6" t="e" cm="1">
        <f t="array" aca="1" ref="T250" ca="1">AUTOMATEDCOUNT(H250:AV250)</f>
        <v>#NAME?</v>
      </c>
      <c r="V250" s="18" t="s">
        <v>109</v>
      </c>
      <c r="W250" s="18" t="s">
        <v>109</v>
      </c>
      <c r="X250" s="18" t="s">
        <v>109</v>
      </c>
      <c r="Y250" s="18" t="s">
        <v>109</v>
      </c>
      <c r="Z250" s="18" t="s">
        <v>109</v>
      </c>
      <c r="AA250" s="18" t="s">
        <v>109</v>
      </c>
      <c r="AB250" s="18" t="s">
        <v>109</v>
      </c>
      <c r="AC250" s="18" t="s">
        <v>109</v>
      </c>
      <c r="AD250" s="18" t="s">
        <v>109</v>
      </c>
      <c r="AE250" s="18" t="s">
        <v>109</v>
      </c>
      <c r="AF250" s="18" t="s">
        <v>109</v>
      </c>
      <c r="AG250" s="18" t="s">
        <v>109</v>
      </c>
      <c r="AH250" s="18" t="s">
        <v>109</v>
      </c>
      <c r="AI250" s="18" t="s">
        <v>109</v>
      </c>
      <c r="AJ250" s="18" t="s">
        <v>109</v>
      </c>
      <c r="AK250" s="18" t="s">
        <v>109</v>
      </c>
      <c r="AL250" s="18" t="s">
        <v>109</v>
      </c>
      <c r="AM250" s="18" t="s">
        <v>19</v>
      </c>
      <c r="AN250" s="18" t="s">
        <v>109</v>
      </c>
      <c r="AO250" s="18" t="s">
        <v>109</v>
      </c>
      <c r="AP250" s="18" t="s">
        <v>109</v>
      </c>
      <c r="AQ250" s="18" t="s">
        <v>109</v>
      </c>
      <c r="AR250" s="18" t="s">
        <v>109</v>
      </c>
      <c r="AS250" s="18" t="s">
        <v>109</v>
      </c>
      <c r="AT250" s="18" t="s">
        <v>109</v>
      </c>
      <c r="AU250" s="18" t="s">
        <v>3153</v>
      </c>
      <c r="AV250" s="36" t="s">
        <v>109</v>
      </c>
    </row>
    <row r="251" spans="1:264" ht="65.25" hidden="1" customHeight="1" x14ac:dyDescent="0.3">
      <c r="A251" s="15" t="s">
        <v>25</v>
      </c>
      <c r="B251" s="15" t="s">
        <v>1287</v>
      </c>
      <c r="C251" s="15" t="s">
        <v>471</v>
      </c>
      <c r="D251" s="15" t="s">
        <v>32</v>
      </c>
      <c r="E251" s="18" t="s">
        <v>109</v>
      </c>
      <c r="F251" s="18" t="s">
        <v>109</v>
      </c>
      <c r="G251" s="18" t="s">
        <v>109</v>
      </c>
      <c r="H251" s="18" t="s">
        <v>109</v>
      </c>
      <c r="I251" s="18" t="s">
        <v>109</v>
      </c>
      <c r="J251" s="18" t="s">
        <v>109</v>
      </c>
      <c r="K251" s="18" t="s">
        <v>109</v>
      </c>
      <c r="L251" s="18" t="s">
        <v>109</v>
      </c>
      <c r="M251" s="15" t="s">
        <v>472</v>
      </c>
      <c r="N251" s="4" t="s">
        <v>1219</v>
      </c>
      <c r="O251" s="15"/>
      <c r="P251" s="4" t="s">
        <v>335</v>
      </c>
      <c r="S251" s="15" t="e" cm="1">
        <f t="array" aca="1" ref="S251" ca="1">COMMONMARKETCOUNT(H251:AV251)</f>
        <v>#NAME?</v>
      </c>
      <c r="T251" s="6" t="e" cm="1">
        <f t="array" aca="1" ref="T251" ca="1">AUTOMATEDCOUNT(H251:AV251)</f>
        <v>#NAME?</v>
      </c>
      <c r="V251" s="18" t="s">
        <v>109</v>
      </c>
      <c r="W251" s="18" t="s">
        <v>109</v>
      </c>
      <c r="X251" s="18" t="s">
        <v>109</v>
      </c>
      <c r="Y251" s="18" t="s">
        <v>109</v>
      </c>
      <c r="Z251" s="18" t="s">
        <v>109</v>
      </c>
      <c r="AA251" s="18" t="s">
        <v>109</v>
      </c>
      <c r="AB251" s="18" t="s">
        <v>109</v>
      </c>
      <c r="AC251" s="18" t="s">
        <v>109</v>
      </c>
      <c r="AD251" s="18" t="s">
        <v>109</v>
      </c>
      <c r="AE251" s="18" t="s">
        <v>109</v>
      </c>
      <c r="AF251" s="18" t="s">
        <v>109</v>
      </c>
      <c r="AG251" s="18" t="s">
        <v>109</v>
      </c>
      <c r="AH251" s="18" t="s">
        <v>109</v>
      </c>
      <c r="AI251" s="18" t="s">
        <v>109</v>
      </c>
      <c r="AJ251" s="18" t="s">
        <v>109</v>
      </c>
      <c r="AK251" s="18" t="s">
        <v>109</v>
      </c>
      <c r="AL251" s="18" t="s">
        <v>109</v>
      </c>
      <c r="AM251" s="18" t="s">
        <v>19</v>
      </c>
      <c r="AN251" s="18" t="s">
        <v>109</v>
      </c>
      <c r="AO251" s="18" t="s">
        <v>109</v>
      </c>
      <c r="AP251" s="18" t="s">
        <v>109</v>
      </c>
      <c r="AQ251" s="18" t="s">
        <v>109</v>
      </c>
      <c r="AR251" s="18" t="s">
        <v>109</v>
      </c>
      <c r="AS251" s="18" t="s">
        <v>109</v>
      </c>
      <c r="AT251" s="18" t="s">
        <v>109</v>
      </c>
      <c r="AU251" s="18" t="s">
        <v>3153</v>
      </c>
      <c r="AV251" s="36" t="s">
        <v>109</v>
      </c>
    </row>
    <row r="252" spans="1:264" ht="71.25" hidden="1" customHeight="1" x14ac:dyDescent="0.3">
      <c r="A252" s="15" t="s">
        <v>25</v>
      </c>
      <c r="B252" s="15" t="s">
        <v>1287</v>
      </c>
      <c r="C252" s="15" t="s">
        <v>473</v>
      </c>
      <c r="D252" s="15" t="s">
        <v>32</v>
      </c>
      <c r="E252" s="18" t="s">
        <v>109</v>
      </c>
      <c r="F252" s="18" t="s">
        <v>109</v>
      </c>
      <c r="G252" s="18" t="s">
        <v>109</v>
      </c>
      <c r="H252" s="18" t="s">
        <v>109</v>
      </c>
      <c r="I252" s="18" t="s">
        <v>109</v>
      </c>
      <c r="J252" s="18" t="s">
        <v>109</v>
      </c>
      <c r="K252" s="18" t="s">
        <v>109</v>
      </c>
      <c r="L252" s="18" t="s">
        <v>109</v>
      </c>
      <c r="M252" s="15" t="s">
        <v>474</v>
      </c>
      <c r="N252" s="4" t="s">
        <v>1220</v>
      </c>
      <c r="O252" s="15"/>
      <c r="P252" s="4" t="s">
        <v>335</v>
      </c>
      <c r="S252" s="15" t="e" cm="1">
        <f t="array" aca="1" ref="S252" ca="1">COMMONMARKETCOUNT(H252:AV252)</f>
        <v>#NAME?</v>
      </c>
      <c r="T252" s="6" t="e" cm="1">
        <f t="array" aca="1" ref="T252" ca="1">AUTOMATEDCOUNT(H252:AV252)</f>
        <v>#NAME?</v>
      </c>
      <c r="V252" s="18" t="s">
        <v>109</v>
      </c>
      <c r="W252" s="18" t="s">
        <v>109</v>
      </c>
      <c r="X252" s="18" t="s">
        <v>109</v>
      </c>
      <c r="Y252" s="18" t="s">
        <v>109</v>
      </c>
      <c r="Z252" s="18" t="s">
        <v>109</v>
      </c>
      <c r="AA252" s="18" t="s">
        <v>109</v>
      </c>
      <c r="AB252" s="18" t="s">
        <v>109</v>
      </c>
      <c r="AC252" s="18" t="s">
        <v>109</v>
      </c>
      <c r="AD252" s="18" t="s">
        <v>109</v>
      </c>
      <c r="AE252" s="18" t="s">
        <v>109</v>
      </c>
      <c r="AF252" s="18" t="s">
        <v>109</v>
      </c>
      <c r="AG252" s="18" t="s">
        <v>109</v>
      </c>
      <c r="AH252" s="18" t="s">
        <v>109</v>
      </c>
      <c r="AI252" s="18" t="s">
        <v>109</v>
      </c>
      <c r="AJ252" s="18" t="s">
        <v>109</v>
      </c>
      <c r="AK252" s="18" t="s">
        <v>109</v>
      </c>
      <c r="AL252" s="18" t="s">
        <v>109</v>
      </c>
      <c r="AM252" s="18" t="s">
        <v>19</v>
      </c>
      <c r="AN252" s="18" t="s">
        <v>109</v>
      </c>
      <c r="AO252" s="18" t="s">
        <v>109</v>
      </c>
      <c r="AP252" s="18" t="s">
        <v>109</v>
      </c>
      <c r="AQ252" s="18" t="s">
        <v>109</v>
      </c>
      <c r="AR252" s="18" t="s">
        <v>109</v>
      </c>
      <c r="AS252" s="18" t="s">
        <v>109</v>
      </c>
      <c r="AT252" s="18" t="s">
        <v>109</v>
      </c>
      <c r="AU252" s="18" t="s">
        <v>3153</v>
      </c>
      <c r="AV252" s="36" t="s">
        <v>109</v>
      </c>
    </row>
    <row r="253" spans="1:264" ht="59.25" hidden="1" customHeight="1" x14ac:dyDescent="0.3">
      <c r="A253" s="15" t="s">
        <v>25</v>
      </c>
      <c r="B253" s="15" t="s">
        <v>1287</v>
      </c>
      <c r="C253" s="15" t="s">
        <v>475</v>
      </c>
      <c r="D253" s="15" t="s">
        <v>32</v>
      </c>
      <c r="E253" s="18" t="s">
        <v>109</v>
      </c>
      <c r="F253" s="18" t="s">
        <v>109</v>
      </c>
      <c r="G253" s="18" t="s">
        <v>109</v>
      </c>
      <c r="H253" s="18" t="s">
        <v>109</v>
      </c>
      <c r="I253" s="18" t="s">
        <v>109</v>
      </c>
      <c r="J253" s="18" t="s">
        <v>109</v>
      </c>
      <c r="K253" s="18" t="s">
        <v>109</v>
      </c>
      <c r="L253" s="18" t="s">
        <v>109</v>
      </c>
      <c r="M253" s="15" t="s">
        <v>1738</v>
      </c>
      <c r="N253" s="4" t="s">
        <v>1221</v>
      </c>
      <c r="O253" s="15"/>
      <c r="P253" s="4" t="s">
        <v>335</v>
      </c>
      <c r="S253" s="15" t="e" cm="1">
        <f t="array" aca="1" ref="S253" ca="1">COMMONMARKETCOUNT(H253:AV253)</f>
        <v>#NAME?</v>
      </c>
      <c r="T253" s="6" t="e" cm="1">
        <f t="array" aca="1" ref="T253" ca="1">AUTOMATEDCOUNT(H253:AV253)</f>
        <v>#NAME?</v>
      </c>
      <c r="V253" s="18" t="s">
        <v>109</v>
      </c>
      <c r="W253" s="18" t="s">
        <v>109</v>
      </c>
      <c r="X253" s="18" t="s">
        <v>109</v>
      </c>
      <c r="Y253" s="18" t="s">
        <v>109</v>
      </c>
      <c r="Z253" s="18" t="s">
        <v>109</v>
      </c>
      <c r="AA253" s="18" t="s">
        <v>109</v>
      </c>
      <c r="AB253" s="18" t="s">
        <v>109</v>
      </c>
      <c r="AC253" s="18" t="s">
        <v>109</v>
      </c>
      <c r="AD253" s="18" t="s">
        <v>109</v>
      </c>
      <c r="AE253" s="18" t="s">
        <v>109</v>
      </c>
      <c r="AF253" s="18" t="s">
        <v>109</v>
      </c>
      <c r="AG253" s="18" t="s">
        <v>109</v>
      </c>
      <c r="AH253" s="18" t="s">
        <v>109</v>
      </c>
      <c r="AI253" s="18" t="s">
        <v>109</v>
      </c>
      <c r="AJ253" s="18" t="s">
        <v>109</v>
      </c>
      <c r="AK253" s="18" t="s">
        <v>109</v>
      </c>
      <c r="AL253" s="18" t="s">
        <v>109</v>
      </c>
      <c r="AM253" s="18" t="s">
        <v>19</v>
      </c>
      <c r="AN253" s="18" t="s">
        <v>109</v>
      </c>
      <c r="AO253" s="18" t="s">
        <v>109</v>
      </c>
      <c r="AP253" s="18" t="s">
        <v>109</v>
      </c>
      <c r="AQ253" s="18" t="s">
        <v>109</v>
      </c>
      <c r="AR253" s="18" t="s">
        <v>109</v>
      </c>
      <c r="AS253" s="18" t="s">
        <v>109</v>
      </c>
      <c r="AT253" s="18" t="s">
        <v>109</v>
      </c>
      <c r="AU253" s="18" t="s">
        <v>3153</v>
      </c>
      <c r="AV253" s="36" t="s">
        <v>109</v>
      </c>
    </row>
    <row r="254" spans="1:264" ht="40.5" hidden="1" customHeight="1" x14ac:dyDescent="0.3">
      <c r="A254" s="15" t="s">
        <v>25</v>
      </c>
      <c r="B254" s="15" t="s">
        <v>1288</v>
      </c>
      <c r="C254" s="15" t="s">
        <v>476</v>
      </c>
      <c r="D254" s="15" t="s">
        <v>32</v>
      </c>
      <c r="E254" s="18" t="s">
        <v>109</v>
      </c>
      <c r="F254" s="18" t="s">
        <v>109</v>
      </c>
      <c r="G254" s="18" t="s">
        <v>109</v>
      </c>
      <c r="H254" s="18" t="s">
        <v>109</v>
      </c>
      <c r="I254" s="18" t="s">
        <v>109</v>
      </c>
      <c r="J254" s="18" t="s">
        <v>109</v>
      </c>
      <c r="K254" s="18" t="s">
        <v>109</v>
      </c>
      <c r="L254" s="18" t="s">
        <v>109</v>
      </c>
      <c r="M254" s="15" t="s">
        <v>477</v>
      </c>
      <c r="N254" s="4" t="s">
        <v>1222</v>
      </c>
      <c r="O254" s="15"/>
      <c r="P254" s="4" t="s">
        <v>335</v>
      </c>
      <c r="S254" s="15" t="e" cm="1">
        <f t="array" aca="1" ref="S254" ca="1">COMMONMARKETCOUNT(H254:AV254)</f>
        <v>#NAME?</v>
      </c>
      <c r="T254" s="6" t="e" cm="1">
        <f t="array" aca="1" ref="T254" ca="1">AUTOMATEDCOUNT(H254:AV254)</f>
        <v>#NAME?</v>
      </c>
      <c r="V254" s="18" t="s">
        <v>109</v>
      </c>
      <c r="W254" s="18" t="s">
        <v>109</v>
      </c>
      <c r="X254" s="18" t="s">
        <v>109</v>
      </c>
      <c r="Y254" s="18" t="s">
        <v>109</v>
      </c>
      <c r="Z254" s="18" t="s">
        <v>109</v>
      </c>
      <c r="AA254" s="18" t="s">
        <v>109</v>
      </c>
      <c r="AB254" s="18" t="s">
        <v>109</v>
      </c>
      <c r="AC254" s="18" t="s">
        <v>109</v>
      </c>
      <c r="AD254" s="18" t="s">
        <v>109</v>
      </c>
      <c r="AE254" s="18" t="s">
        <v>109</v>
      </c>
      <c r="AF254" s="18" t="s">
        <v>109</v>
      </c>
      <c r="AG254" s="18" t="s">
        <v>109</v>
      </c>
      <c r="AH254" s="18" t="s">
        <v>109</v>
      </c>
      <c r="AI254" s="18" t="s">
        <v>109</v>
      </c>
      <c r="AJ254" s="18" t="s">
        <v>109</v>
      </c>
      <c r="AK254" s="18" t="s">
        <v>109</v>
      </c>
      <c r="AL254" s="18" t="s">
        <v>109</v>
      </c>
      <c r="AM254" s="18" t="s">
        <v>19</v>
      </c>
      <c r="AN254" s="18" t="s">
        <v>109</v>
      </c>
      <c r="AO254" s="18" t="s">
        <v>109</v>
      </c>
      <c r="AP254" s="18" t="s">
        <v>109</v>
      </c>
      <c r="AQ254" s="18" t="s">
        <v>109</v>
      </c>
      <c r="AR254" s="18" t="s">
        <v>109</v>
      </c>
      <c r="AS254" s="18" t="s">
        <v>109</v>
      </c>
      <c r="AT254" s="18" t="s">
        <v>109</v>
      </c>
      <c r="AU254" s="18" t="s">
        <v>3153</v>
      </c>
      <c r="AV254" s="36" t="s">
        <v>109</v>
      </c>
    </row>
    <row r="255" spans="1:264" ht="40.5" hidden="1" customHeight="1" x14ac:dyDescent="0.3">
      <c r="A255" s="15" t="s">
        <v>25</v>
      </c>
      <c r="B255" s="15" t="s">
        <v>1288</v>
      </c>
      <c r="C255" s="15" t="s">
        <v>478</v>
      </c>
      <c r="D255" s="15" t="s">
        <v>32</v>
      </c>
      <c r="E255" s="18" t="s">
        <v>109</v>
      </c>
      <c r="F255" s="18" t="s">
        <v>109</v>
      </c>
      <c r="G255" s="18" t="s">
        <v>109</v>
      </c>
      <c r="H255" s="18" t="s">
        <v>109</v>
      </c>
      <c r="I255" s="18" t="s">
        <v>109</v>
      </c>
      <c r="J255" s="18" t="s">
        <v>109</v>
      </c>
      <c r="K255" s="18" t="s">
        <v>109</v>
      </c>
      <c r="L255" s="18" t="s">
        <v>109</v>
      </c>
      <c r="M255" s="15" t="s">
        <v>479</v>
      </c>
      <c r="N255" s="4" t="s">
        <v>1223</v>
      </c>
      <c r="O255" s="15"/>
      <c r="P255" s="4" t="s">
        <v>335</v>
      </c>
      <c r="S255" s="15" t="e" cm="1">
        <f t="array" aca="1" ref="S255" ca="1">COMMONMARKETCOUNT(H255:AV255)</f>
        <v>#NAME?</v>
      </c>
      <c r="T255" s="6" t="e" cm="1">
        <f t="array" aca="1" ref="T255" ca="1">AUTOMATEDCOUNT(H255:AV255)</f>
        <v>#NAME?</v>
      </c>
      <c r="V255" s="18" t="s">
        <v>109</v>
      </c>
      <c r="W255" s="18" t="s">
        <v>109</v>
      </c>
      <c r="X255" s="18" t="s">
        <v>109</v>
      </c>
      <c r="Y255" s="18" t="s">
        <v>109</v>
      </c>
      <c r="Z255" s="18" t="s">
        <v>109</v>
      </c>
      <c r="AA255" s="18" t="s">
        <v>109</v>
      </c>
      <c r="AB255" s="18" t="s">
        <v>109</v>
      </c>
      <c r="AC255" s="18" t="s">
        <v>109</v>
      </c>
      <c r="AD255" s="18" t="s">
        <v>109</v>
      </c>
      <c r="AE255" s="18" t="s">
        <v>109</v>
      </c>
      <c r="AF255" s="18" t="s">
        <v>109</v>
      </c>
      <c r="AG255" s="18" t="s">
        <v>109</v>
      </c>
      <c r="AH255" s="18" t="s">
        <v>109</v>
      </c>
      <c r="AI255" s="18" t="s">
        <v>109</v>
      </c>
      <c r="AJ255" s="18" t="s">
        <v>109</v>
      </c>
      <c r="AK255" s="18" t="s">
        <v>109</v>
      </c>
      <c r="AL255" s="18" t="s">
        <v>109</v>
      </c>
      <c r="AM255" s="18" t="s">
        <v>19</v>
      </c>
      <c r="AN255" s="18" t="s">
        <v>109</v>
      </c>
      <c r="AO255" s="18" t="s">
        <v>109</v>
      </c>
      <c r="AP255" s="18" t="s">
        <v>109</v>
      </c>
      <c r="AQ255" s="18" t="s">
        <v>109</v>
      </c>
      <c r="AR255" s="18" t="s">
        <v>109</v>
      </c>
      <c r="AS255" s="18" t="s">
        <v>109</v>
      </c>
      <c r="AT255" s="18" t="s">
        <v>109</v>
      </c>
      <c r="AU255" s="18" t="s">
        <v>3153</v>
      </c>
      <c r="AV255" s="36" t="s">
        <v>109</v>
      </c>
    </row>
    <row r="256" spans="1:264" ht="40.5" customHeight="1" x14ac:dyDescent="0.3">
      <c r="A256" s="15" t="s">
        <v>25</v>
      </c>
      <c r="B256" s="15" t="s">
        <v>24</v>
      </c>
      <c r="C256" s="15" t="s">
        <v>480</v>
      </c>
      <c r="D256" s="15" t="s">
        <v>19</v>
      </c>
      <c r="E256" s="70" t="s">
        <v>19</v>
      </c>
      <c r="F256" s="70" t="s">
        <v>19</v>
      </c>
      <c r="G256" s="70" t="s">
        <v>19</v>
      </c>
      <c r="H256" s="70" t="s">
        <v>19</v>
      </c>
      <c r="I256" s="72" t="s">
        <v>19</v>
      </c>
      <c r="J256" s="72" t="s">
        <v>19</v>
      </c>
      <c r="K256" s="72" t="s">
        <v>19</v>
      </c>
      <c r="L256" s="72" t="s">
        <v>19</v>
      </c>
      <c r="M256" s="15" t="s">
        <v>481</v>
      </c>
      <c r="N256" s="4" t="s">
        <v>1540</v>
      </c>
      <c r="O256" s="15"/>
      <c r="P256" s="4" t="s">
        <v>1607</v>
      </c>
      <c r="S256" s="15" t="e" cm="1">
        <f t="array" aca="1" ref="S256" ca="1">COMMONMARKETCOUNT(H256:AV256)</f>
        <v>#NAME?</v>
      </c>
      <c r="T256" s="6" t="e" cm="1">
        <f t="array" aca="1" ref="T256" ca="1">AUTOMATEDCOUNT(H256:AV256)</f>
        <v>#NAME?</v>
      </c>
      <c r="V256" s="70" t="s">
        <v>19</v>
      </c>
      <c r="W256" s="70" t="s">
        <v>19</v>
      </c>
      <c r="X256" s="70" t="s">
        <v>19</v>
      </c>
      <c r="Y256" s="70" t="s">
        <v>19</v>
      </c>
      <c r="Z256" s="70" t="s">
        <v>19</v>
      </c>
      <c r="AA256" s="72" t="s">
        <v>19</v>
      </c>
      <c r="AB256" s="72" t="s">
        <v>19</v>
      </c>
      <c r="AC256" s="72" t="s">
        <v>19</v>
      </c>
      <c r="AD256" s="18" t="s">
        <v>109</v>
      </c>
      <c r="AE256" s="18" t="s">
        <v>109</v>
      </c>
      <c r="AF256" s="18" t="s">
        <v>19</v>
      </c>
      <c r="AG256" s="29" t="s">
        <v>19</v>
      </c>
      <c r="AH256" s="29" t="s">
        <v>19</v>
      </c>
      <c r="AI256" s="18" t="s">
        <v>19</v>
      </c>
      <c r="AJ256" s="18" t="s">
        <v>19</v>
      </c>
      <c r="AK256" s="29" t="s">
        <v>19</v>
      </c>
      <c r="AL256" s="29" t="s">
        <v>19</v>
      </c>
      <c r="AM256" s="18" t="s">
        <v>19</v>
      </c>
      <c r="AN256" s="18" t="s">
        <v>19</v>
      </c>
      <c r="AO256" s="18" t="s">
        <v>19</v>
      </c>
      <c r="AP256" s="18" t="s">
        <v>19</v>
      </c>
      <c r="AQ256" s="18" t="s">
        <v>19</v>
      </c>
      <c r="AR256" s="18" t="s">
        <v>19</v>
      </c>
      <c r="AS256" s="18" t="s">
        <v>19</v>
      </c>
      <c r="AT256" s="18" t="s">
        <v>19</v>
      </c>
      <c r="AU256" s="29" t="s">
        <v>3153</v>
      </c>
      <c r="AV256" s="36" t="s">
        <v>19</v>
      </c>
    </row>
    <row r="257" spans="1:264" ht="40.5" hidden="1" customHeight="1" x14ac:dyDescent="0.3">
      <c r="A257" s="15" t="s">
        <v>25</v>
      </c>
      <c r="B257" s="15" t="s">
        <v>1289</v>
      </c>
      <c r="C257" s="15" t="s">
        <v>482</v>
      </c>
      <c r="D257" s="15" t="s">
        <v>32</v>
      </c>
      <c r="E257" s="18" t="s">
        <v>109</v>
      </c>
      <c r="F257" s="18" t="s">
        <v>109</v>
      </c>
      <c r="G257" s="18" t="s">
        <v>109</v>
      </c>
      <c r="H257" s="18" t="s">
        <v>109</v>
      </c>
      <c r="I257" s="18" t="s">
        <v>109</v>
      </c>
      <c r="J257" s="18" t="s">
        <v>109</v>
      </c>
      <c r="K257" s="18" t="s">
        <v>109</v>
      </c>
      <c r="L257" s="18" t="s">
        <v>109</v>
      </c>
      <c r="M257" s="15" t="s">
        <v>483</v>
      </c>
      <c r="N257" s="4" t="s">
        <v>1224</v>
      </c>
      <c r="O257" s="15"/>
      <c r="P257" s="4" t="s">
        <v>335</v>
      </c>
      <c r="S257" s="15" t="e" cm="1">
        <f t="array" aca="1" ref="S257" ca="1">COMMONMARKETCOUNT(H257:AV257)</f>
        <v>#NAME?</v>
      </c>
      <c r="T257" s="6" t="e" cm="1">
        <f t="array" aca="1" ref="T257" ca="1">AUTOMATEDCOUNT(H257:AV257)</f>
        <v>#NAME?</v>
      </c>
      <c r="V257" s="18" t="s">
        <v>109</v>
      </c>
      <c r="W257" s="18" t="s">
        <v>109</v>
      </c>
      <c r="X257" s="18" t="s">
        <v>109</v>
      </c>
      <c r="Y257" s="18" t="s">
        <v>109</v>
      </c>
      <c r="Z257" s="18" t="s">
        <v>109</v>
      </c>
      <c r="AA257" s="18" t="s">
        <v>109</v>
      </c>
      <c r="AB257" s="18" t="s">
        <v>109</v>
      </c>
      <c r="AC257" s="18" t="s">
        <v>109</v>
      </c>
      <c r="AD257" s="18" t="s">
        <v>19</v>
      </c>
      <c r="AE257" s="18" t="s">
        <v>19</v>
      </c>
      <c r="AF257" s="18" t="s">
        <v>109</v>
      </c>
      <c r="AG257" s="18" t="s">
        <v>109</v>
      </c>
      <c r="AH257" s="18" t="s">
        <v>109</v>
      </c>
      <c r="AI257" s="18" t="s">
        <v>109</v>
      </c>
      <c r="AJ257" s="18" t="s">
        <v>109</v>
      </c>
      <c r="AK257" s="18" t="s">
        <v>109</v>
      </c>
      <c r="AL257" s="18" t="s">
        <v>109</v>
      </c>
      <c r="AM257" s="18" t="s">
        <v>19</v>
      </c>
      <c r="AN257" s="18" t="s">
        <v>109</v>
      </c>
      <c r="AO257" s="18" t="s">
        <v>109</v>
      </c>
      <c r="AP257" s="18" t="s">
        <v>109</v>
      </c>
      <c r="AQ257" s="18" t="s">
        <v>109</v>
      </c>
      <c r="AR257" s="18" t="s">
        <v>109</v>
      </c>
      <c r="AS257" s="18" t="s">
        <v>109</v>
      </c>
      <c r="AT257" s="18" t="s">
        <v>109</v>
      </c>
      <c r="AU257" s="18" t="s">
        <v>3153</v>
      </c>
      <c r="AV257" s="36" t="s">
        <v>109</v>
      </c>
    </row>
    <row r="258" spans="1:264" ht="40.5" hidden="1" customHeight="1" x14ac:dyDescent="0.3">
      <c r="A258" s="15" t="s">
        <v>25</v>
      </c>
      <c r="B258" s="15" t="s">
        <v>1289</v>
      </c>
      <c r="C258" s="15" t="s">
        <v>484</v>
      </c>
      <c r="D258" s="15" t="s">
        <v>32</v>
      </c>
      <c r="E258" s="18" t="s">
        <v>109</v>
      </c>
      <c r="F258" s="18" t="s">
        <v>109</v>
      </c>
      <c r="G258" s="18" t="s">
        <v>109</v>
      </c>
      <c r="H258" s="18" t="s">
        <v>109</v>
      </c>
      <c r="I258" s="18" t="s">
        <v>109</v>
      </c>
      <c r="J258" s="18" t="s">
        <v>109</v>
      </c>
      <c r="K258" s="18" t="s">
        <v>109</v>
      </c>
      <c r="L258" s="18" t="s">
        <v>109</v>
      </c>
      <c r="M258" s="15" t="s">
        <v>485</v>
      </c>
      <c r="N258" s="4" t="s">
        <v>1225</v>
      </c>
      <c r="O258" s="15"/>
      <c r="P258" s="4" t="s">
        <v>335</v>
      </c>
      <c r="S258" s="15" t="e" cm="1">
        <f t="array" aca="1" ref="S258" ca="1">COMMONMARKETCOUNT(H258:AV258)</f>
        <v>#NAME?</v>
      </c>
      <c r="T258" s="6" t="e" cm="1">
        <f t="array" aca="1" ref="T258" ca="1">AUTOMATEDCOUNT(H258:AV258)</f>
        <v>#NAME?</v>
      </c>
      <c r="V258" s="18" t="s">
        <v>109</v>
      </c>
      <c r="W258" s="18" t="s">
        <v>109</v>
      </c>
      <c r="X258" s="18" t="s">
        <v>109</v>
      </c>
      <c r="Y258" s="18" t="s">
        <v>109</v>
      </c>
      <c r="Z258" s="18" t="s">
        <v>109</v>
      </c>
      <c r="AA258" s="18" t="s">
        <v>109</v>
      </c>
      <c r="AB258" s="18" t="s">
        <v>109</v>
      </c>
      <c r="AC258" s="18" t="s">
        <v>109</v>
      </c>
      <c r="AD258" s="18" t="s">
        <v>109</v>
      </c>
      <c r="AE258" s="18" t="s">
        <v>109</v>
      </c>
      <c r="AF258" s="18" t="s">
        <v>109</v>
      </c>
      <c r="AG258" s="18" t="s">
        <v>109</v>
      </c>
      <c r="AH258" s="18" t="s">
        <v>109</v>
      </c>
      <c r="AI258" s="18" t="s">
        <v>109</v>
      </c>
      <c r="AJ258" s="18" t="s">
        <v>109</v>
      </c>
      <c r="AK258" s="18" t="s">
        <v>109</v>
      </c>
      <c r="AL258" s="18" t="s">
        <v>109</v>
      </c>
      <c r="AM258" s="18" t="s">
        <v>19</v>
      </c>
      <c r="AN258" s="18" t="s">
        <v>109</v>
      </c>
      <c r="AO258" s="18" t="s">
        <v>109</v>
      </c>
      <c r="AP258" s="18" t="s">
        <v>109</v>
      </c>
      <c r="AQ258" s="18" t="s">
        <v>109</v>
      </c>
      <c r="AR258" s="18" t="s">
        <v>109</v>
      </c>
      <c r="AS258" s="18" t="s">
        <v>109</v>
      </c>
      <c r="AT258" s="18" t="s">
        <v>109</v>
      </c>
      <c r="AU258" s="18" t="s">
        <v>3153</v>
      </c>
      <c r="AV258" s="36" t="s">
        <v>109</v>
      </c>
    </row>
    <row r="259" spans="1:264" ht="40.5" hidden="1" customHeight="1" x14ac:dyDescent="0.3">
      <c r="A259" s="15" t="s">
        <v>25</v>
      </c>
      <c r="B259" s="15" t="s">
        <v>1290</v>
      </c>
      <c r="C259" s="15" t="s">
        <v>486</v>
      </c>
      <c r="D259" s="15" t="s">
        <v>32</v>
      </c>
      <c r="E259" s="18" t="s">
        <v>109</v>
      </c>
      <c r="F259" s="18" t="s">
        <v>109</v>
      </c>
      <c r="G259" s="18" t="s">
        <v>109</v>
      </c>
      <c r="H259" s="18" t="s">
        <v>109</v>
      </c>
      <c r="I259" s="18" t="s">
        <v>109</v>
      </c>
      <c r="J259" s="18" t="s">
        <v>109</v>
      </c>
      <c r="K259" s="18" t="s">
        <v>109</v>
      </c>
      <c r="L259" s="18" t="s">
        <v>109</v>
      </c>
      <c r="M259" s="15" t="s">
        <v>487</v>
      </c>
      <c r="N259" s="4" t="s">
        <v>1226</v>
      </c>
      <c r="O259" s="15"/>
      <c r="P259" s="4" t="s">
        <v>335</v>
      </c>
      <c r="S259" s="15" t="e" cm="1">
        <f t="array" aca="1" ref="S259" ca="1">COMMONMARKETCOUNT(H259:AV259)</f>
        <v>#NAME?</v>
      </c>
      <c r="T259" s="6" t="e" cm="1">
        <f t="array" aca="1" ref="T259" ca="1">AUTOMATEDCOUNT(H259:AV259)</f>
        <v>#NAME?</v>
      </c>
      <c r="V259" s="18" t="s">
        <v>109</v>
      </c>
      <c r="W259" s="18" t="s">
        <v>109</v>
      </c>
      <c r="X259" s="18" t="s">
        <v>109</v>
      </c>
      <c r="Y259" s="18" t="s">
        <v>109</v>
      </c>
      <c r="Z259" s="18" t="s">
        <v>109</v>
      </c>
      <c r="AA259" s="18" t="s">
        <v>109</v>
      </c>
      <c r="AB259" s="18" t="s">
        <v>109</v>
      </c>
      <c r="AC259" s="18" t="s">
        <v>109</v>
      </c>
      <c r="AD259" s="18" t="s">
        <v>109</v>
      </c>
      <c r="AE259" s="18" t="s">
        <v>109</v>
      </c>
      <c r="AF259" s="18" t="s">
        <v>109</v>
      </c>
      <c r="AG259" s="18" t="s">
        <v>109</v>
      </c>
      <c r="AH259" s="18" t="s">
        <v>109</v>
      </c>
      <c r="AI259" s="18" t="s">
        <v>109</v>
      </c>
      <c r="AJ259" s="18" t="s">
        <v>109</v>
      </c>
      <c r="AK259" s="18" t="s">
        <v>109</v>
      </c>
      <c r="AL259" s="18" t="s">
        <v>109</v>
      </c>
      <c r="AM259" s="18" t="s">
        <v>19</v>
      </c>
      <c r="AN259" s="18" t="s">
        <v>109</v>
      </c>
      <c r="AO259" s="18" t="s">
        <v>109</v>
      </c>
      <c r="AP259" s="18" t="s">
        <v>109</v>
      </c>
      <c r="AQ259" s="18" t="s">
        <v>109</v>
      </c>
      <c r="AR259" s="18" t="s">
        <v>109</v>
      </c>
      <c r="AS259" s="18" t="s">
        <v>109</v>
      </c>
      <c r="AT259" s="18" t="s">
        <v>109</v>
      </c>
      <c r="AU259" s="18" t="s">
        <v>3153</v>
      </c>
      <c r="AV259" s="36" t="s">
        <v>109</v>
      </c>
    </row>
    <row r="260" spans="1:264" ht="65.25" hidden="1" customHeight="1" x14ac:dyDescent="0.3">
      <c r="A260" s="15" t="s">
        <v>25</v>
      </c>
      <c r="B260" s="15" t="s">
        <v>1290</v>
      </c>
      <c r="C260" s="15" t="s">
        <v>488</v>
      </c>
      <c r="D260" s="15" t="s">
        <v>32</v>
      </c>
      <c r="E260" s="18" t="s">
        <v>109</v>
      </c>
      <c r="F260" s="18" t="s">
        <v>109</v>
      </c>
      <c r="G260" s="18" t="s">
        <v>109</v>
      </c>
      <c r="H260" s="18" t="s">
        <v>109</v>
      </c>
      <c r="I260" s="18" t="s">
        <v>109</v>
      </c>
      <c r="J260" s="18" t="s">
        <v>109</v>
      </c>
      <c r="K260" s="18" t="s">
        <v>109</v>
      </c>
      <c r="L260" s="18" t="s">
        <v>109</v>
      </c>
      <c r="M260" s="15" t="s">
        <v>1739</v>
      </c>
      <c r="N260" s="4" t="s">
        <v>1227</v>
      </c>
      <c r="O260" s="15"/>
      <c r="P260" s="4" t="s">
        <v>335</v>
      </c>
      <c r="S260" s="15" t="e" cm="1">
        <f t="array" aca="1" ref="S260" ca="1">COMMONMARKETCOUNT(H260:AV260)</f>
        <v>#NAME?</v>
      </c>
      <c r="T260" s="6" t="e" cm="1">
        <f t="array" aca="1" ref="T260" ca="1">AUTOMATEDCOUNT(H260:AV260)</f>
        <v>#NAME?</v>
      </c>
      <c r="V260" s="18" t="s">
        <v>109</v>
      </c>
      <c r="W260" s="18" t="s">
        <v>109</v>
      </c>
      <c r="X260" s="18" t="s">
        <v>109</v>
      </c>
      <c r="Y260" s="18" t="s">
        <v>109</v>
      </c>
      <c r="Z260" s="18" t="s">
        <v>109</v>
      </c>
      <c r="AA260" s="18" t="s">
        <v>109</v>
      </c>
      <c r="AB260" s="18" t="s">
        <v>109</v>
      </c>
      <c r="AC260" s="18" t="s">
        <v>109</v>
      </c>
      <c r="AD260" s="18" t="s">
        <v>109</v>
      </c>
      <c r="AE260" s="18" t="s">
        <v>109</v>
      </c>
      <c r="AF260" s="18" t="s">
        <v>109</v>
      </c>
      <c r="AG260" s="18" t="s">
        <v>109</v>
      </c>
      <c r="AH260" s="18" t="s">
        <v>109</v>
      </c>
      <c r="AI260" s="18" t="s">
        <v>109</v>
      </c>
      <c r="AJ260" s="18" t="s">
        <v>109</v>
      </c>
      <c r="AK260" s="18" t="s">
        <v>109</v>
      </c>
      <c r="AL260" s="18" t="s">
        <v>109</v>
      </c>
      <c r="AM260" s="18" t="s">
        <v>19</v>
      </c>
      <c r="AN260" s="18" t="s">
        <v>109</v>
      </c>
      <c r="AO260" s="18" t="s">
        <v>109</v>
      </c>
      <c r="AP260" s="18" t="s">
        <v>109</v>
      </c>
      <c r="AQ260" s="18" t="s">
        <v>109</v>
      </c>
      <c r="AR260" s="18" t="s">
        <v>109</v>
      </c>
      <c r="AS260" s="18" t="s">
        <v>109</v>
      </c>
      <c r="AT260" s="18" t="s">
        <v>109</v>
      </c>
      <c r="AU260" s="18" t="s">
        <v>3153</v>
      </c>
      <c r="AV260" s="36" t="s">
        <v>109</v>
      </c>
    </row>
    <row r="261" spans="1:264" ht="74.25" hidden="1" customHeight="1" x14ac:dyDescent="0.3">
      <c r="A261" s="15" t="s">
        <v>25</v>
      </c>
      <c r="B261" s="15" t="s">
        <v>1283</v>
      </c>
      <c r="C261" s="15" t="s">
        <v>489</v>
      </c>
      <c r="D261" s="15" t="s">
        <v>32</v>
      </c>
      <c r="E261" s="18" t="s">
        <v>109</v>
      </c>
      <c r="F261" s="18" t="s">
        <v>109</v>
      </c>
      <c r="G261" s="18" t="s">
        <v>109</v>
      </c>
      <c r="H261" s="18" t="s">
        <v>109</v>
      </c>
      <c r="I261" s="18" t="s">
        <v>109</v>
      </c>
      <c r="J261" s="18" t="s">
        <v>109</v>
      </c>
      <c r="K261" s="18" t="s">
        <v>109</v>
      </c>
      <c r="L261" s="18" t="s">
        <v>109</v>
      </c>
      <c r="M261" s="15" t="s">
        <v>1740</v>
      </c>
      <c r="N261" s="4" t="s">
        <v>1228</v>
      </c>
      <c r="O261" s="15"/>
      <c r="P261" s="4" t="s">
        <v>335</v>
      </c>
      <c r="S261" s="15" t="e" cm="1">
        <f t="array" aca="1" ref="S261" ca="1">COMMONMARKETCOUNT(H261:AV261)</f>
        <v>#NAME?</v>
      </c>
      <c r="T261" s="6" t="e" cm="1">
        <f t="array" aca="1" ref="T261" ca="1">AUTOMATEDCOUNT(H261:AV261)</f>
        <v>#NAME?</v>
      </c>
      <c r="V261" s="18" t="s">
        <v>109</v>
      </c>
      <c r="W261" s="18" t="s">
        <v>109</v>
      </c>
      <c r="X261" s="18" t="s">
        <v>109</v>
      </c>
      <c r="Y261" s="18" t="s">
        <v>109</v>
      </c>
      <c r="Z261" s="18" t="s">
        <v>109</v>
      </c>
      <c r="AA261" s="18" t="s">
        <v>109</v>
      </c>
      <c r="AB261" s="18" t="s">
        <v>109</v>
      </c>
      <c r="AC261" s="18" t="s">
        <v>109</v>
      </c>
      <c r="AD261" s="18" t="s">
        <v>109</v>
      </c>
      <c r="AE261" s="18" t="s">
        <v>109</v>
      </c>
      <c r="AF261" s="18" t="s">
        <v>109</v>
      </c>
      <c r="AG261" s="18" t="s">
        <v>109</v>
      </c>
      <c r="AH261" s="18" t="s">
        <v>109</v>
      </c>
      <c r="AI261" s="18" t="s">
        <v>109</v>
      </c>
      <c r="AJ261" s="18" t="s">
        <v>109</v>
      </c>
      <c r="AK261" s="18" t="s">
        <v>109</v>
      </c>
      <c r="AL261" s="18" t="s">
        <v>109</v>
      </c>
      <c r="AM261" s="18" t="s">
        <v>19</v>
      </c>
      <c r="AN261" s="18" t="s">
        <v>109</v>
      </c>
      <c r="AO261" s="18" t="s">
        <v>109</v>
      </c>
      <c r="AP261" s="18" t="s">
        <v>109</v>
      </c>
      <c r="AQ261" s="18" t="s">
        <v>109</v>
      </c>
      <c r="AR261" s="18" t="s">
        <v>109</v>
      </c>
      <c r="AS261" s="18" t="s">
        <v>109</v>
      </c>
      <c r="AT261" s="18" t="s">
        <v>109</v>
      </c>
      <c r="AU261" s="18" t="s">
        <v>3153</v>
      </c>
      <c r="AV261" s="36" t="s">
        <v>109</v>
      </c>
    </row>
    <row r="262" spans="1:264" ht="40.5" hidden="1" customHeight="1" x14ac:dyDescent="0.3">
      <c r="A262" s="15" t="s">
        <v>25</v>
      </c>
      <c r="B262" s="15" t="s">
        <v>1283</v>
      </c>
      <c r="C262" s="15" t="s">
        <v>490</v>
      </c>
      <c r="D262" s="15" t="s">
        <v>32</v>
      </c>
      <c r="E262" s="18" t="s">
        <v>109</v>
      </c>
      <c r="F262" s="18" t="s">
        <v>109</v>
      </c>
      <c r="G262" s="18" t="s">
        <v>109</v>
      </c>
      <c r="H262" s="18" t="s">
        <v>109</v>
      </c>
      <c r="I262" s="18" t="s">
        <v>109</v>
      </c>
      <c r="J262" s="18" t="s">
        <v>109</v>
      </c>
      <c r="K262" s="18" t="s">
        <v>109</v>
      </c>
      <c r="L262" s="18" t="s">
        <v>109</v>
      </c>
      <c r="M262" s="15" t="s">
        <v>1741</v>
      </c>
      <c r="N262" s="4" t="s">
        <v>1229</v>
      </c>
      <c r="O262" s="15"/>
      <c r="P262" s="4" t="s">
        <v>335</v>
      </c>
      <c r="S262" s="15" t="e" cm="1">
        <f t="array" aca="1" ref="S262" ca="1">COMMONMARKETCOUNT(H262:AV262)</f>
        <v>#NAME?</v>
      </c>
      <c r="T262" s="6" t="e" cm="1">
        <f t="array" aca="1" ref="T262" ca="1">AUTOMATEDCOUNT(H262:AV262)</f>
        <v>#NAME?</v>
      </c>
      <c r="V262" s="18" t="s">
        <v>109</v>
      </c>
      <c r="W262" s="18" t="s">
        <v>109</v>
      </c>
      <c r="X262" s="18" t="s">
        <v>109</v>
      </c>
      <c r="Y262" s="18" t="s">
        <v>109</v>
      </c>
      <c r="Z262" s="18" t="s">
        <v>109</v>
      </c>
      <c r="AA262" s="18" t="s">
        <v>109</v>
      </c>
      <c r="AB262" s="18" t="s">
        <v>109</v>
      </c>
      <c r="AC262" s="18" t="s">
        <v>109</v>
      </c>
      <c r="AD262" s="18" t="s">
        <v>109</v>
      </c>
      <c r="AE262" s="18" t="s">
        <v>109</v>
      </c>
      <c r="AF262" s="18" t="s">
        <v>109</v>
      </c>
      <c r="AG262" s="18" t="s">
        <v>109</v>
      </c>
      <c r="AH262" s="18" t="s">
        <v>109</v>
      </c>
      <c r="AI262" s="18" t="s">
        <v>109</v>
      </c>
      <c r="AJ262" s="18" t="s">
        <v>109</v>
      </c>
      <c r="AK262" s="18" t="s">
        <v>109</v>
      </c>
      <c r="AL262" s="18" t="s">
        <v>109</v>
      </c>
      <c r="AM262" s="18" t="s">
        <v>19</v>
      </c>
      <c r="AN262" s="18" t="s">
        <v>109</v>
      </c>
      <c r="AO262" s="18" t="s">
        <v>109</v>
      </c>
      <c r="AP262" s="18" t="s">
        <v>109</v>
      </c>
      <c r="AQ262" s="18" t="s">
        <v>109</v>
      </c>
      <c r="AR262" s="18" t="s">
        <v>109</v>
      </c>
      <c r="AS262" s="18" t="s">
        <v>109</v>
      </c>
      <c r="AT262" s="18" t="s">
        <v>109</v>
      </c>
      <c r="AU262" s="18" t="s">
        <v>3153</v>
      </c>
      <c r="AV262" s="36" t="s">
        <v>109</v>
      </c>
    </row>
    <row r="263" spans="1:264" s="37" customFormat="1" ht="40.5" hidden="1" customHeight="1" x14ac:dyDescent="0.3">
      <c r="A263" s="15" t="s">
        <v>25</v>
      </c>
      <c r="B263" s="15" t="s">
        <v>1291</v>
      </c>
      <c r="C263" s="15" t="s">
        <v>491</v>
      </c>
      <c r="D263" s="15" t="s">
        <v>32</v>
      </c>
      <c r="E263" s="18" t="s">
        <v>109</v>
      </c>
      <c r="F263" s="18" t="s">
        <v>109</v>
      </c>
      <c r="G263" s="18" t="s">
        <v>109</v>
      </c>
      <c r="H263" s="18" t="s">
        <v>109</v>
      </c>
      <c r="I263" s="18" t="s">
        <v>109</v>
      </c>
      <c r="J263" s="18" t="s">
        <v>109</v>
      </c>
      <c r="K263" s="18" t="s">
        <v>109</v>
      </c>
      <c r="L263" s="18" t="s">
        <v>109</v>
      </c>
      <c r="M263" s="15" t="s">
        <v>492</v>
      </c>
      <c r="N263" s="4" t="s">
        <v>1230</v>
      </c>
      <c r="O263" s="15"/>
      <c r="P263" s="4" t="s">
        <v>335</v>
      </c>
      <c r="S263" s="15" t="e" cm="1">
        <f t="array" aca="1" ref="S263" ca="1">COMMONMARKETCOUNT(H263:AV263)</f>
        <v>#NAME?</v>
      </c>
      <c r="T263" s="6" t="e" cm="1">
        <f t="array" aca="1" ref="T263" ca="1">AUTOMATEDCOUNT(H263:AV263)</f>
        <v>#NAME?</v>
      </c>
      <c r="V263" s="18" t="s">
        <v>109</v>
      </c>
      <c r="W263" s="18" t="s">
        <v>109</v>
      </c>
      <c r="X263" s="18" t="s">
        <v>109</v>
      </c>
      <c r="Y263" s="18" t="s">
        <v>109</v>
      </c>
      <c r="Z263" s="18" t="s">
        <v>109</v>
      </c>
      <c r="AA263" s="18" t="s">
        <v>109</v>
      </c>
      <c r="AB263" s="18" t="s">
        <v>109</v>
      </c>
      <c r="AC263" s="18" t="s">
        <v>109</v>
      </c>
      <c r="AD263" s="18" t="s">
        <v>109</v>
      </c>
      <c r="AE263" s="18" t="s">
        <v>109</v>
      </c>
      <c r="AF263" s="18" t="s">
        <v>109</v>
      </c>
      <c r="AG263" s="18" t="s">
        <v>109</v>
      </c>
      <c r="AH263" s="18" t="s">
        <v>109</v>
      </c>
      <c r="AI263" s="18" t="s">
        <v>109</v>
      </c>
      <c r="AJ263" s="18" t="s">
        <v>109</v>
      </c>
      <c r="AK263" s="18" t="s">
        <v>109</v>
      </c>
      <c r="AL263" s="18" t="s">
        <v>109</v>
      </c>
      <c r="AM263" s="18" t="s">
        <v>19</v>
      </c>
      <c r="AN263" s="18" t="s">
        <v>109</v>
      </c>
      <c r="AO263" s="18" t="s">
        <v>109</v>
      </c>
      <c r="AP263" s="18" t="s">
        <v>109</v>
      </c>
      <c r="AQ263" s="18" t="s">
        <v>109</v>
      </c>
      <c r="AR263" s="18" t="s">
        <v>109</v>
      </c>
      <c r="AS263" s="18" t="s">
        <v>109</v>
      </c>
      <c r="AT263" s="18" t="s">
        <v>109</v>
      </c>
      <c r="AU263" s="18" t="s">
        <v>3153</v>
      </c>
      <c r="AV263" s="36" t="s">
        <v>109</v>
      </c>
      <c r="AW263" s="16"/>
      <c r="AX263" s="16"/>
      <c r="AY263" s="16"/>
      <c r="AZ263" s="16"/>
      <c r="BA263" s="16"/>
      <c r="BB263" s="16"/>
      <c r="BC263" s="16"/>
      <c r="BD263" s="16"/>
      <c r="BE263" s="16"/>
      <c r="BF263" s="16"/>
      <c r="BG263" s="16"/>
      <c r="BH263" s="16"/>
      <c r="BI263" s="16"/>
      <c r="BJ263" s="16"/>
      <c r="BK263" s="16"/>
      <c r="BL263" s="16"/>
      <c r="BM263" s="16"/>
      <c r="BN263" s="16"/>
      <c r="BO263" s="16"/>
      <c r="BP263" s="16"/>
      <c r="BQ263" s="16"/>
      <c r="BR263" s="16"/>
      <c r="BS263" s="16"/>
      <c r="BT263" s="16"/>
      <c r="BU263" s="16"/>
      <c r="BV263" s="16"/>
      <c r="BW263" s="16"/>
      <c r="BX263" s="16"/>
      <c r="BY263" s="16"/>
      <c r="BZ263" s="16"/>
      <c r="CA263" s="16"/>
      <c r="CB263" s="16"/>
      <c r="CC263" s="16"/>
      <c r="CD263" s="16"/>
      <c r="CE263" s="16"/>
      <c r="CF263" s="16"/>
      <c r="CG263" s="16"/>
      <c r="CH263" s="16"/>
      <c r="CI263" s="16"/>
      <c r="CJ263" s="16"/>
      <c r="CK263" s="16"/>
      <c r="CL263" s="16"/>
      <c r="CM263" s="16"/>
      <c r="CN263" s="16"/>
      <c r="CO263" s="16"/>
      <c r="CP263" s="16"/>
      <c r="CQ263" s="16"/>
      <c r="CR263" s="16"/>
      <c r="CS263" s="16"/>
      <c r="CT263" s="16"/>
      <c r="CU263" s="16"/>
      <c r="CV263" s="16"/>
      <c r="CW263" s="16"/>
      <c r="CX263" s="16"/>
      <c r="CY263" s="16"/>
      <c r="CZ263" s="16"/>
      <c r="DA263" s="16"/>
      <c r="DB263" s="16"/>
      <c r="DC263" s="16"/>
      <c r="DD263" s="16"/>
      <c r="DE263" s="16"/>
      <c r="DF263" s="16"/>
      <c r="DG263" s="16"/>
      <c r="DH263" s="16"/>
      <c r="DI263" s="16"/>
      <c r="DJ263" s="16"/>
      <c r="DK263" s="16"/>
      <c r="DL263" s="16"/>
      <c r="DM263" s="16"/>
      <c r="DN263" s="16"/>
      <c r="DO263" s="16"/>
      <c r="DP263" s="16"/>
      <c r="DQ263" s="16"/>
      <c r="DR263" s="16"/>
      <c r="DS263" s="16"/>
      <c r="DT263" s="16"/>
      <c r="DU263" s="16"/>
      <c r="DV263" s="16"/>
      <c r="DW263" s="16"/>
      <c r="DX263" s="16"/>
      <c r="DY263" s="16"/>
      <c r="DZ263" s="16"/>
      <c r="EA263" s="16"/>
      <c r="EB263" s="16"/>
      <c r="EC263" s="16"/>
      <c r="ED263" s="16"/>
      <c r="EE263" s="16"/>
      <c r="EF263" s="16"/>
      <c r="EG263" s="16"/>
      <c r="EH263" s="16"/>
      <c r="EI263" s="16"/>
      <c r="EJ263" s="16"/>
      <c r="EK263" s="16"/>
      <c r="EL263" s="16"/>
      <c r="EM263" s="16"/>
      <c r="EN263" s="16"/>
      <c r="EO263" s="16"/>
      <c r="EP263" s="16"/>
      <c r="EQ263" s="16"/>
      <c r="ER263" s="16"/>
      <c r="ES263" s="16"/>
      <c r="ET263" s="16"/>
      <c r="EU263" s="16"/>
      <c r="EV263" s="16"/>
      <c r="EW263" s="16"/>
      <c r="EX263" s="16"/>
      <c r="EY263" s="16"/>
      <c r="EZ263" s="16"/>
      <c r="FA263" s="16"/>
      <c r="FB263" s="16"/>
      <c r="FC263" s="16"/>
      <c r="FD263" s="16"/>
      <c r="FE263" s="16"/>
      <c r="FF263" s="16"/>
      <c r="FG263" s="16"/>
      <c r="FH263" s="16"/>
      <c r="FI263" s="16"/>
      <c r="FJ263" s="16"/>
      <c r="FK263" s="16"/>
      <c r="FL263" s="16"/>
      <c r="FM263" s="16"/>
      <c r="FN263" s="16"/>
      <c r="FO263" s="16"/>
      <c r="FP263" s="16"/>
      <c r="FQ263" s="16"/>
      <c r="FR263" s="16"/>
      <c r="FS263" s="16"/>
      <c r="FT263" s="16"/>
      <c r="FU263" s="16"/>
      <c r="FV263" s="16"/>
      <c r="FW263" s="16"/>
      <c r="FX263" s="16"/>
      <c r="FY263" s="16"/>
      <c r="FZ263" s="16"/>
      <c r="GA263" s="16"/>
      <c r="GB263" s="16"/>
      <c r="GC263" s="16"/>
      <c r="GD263" s="16"/>
      <c r="GE263" s="16"/>
      <c r="GF263" s="16"/>
      <c r="GG263" s="16"/>
      <c r="GH263" s="16"/>
      <c r="GI263" s="16"/>
      <c r="GJ263" s="16"/>
      <c r="GK263" s="16"/>
      <c r="GL263" s="16"/>
      <c r="GM263" s="16"/>
      <c r="GN263" s="16"/>
      <c r="GO263" s="16"/>
      <c r="GP263" s="16"/>
      <c r="GQ263" s="16"/>
      <c r="GR263" s="16"/>
      <c r="GS263" s="16"/>
      <c r="GT263" s="16"/>
      <c r="GU263" s="16"/>
      <c r="GV263" s="16"/>
      <c r="GW263" s="16"/>
      <c r="GX263" s="16"/>
      <c r="GY263" s="16"/>
      <c r="GZ263" s="16"/>
      <c r="HA263" s="16"/>
      <c r="HB263" s="16"/>
      <c r="HC263" s="16"/>
      <c r="HD263" s="16"/>
      <c r="HE263" s="16"/>
      <c r="HF263" s="16"/>
      <c r="HG263" s="16"/>
      <c r="HH263" s="16"/>
      <c r="HI263" s="16"/>
      <c r="HJ263" s="16"/>
      <c r="HK263" s="16"/>
      <c r="HL263" s="16"/>
      <c r="HM263" s="16"/>
      <c r="HN263" s="16"/>
      <c r="HO263" s="16"/>
      <c r="HP263" s="16"/>
      <c r="HQ263" s="16"/>
      <c r="HR263" s="16"/>
      <c r="HS263" s="16"/>
      <c r="HT263" s="16"/>
      <c r="HU263" s="16"/>
      <c r="HV263" s="16"/>
      <c r="HW263" s="16"/>
      <c r="HX263" s="16"/>
      <c r="HY263" s="16"/>
      <c r="HZ263" s="16"/>
      <c r="IA263" s="16"/>
      <c r="IB263" s="16"/>
      <c r="IC263" s="16"/>
      <c r="ID263" s="16"/>
      <c r="IE263" s="16"/>
      <c r="IF263" s="16"/>
      <c r="IG263" s="16"/>
      <c r="IH263" s="16"/>
      <c r="II263" s="16"/>
      <c r="IJ263" s="16"/>
      <c r="IK263" s="16"/>
      <c r="IL263" s="16"/>
      <c r="IM263" s="16"/>
      <c r="IN263" s="16"/>
      <c r="IO263" s="16"/>
      <c r="IP263" s="16"/>
      <c r="IQ263" s="16"/>
      <c r="IR263" s="16"/>
      <c r="IS263" s="16"/>
      <c r="IT263" s="16"/>
      <c r="IU263" s="16"/>
      <c r="IV263" s="16"/>
      <c r="IW263" s="16"/>
      <c r="IX263" s="16"/>
      <c r="IY263" s="16"/>
      <c r="IZ263" s="16"/>
      <c r="JA263" s="16"/>
      <c r="JB263" s="16"/>
      <c r="JC263" s="16"/>
      <c r="JD263" s="16"/>
    </row>
    <row r="264" spans="1:264" ht="71.25" hidden="1" customHeight="1" x14ac:dyDescent="0.3">
      <c r="A264" s="15" t="s">
        <v>25</v>
      </c>
      <c r="B264" s="15" t="s">
        <v>1291</v>
      </c>
      <c r="C264" s="15" t="s">
        <v>493</v>
      </c>
      <c r="D264" s="15" t="s">
        <v>32</v>
      </c>
      <c r="E264" s="18" t="s">
        <v>109</v>
      </c>
      <c r="F264" s="18" t="s">
        <v>109</v>
      </c>
      <c r="G264" s="18" t="s">
        <v>109</v>
      </c>
      <c r="H264" s="18" t="s">
        <v>109</v>
      </c>
      <c r="I264" s="18" t="s">
        <v>109</v>
      </c>
      <c r="J264" s="18" t="s">
        <v>109</v>
      </c>
      <c r="K264" s="18" t="s">
        <v>109</v>
      </c>
      <c r="L264" s="18" t="s">
        <v>109</v>
      </c>
      <c r="M264" s="15" t="s">
        <v>494</v>
      </c>
      <c r="N264" s="4" t="s">
        <v>1231</v>
      </c>
      <c r="O264" s="15"/>
      <c r="P264" s="4" t="s">
        <v>335</v>
      </c>
      <c r="S264" s="15" t="e" cm="1">
        <f t="array" aca="1" ref="S264" ca="1">COMMONMARKETCOUNT(H264:AV264)</f>
        <v>#NAME?</v>
      </c>
      <c r="T264" s="6" t="e" cm="1">
        <f t="array" aca="1" ref="T264" ca="1">AUTOMATEDCOUNT(H264:AV264)</f>
        <v>#NAME?</v>
      </c>
      <c r="V264" s="18" t="s">
        <v>109</v>
      </c>
      <c r="W264" s="18" t="s">
        <v>109</v>
      </c>
      <c r="X264" s="18" t="s">
        <v>109</v>
      </c>
      <c r="Y264" s="18" t="s">
        <v>109</v>
      </c>
      <c r="Z264" s="18" t="s">
        <v>109</v>
      </c>
      <c r="AA264" s="18" t="s">
        <v>109</v>
      </c>
      <c r="AB264" s="18" t="s">
        <v>109</v>
      </c>
      <c r="AC264" s="18" t="s">
        <v>109</v>
      </c>
      <c r="AD264" s="18" t="s">
        <v>109</v>
      </c>
      <c r="AE264" s="18" t="s">
        <v>109</v>
      </c>
      <c r="AF264" s="18" t="s">
        <v>109</v>
      </c>
      <c r="AG264" s="18" t="s">
        <v>109</v>
      </c>
      <c r="AH264" s="18" t="s">
        <v>109</v>
      </c>
      <c r="AI264" s="18" t="s">
        <v>109</v>
      </c>
      <c r="AJ264" s="18" t="s">
        <v>109</v>
      </c>
      <c r="AK264" s="18" t="s">
        <v>109</v>
      </c>
      <c r="AL264" s="18" t="s">
        <v>109</v>
      </c>
      <c r="AM264" s="18" t="s">
        <v>19</v>
      </c>
      <c r="AN264" s="18" t="s">
        <v>109</v>
      </c>
      <c r="AO264" s="18" t="s">
        <v>109</v>
      </c>
      <c r="AP264" s="18" t="s">
        <v>109</v>
      </c>
      <c r="AQ264" s="18" t="s">
        <v>109</v>
      </c>
      <c r="AR264" s="18" t="s">
        <v>109</v>
      </c>
      <c r="AS264" s="18" t="s">
        <v>109</v>
      </c>
      <c r="AT264" s="18" t="s">
        <v>109</v>
      </c>
      <c r="AU264" s="18" t="s">
        <v>3153</v>
      </c>
      <c r="AV264" s="36" t="s">
        <v>109</v>
      </c>
    </row>
    <row r="265" spans="1:264" s="37" customFormat="1" ht="40.5" hidden="1" customHeight="1" x14ac:dyDescent="0.3">
      <c r="A265" s="15" t="s">
        <v>25</v>
      </c>
      <c r="B265" s="15" t="s">
        <v>1289</v>
      </c>
      <c r="C265" s="15" t="s">
        <v>495</v>
      </c>
      <c r="D265" s="15" t="s">
        <v>32</v>
      </c>
      <c r="E265" s="18" t="s">
        <v>109</v>
      </c>
      <c r="F265" s="18" t="s">
        <v>109</v>
      </c>
      <c r="G265" s="18" t="s">
        <v>109</v>
      </c>
      <c r="H265" s="18" t="s">
        <v>109</v>
      </c>
      <c r="I265" s="18" t="s">
        <v>109</v>
      </c>
      <c r="J265" s="18" t="s">
        <v>109</v>
      </c>
      <c r="K265" s="18" t="s">
        <v>109</v>
      </c>
      <c r="L265" s="18" t="s">
        <v>109</v>
      </c>
      <c r="M265" s="15" t="s">
        <v>496</v>
      </c>
      <c r="N265" s="4" t="s">
        <v>1232</v>
      </c>
      <c r="O265" s="15"/>
      <c r="P265" s="4" t="s">
        <v>335</v>
      </c>
      <c r="S265" s="15" t="e" cm="1">
        <f t="array" aca="1" ref="S265" ca="1">COMMONMARKETCOUNT(H265:AV265)</f>
        <v>#NAME?</v>
      </c>
      <c r="T265" s="6" t="e" cm="1">
        <f t="array" aca="1" ref="T265" ca="1">AUTOMATEDCOUNT(H265:AV265)</f>
        <v>#NAME?</v>
      </c>
      <c r="V265" s="18" t="s">
        <v>109</v>
      </c>
      <c r="W265" s="18" t="s">
        <v>109</v>
      </c>
      <c r="X265" s="18" t="s">
        <v>109</v>
      </c>
      <c r="Y265" s="18" t="s">
        <v>109</v>
      </c>
      <c r="Z265" s="18" t="s">
        <v>109</v>
      </c>
      <c r="AA265" s="18" t="s">
        <v>109</v>
      </c>
      <c r="AB265" s="18" t="s">
        <v>109</v>
      </c>
      <c r="AC265" s="18" t="s">
        <v>109</v>
      </c>
      <c r="AD265" s="18" t="s">
        <v>109</v>
      </c>
      <c r="AE265" s="18" t="s">
        <v>109</v>
      </c>
      <c r="AF265" s="18" t="s">
        <v>109</v>
      </c>
      <c r="AG265" s="18" t="s">
        <v>109</v>
      </c>
      <c r="AH265" s="18" t="s">
        <v>19</v>
      </c>
      <c r="AI265" s="18" t="s">
        <v>19</v>
      </c>
      <c r="AJ265" s="18" t="s">
        <v>109</v>
      </c>
      <c r="AK265" s="18" t="s">
        <v>109</v>
      </c>
      <c r="AL265" s="18" t="s">
        <v>109</v>
      </c>
      <c r="AM265" s="18" t="s">
        <v>109</v>
      </c>
      <c r="AN265" s="18" t="s">
        <v>109</v>
      </c>
      <c r="AO265" s="18" t="s">
        <v>109</v>
      </c>
      <c r="AP265" s="18" t="s">
        <v>109</v>
      </c>
      <c r="AQ265" s="18" t="s">
        <v>109</v>
      </c>
      <c r="AR265" s="18" t="s">
        <v>109</v>
      </c>
      <c r="AS265" s="18" t="s">
        <v>109</v>
      </c>
      <c r="AT265" s="18" t="s">
        <v>109</v>
      </c>
      <c r="AU265" s="18" t="s">
        <v>109</v>
      </c>
      <c r="AV265" s="36" t="s">
        <v>109</v>
      </c>
      <c r="AW265" s="16"/>
      <c r="AX265" s="16"/>
      <c r="AY265" s="16"/>
      <c r="AZ265" s="16"/>
      <c r="BA265" s="16"/>
      <c r="BB265" s="16"/>
      <c r="BC265" s="16"/>
      <c r="BD265" s="16"/>
      <c r="BE265" s="16"/>
      <c r="BF265" s="16"/>
      <c r="BG265" s="16"/>
      <c r="BH265" s="16"/>
      <c r="BI265" s="16"/>
      <c r="BJ265" s="16"/>
      <c r="BK265" s="16"/>
      <c r="BL265" s="16"/>
      <c r="BM265" s="16"/>
      <c r="BN265" s="16"/>
      <c r="BO265" s="16"/>
      <c r="BP265" s="16"/>
      <c r="BQ265" s="16"/>
      <c r="BR265" s="16"/>
      <c r="BS265" s="16"/>
      <c r="BT265" s="16"/>
      <c r="BU265" s="16"/>
      <c r="BV265" s="16"/>
      <c r="BW265" s="16"/>
      <c r="BX265" s="16"/>
      <c r="BY265" s="16"/>
      <c r="BZ265" s="16"/>
      <c r="CA265" s="16"/>
      <c r="CB265" s="16"/>
      <c r="CC265" s="16"/>
      <c r="CD265" s="16"/>
      <c r="CE265" s="16"/>
      <c r="CF265" s="16"/>
      <c r="CG265" s="16"/>
      <c r="CH265" s="16"/>
      <c r="CI265" s="16"/>
      <c r="CJ265" s="16"/>
      <c r="CK265" s="16"/>
      <c r="CL265" s="16"/>
      <c r="CM265" s="16"/>
      <c r="CN265" s="16"/>
      <c r="CO265" s="16"/>
      <c r="CP265" s="16"/>
      <c r="CQ265" s="16"/>
      <c r="CR265" s="16"/>
      <c r="CS265" s="16"/>
      <c r="CT265" s="16"/>
      <c r="CU265" s="16"/>
      <c r="CV265" s="16"/>
      <c r="CW265" s="16"/>
      <c r="CX265" s="16"/>
      <c r="CY265" s="16"/>
      <c r="CZ265" s="16"/>
      <c r="DA265" s="16"/>
      <c r="DB265" s="16"/>
      <c r="DC265" s="16"/>
      <c r="DD265" s="16"/>
      <c r="DE265" s="16"/>
      <c r="DF265" s="16"/>
      <c r="DG265" s="16"/>
      <c r="DH265" s="16"/>
      <c r="DI265" s="16"/>
      <c r="DJ265" s="16"/>
      <c r="DK265" s="16"/>
      <c r="DL265" s="16"/>
      <c r="DM265" s="16"/>
      <c r="DN265" s="16"/>
      <c r="DO265" s="16"/>
      <c r="DP265" s="16"/>
      <c r="DQ265" s="16"/>
      <c r="DR265" s="16"/>
      <c r="DS265" s="16"/>
      <c r="DT265" s="16"/>
      <c r="DU265" s="16"/>
      <c r="DV265" s="16"/>
      <c r="DW265" s="16"/>
      <c r="DX265" s="16"/>
      <c r="DY265" s="16"/>
      <c r="DZ265" s="16"/>
      <c r="EA265" s="16"/>
      <c r="EB265" s="16"/>
      <c r="EC265" s="16"/>
      <c r="ED265" s="16"/>
      <c r="EE265" s="16"/>
      <c r="EF265" s="16"/>
      <c r="EG265" s="16"/>
      <c r="EH265" s="16"/>
      <c r="EI265" s="16"/>
      <c r="EJ265" s="16"/>
      <c r="EK265" s="16"/>
      <c r="EL265" s="16"/>
      <c r="EM265" s="16"/>
      <c r="EN265" s="16"/>
      <c r="EO265" s="16"/>
      <c r="EP265" s="16"/>
      <c r="EQ265" s="16"/>
      <c r="ER265" s="16"/>
      <c r="ES265" s="16"/>
      <c r="ET265" s="16"/>
      <c r="EU265" s="16"/>
      <c r="EV265" s="16"/>
      <c r="EW265" s="16"/>
      <c r="EX265" s="16"/>
      <c r="EY265" s="16"/>
      <c r="EZ265" s="16"/>
      <c r="FA265" s="16"/>
      <c r="FB265" s="16"/>
      <c r="FC265" s="16"/>
      <c r="FD265" s="16"/>
      <c r="FE265" s="16"/>
      <c r="FF265" s="16"/>
      <c r="FG265" s="16"/>
      <c r="FH265" s="16"/>
      <c r="FI265" s="16"/>
      <c r="FJ265" s="16"/>
      <c r="FK265" s="16"/>
      <c r="FL265" s="16"/>
      <c r="FM265" s="16"/>
      <c r="FN265" s="16"/>
      <c r="FO265" s="16"/>
      <c r="FP265" s="16"/>
      <c r="FQ265" s="16"/>
      <c r="FR265" s="16"/>
      <c r="FS265" s="16"/>
      <c r="FT265" s="16"/>
      <c r="FU265" s="16"/>
      <c r="FV265" s="16"/>
      <c r="FW265" s="16"/>
      <c r="FX265" s="16"/>
      <c r="FY265" s="16"/>
      <c r="FZ265" s="16"/>
      <c r="GA265" s="16"/>
      <c r="GB265" s="16"/>
      <c r="GC265" s="16"/>
      <c r="GD265" s="16"/>
      <c r="GE265" s="16"/>
      <c r="GF265" s="16"/>
      <c r="GG265" s="16"/>
      <c r="GH265" s="16"/>
      <c r="GI265" s="16"/>
      <c r="GJ265" s="16"/>
      <c r="GK265" s="16"/>
      <c r="GL265" s="16"/>
      <c r="GM265" s="16"/>
      <c r="GN265" s="16"/>
      <c r="GO265" s="16"/>
      <c r="GP265" s="16"/>
      <c r="GQ265" s="16"/>
      <c r="GR265" s="16"/>
      <c r="GS265" s="16"/>
      <c r="GT265" s="16"/>
      <c r="GU265" s="16"/>
      <c r="GV265" s="16"/>
      <c r="GW265" s="16"/>
      <c r="GX265" s="16"/>
      <c r="GY265" s="16"/>
      <c r="GZ265" s="16"/>
      <c r="HA265" s="16"/>
      <c r="HB265" s="16"/>
      <c r="HC265" s="16"/>
      <c r="HD265" s="16"/>
      <c r="HE265" s="16"/>
      <c r="HF265" s="16"/>
      <c r="HG265" s="16"/>
      <c r="HH265" s="16"/>
      <c r="HI265" s="16"/>
      <c r="HJ265" s="16"/>
      <c r="HK265" s="16"/>
      <c r="HL265" s="16"/>
      <c r="HM265" s="16"/>
      <c r="HN265" s="16"/>
      <c r="HO265" s="16"/>
      <c r="HP265" s="16"/>
      <c r="HQ265" s="16"/>
      <c r="HR265" s="16"/>
      <c r="HS265" s="16"/>
      <c r="HT265" s="16"/>
      <c r="HU265" s="16"/>
      <c r="HV265" s="16"/>
      <c r="HW265" s="16"/>
      <c r="HX265" s="16"/>
      <c r="HY265" s="16"/>
      <c r="HZ265" s="16"/>
      <c r="IA265" s="16"/>
      <c r="IB265" s="16"/>
      <c r="IC265" s="16"/>
      <c r="ID265" s="16"/>
      <c r="IE265" s="16"/>
      <c r="IF265" s="16"/>
      <c r="IG265" s="16"/>
      <c r="IH265" s="16"/>
      <c r="II265" s="16"/>
      <c r="IJ265" s="16"/>
      <c r="IK265" s="16"/>
      <c r="IL265" s="16"/>
      <c r="IM265" s="16"/>
      <c r="IN265" s="16"/>
      <c r="IO265" s="16"/>
      <c r="IP265" s="16"/>
      <c r="IQ265" s="16"/>
      <c r="IR265" s="16"/>
      <c r="IS265" s="16"/>
      <c r="IT265" s="16"/>
      <c r="IU265" s="16"/>
      <c r="IV265" s="16"/>
      <c r="IW265" s="16"/>
      <c r="IX265" s="16"/>
      <c r="IY265" s="16"/>
      <c r="IZ265" s="16"/>
      <c r="JA265" s="16"/>
      <c r="JB265" s="16"/>
      <c r="JC265" s="16"/>
      <c r="JD265" s="16"/>
    </row>
    <row r="266" spans="1:264" ht="51" hidden="1" customHeight="1" x14ac:dyDescent="0.3">
      <c r="A266" s="15" t="s">
        <v>25</v>
      </c>
      <c r="B266" s="15" t="s">
        <v>1292</v>
      </c>
      <c r="C266" s="15" t="s">
        <v>497</v>
      </c>
      <c r="D266" s="15" t="s">
        <v>19</v>
      </c>
      <c r="E266" s="18" t="s">
        <v>109</v>
      </c>
      <c r="F266" s="18" t="s">
        <v>109</v>
      </c>
      <c r="G266" s="18" t="s">
        <v>109</v>
      </c>
      <c r="H266" s="18" t="s">
        <v>109</v>
      </c>
      <c r="I266" s="72" t="s">
        <v>19</v>
      </c>
      <c r="J266" s="120" t="s">
        <v>3192</v>
      </c>
      <c r="K266" s="72" t="s">
        <v>19</v>
      </c>
      <c r="L266" s="72" t="s">
        <v>19</v>
      </c>
      <c r="M266" s="15" t="s">
        <v>498</v>
      </c>
      <c r="N266" s="4" t="s">
        <v>1233</v>
      </c>
      <c r="O266" s="15"/>
      <c r="P266" s="4" t="s">
        <v>1742</v>
      </c>
      <c r="S266" s="15" t="e" cm="1">
        <f t="array" aca="1" ref="S266" ca="1">COMMONMARKETCOUNT(H266:AV266)</f>
        <v>#NAME?</v>
      </c>
      <c r="T266" s="6" t="e" cm="1">
        <f t="array" aca="1" ref="T266" ca="1">AUTOMATEDCOUNT(H266:AV266)</f>
        <v>#NAME?</v>
      </c>
      <c r="V266" s="18" t="s">
        <v>109</v>
      </c>
      <c r="W266" s="18" t="s">
        <v>109</v>
      </c>
      <c r="X266" s="18" t="s">
        <v>109</v>
      </c>
      <c r="Y266" s="18" t="s">
        <v>109</v>
      </c>
      <c r="Z266" s="18" t="s">
        <v>109</v>
      </c>
      <c r="AA266" s="72" t="s">
        <v>19</v>
      </c>
      <c r="AB266" s="72" t="s">
        <v>19</v>
      </c>
      <c r="AC266" s="72" t="s">
        <v>19</v>
      </c>
      <c r="AD266" s="18" t="s">
        <v>109</v>
      </c>
      <c r="AE266" s="18" t="s">
        <v>109</v>
      </c>
      <c r="AF266" s="18" t="s">
        <v>19</v>
      </c>
      <c r="AG266" s="18" t="s">
        <v>19</v>
      </c>
      <c r="AH266" s="18" t="s">
        <v>19</v>
      </c>
      <c r="AI266" s="18" t="s">
        <v>19</v>
      </c>
      <c r="AJ266" s="18" t="s">
        <v>19</v>
      </c>
      <c r="AK266" s="18" t="s">
        <v>19</v>
      </c>
      <c r="AL266" s="18" t="s">
        <v>19</v>
      </c>
      <c r="AM266" s="18" t="s">
        <v>19</v>
      </c>
      <c r="AN266" s="18" t="s">
        <v>19</v>
      </c>
      <c r="AO266" s="18" t="s">
        <v>19</v>
      </c>
      <c r="AP266" s="18" t="s">
        <v>19</v>
      </c>
      <c r="AQ266" s="18" t="s">
        <v>19</v>
      </c>
      <c r="AR266" s="18" t="s">
        <v>19</v>
      </c>
      <c r="AS266" s="18" t="s">
        <v>19</v>
      </c>
      <c r="AT266" s="18" t="s">
        <v>19</v>
      </c>
      <c r="AU266" s="18" t="s">
        <v>3153</v>
      </c>
      <c r="AV266" s="36" t="s">
        <v>19</v>
      </c>
    </row>
    <row r="267" spans="1:264" ht="40.5" hidden="1" customHeight="1" x14ac:dyDescent="0.3">
      <c r="A267" s="15" t="s">
        <v>25</v>
      </c>
      <c r="B267" s="15" t="s">
        <v>24</v>
      </c>
      <c r="C267" s="15" t="s">
        <v>926</v>
      </c>
      <c r="D267" s="15" t="s">
        <v>32</v>
      </c>
      <c r="E267" s="15" t="s">
        <v>19</v>
      </c>
      <c r="F267" s="15" t="s">
        <v>19</v>
      </c>
      <c r="G267" s="15" t="s">
        <v>19</v>
      </c>
      <c r="H267" s="15" t="s">
        <v>19</v>
      </c>
      <c r="I267" s="15" t="s">
        <v>19</v>
      </c>
      <c r="J267" s="15" t="s">
        <v>19</v>
      </c>
      <c r="K267" s="15" t="s">
        <v>19</v>
      </c>
      <c r="L267" s="15" t="s">
        <v>19</v>
      </c>
      <c r="M267" s="15" t="s">
        <v>884</v>
      </c>
      <c r="N267" s="4" t="s">
        <v>1234</v>
      </c>
      <c r="O267" s="33" t="s">
        <v>1645</v>
      </c>
      <c r="P267" s="4" t="s">
        <v>3079</v>
      </c>
      <c r="S267" s="15" t="e" cm="1">
        <f t="array" aca="1" ref="S267" ca="1">COMMONMARKETCOUNT(H267:AV267)</f>
        <v>#NAME?</v>
      </c>
      <c r="T267" s="6" t="e" cm="1">
        <f t="array" aca="1" ref="T267" ca="1">AUTOMATEDCOUNT(H267:AV267)</f>
        <v>#NAME?</v>
      </c>
      <c r="V267" s="15" t="s">
        <v>19</v>
      </c>
      <c r="W267" s="15" t="s">
        <v>19</v>
      </c>
      <c r="X267" s="15" t="s">
        <v>19</v>
      </c>
      <c r="Y267" s="15" t="s">
        <v>19</v>
      </c>
      <c r="Z267" s="15" t="s">
        <v>19</v>
      </c>
      <c r="AA267" s="15" t="s">
        <v>19</v>
      </c>
      <c r="AB267" s="15" t="s">
        <v>19</v>
      </c>
      <c r="AC267" s="15" t="s">
        <v>19</v>
      </c>
      <c r="AD267" s="18" t="s">
        <v>19</v>
      </c>
      <c r="AE267" s="18" t="s">
        <v>19</v>
      </c>
      <c r="AF267" s="15" t="s">
        <v>19</v>
      </c>
      <c r="AG267" s="15" t="s">
        <v>19</v>
      </c>
      <c r="AH267" s="15" t="s">
        <v>19</v>
      </c>
      <c r="AI267" s="15" t="s">
        <v>19</v>
      </c>
      <c r="AJ267" s="15" t="s">
        <v>19</v>
      </c>
      <c r="AK267" s="15" t="s">
        <v>19</v>
      </c>
      <c r="AL267" s="15" t="s">
        <v>19</v>
      </c>
      <c r="AM267" s="15" t="s">
        <v>19</v>
      </c>
      <c r="AN267" s="15" t="s">
        <v>19</v>
      </c>
      <c r="AO267" s="15" t="s">
        <v>19</v>
      </c>
      <c r="AP267" s="15" t="s">
        <v>19</v>
      </c>
      <c r="AQ267" s="15" t="s">
        <v>19</v>
      </c>
      <c r="AR267" s="15" t="s">
        <v>19</v>
      </c>
      <c r="AS267" s="15" t="s">
        <v>19</v>
      </c>
      <c r="AT267" s="15" t="s">
        <v>19</v>
      </c>
      <c r="AU267" s="15" t="s">
        <v>3153</v>
      </c>
      <c r="AV267" s="36" t="s">
        <v>19</v>
      </c>
    </row>
    <row r="268" spans="1:264" ht="40.5" customHeight="1" x14ac:dyDescent="0.3">
      <c r="A268" s="15" t="s">
        <v>25</v>
      </c>
      <c r="B268" s="15" t="s">
        <v>24</v>
      </c>
      <c r="C268" s="15" t="s">
        <v>499</v>
      </c>
      <c r="D268" s="15" t="s">
        <v>19</v>
      </c>
      <c r="E268" s="70" t="s">
        <v>19</v>
      </c>
      <c r="F268" s="70" t="s">
        <v>19</v>
      </c>
      <c r="G268" s="70" t="s">
        <v>19</v>
      </c>
      <c r="H268" s="70" t="s">
        <v>19</v>
      </c>
      <c r="I268" s="72" t="s">
        <v>19</v>
      </c>
      <c r="J268" s="72" t="s">
        <v>19</v>
      </c>
      <c r="K268" s="72" t="s">
        <v>19</v>
      </c>
      <c r="L268" s="72" t="s">
        <v>19</v>
      </c>
      <c r="M268" s="15" t="s">
        <v>500</v>
      </c>
      <c r="N268" s="4" t="s">
        <v>1541</v>
      </c>
      <c r="O268" s="15"/>
      <c r="P268" s="4" t="s">
        <v>3080</v>
      </c>
      <c r="S268" s="15" t="e" cm="1">
        <f t="array" aca="1" ref="S268" ca="1">COMMONMARKETCOUNT(H268:AV268)</f>
        <v>#NAME?</v>
      </c>
      <c r="T268" s="6" t="e" cm="1">
        <f t="array" aca="1" ref="T268" ca="1">AUTOMATEDCOUNT(H268:AV268)</f>
        <v>#NAME?</v>
      </c>
      <c r="V268" s="70" t="s">
        <v>19</v>
      </c>
      <c r="W268" s="70" t="s">
        <v>19</v>
      </c>
      <c r="X268" s="70" t="s">
        <v>19</v>
      </c>
      <c r="Y268" s="70" t="s">
        <v>19</v>
      </c>
      <c r="Z268" s="70" t="s">
        <v>19</v>
      </c>
      <c r="AA268" s="72" t="s">
        <v>19</v>
      </c>
      <c r="AB268" s="72" t="s">
        <v>19</v>
      </c>
      <c r="AC268" s="72" t="s">
        <v>19</v>
      </c>
      <c r="AD268" s="70" t="s">
        <v>19</v>
      </c>
      <c r="AE268" s="15" t="s">
        <v>19</v>
      </c>
      <c r="AF268" s="18" t="s">
        <v>19</v>
      </c>
      <c r="AG268" s="29" t="s">
        <v>19</v>
      </c>
      <c r="AH268" s="29" t="s">
        <v>19</v>
      </c>
      <c r="AI268" s="18" t="s">
        <v>19</v>
      </c>
      <c r="AJ268" s="18" t="s">
        <v>19</v>
      </c>
      <c r="AK268" s="29" t="s">
        <v>19</v>
      </c>
      <c r="AL268" s="29" t="s">
        <v>19</v>
      </c>
      <c r="AM268" s="18" t="s">
        <v>19</v>
      </c>
      <c r="AN268" s="18" t="s">
        <v>19</v>
      </c>
      <c r="AO268" s="18" t="s">
        <v>19</v>
      </c>
      <c r="AP268" s="18" t="s">
        <v>19</v>
      </c>
      <c r="AQ268" s="18" t="s">
        <v>19</v>
      </c>
      <c r="AR268" s="18" t="s">
        <v>19</v>
      </c>
      <c r="AS268" s="18" t="s">
        <v>19</v>
      </c>
      <c r="AT268" s="18" t="s">
        <v>19</v>
      </c>
      <c r="AU268" s="29" t="s">
        <v>3153</v>
      </c>
      <c r="AV268" s="36" t="s">
        <v>19</v>
      </c>
    </row>
    <row r="269" spans="1:264" ht="40.5" hidden="1" customHeight="1" x14ac:dyDescent="0.3">
      <c r="A269" s="15" t="s">
        <v>25</v>
      </c>
      <c r="B269" s="15" t="s">
        <v>1292</v>
      </c>
      <c r="C269" s="15" t="s">
        <v>501</v>
      </c>
      <c r="D269" s="15" t="s">
        <v>19</v>
      </c>
      <c r="E269" s="18" t="s">
        <v>109</v>
      </c>
      <c r="F269" s="18" t="s">
        <v>109</v>
      </c>
      <c r="G269" s="18" t="s">
        <v>109</v>
      </c>
      <c r="H269" s="18" t="s">
        <v>109</v>
      </c>
      <c r="I269" s="72" t="s">
        <v>19</v>
      </c>
      <c r="J269" s="120" t="s">
        <v>3192</v>
      </c>
      <c r="K269" s="72" t="s">
        <v>19</v>
      </c>
      <c r="L269" s="72" t="s">
        <v>19</v>
      </c>
      <c r="M269" s="15" t="s">
        <v>502</v>
      </c>
      <c r="N269" s="4" t="s">
        <v>1235</v>
      </c>
      <c r="O269" s="15"/>
      <c r="P269" s="4" t="s">
        <v>1743</v>
      </c>
      <c r="S269" s="15" t="e" cm="1">
        <f t="array" aca="1" ref="S269" ca="1">COMMONMARKETCOUNT(H269:AV269)</f>
        <v>#NAME?</v>
      </c>
      <c r="T269" s="6" t="e" cm="1">
        <f t="array" aca="1" ref="T269" ca="1">AUTOMATEDCOUNT(H269:AV269)</f>
        <v>#NAME?</v>
      </c>
      <c r="V269" s="18" t="s">
        <v>109</v>
      </c>
      <c r="W269" s="18" t="s">
        <v>109</v>
      </c>
      <c r="X269" s="18" t="s">
        <v>109</v>
      </c>
      <c r="Y269" s="18" t="s">
        <v>109</v>
      </c>
      <c r="Z269" s="18" t="s">
        <v>109</v>
      </c>
      <c r="AA269" s="72" t="s">
        <v>19</v>
      </c>
      <c r="AB269" s="72" t="s">
        <v>19</v>
      </c>
      <c r="AC269" s="72" t="s">
        <v>19</v>
      </c>
      <c r="AD269" s="72" t="s">
        <v>19</v>
      </c>
      <c r="AE269" s="18" t="s">
        <v>19</v>
      </c>
      <c r="AF269" s="18" t="s">
        <v>19</v>
      </c>
      <c r="AG269" s="18" t="s">
        <v>19</v>
      </c>
      <c r="AH269" s="18" t="s">
        <v>19</v>
      </c>
      <c r="AI269" s="18" t="s">
        <v>19</v>
      </c>
      <c r="AJ269" s="18" t="s">
        <v>19</v>
      </c>
      <c r="AK269" s="18" t="s">
        <v>19</v>
      </c>
      <c r="AL269" s="18" t="s">
        <v>19</v>
      </c>
      <c r="AM269" s="18" t="s">
        <v>19</v>
      </c>
      <c r="AN269" s="18" t="s">
        <v>19</v>
      </c>
      <c r="AO269" s="18" t="s">
        <v>19</v>
      </c>
      <c r="AP269" s="18" t="s">
        <v>19</v>
      </c>
      <c r="AQ269" s="18" t="s">
        <v>19</v>
      </c>
      <c r="AR269" s="18" t="s">
        <v>19</v>
      </c>
      <c r="AS269" s="18" t="s">
        <v>19</v>
      </c>
      <c r="AT269" s="18" t="s">
        <v>19</v>
      </c>
      <c r="AU269" s="18" t="s">
        <v>3153</v>
      </c>
      <c r="AV269" s="36" t="s">
        <v>19</v>
      </c>
    </row>
    <row r="270" spans="1:264" ht="40.5" hidden="1" customHeight="1" x14ac:dyDescent="0.3">
      <c r="A270" s="15" t="s">
        <v>25</v>
      </c>
      <c r="B270" s="15" t="s">
        <v>1293</v>
      </c>
      <c r="C270" s="15" t="s">
        <v>503</v>
      </c>
      <c r="D270" s="15" t="s">
        <v>19</v>
      </c>
      <c r="E270" s="18" t="s">
        <v>109</v>
      </c>
      <c r="F270" s="18" t="s">
        <v>109</v>
      </c>
      <c r="G270" s="18" t="s">
        <v>109</v>
      </c>
      <c r="H270" s="18" t="s">
        <v>109</v>
      </c>
      <c r="I270" s="72" t="s">
        <v>19</v>
      </c>
      <c r="J270" s="72" t="s">
        <v>19</v>
      </c>
      <c r="K270" s="72" t="s">
        <v>19</v>
      </c>
      <c r="L270" s="29" t="s">
        <v>3204</v>
      </c>
      <c r="M270" s="15" t="s">
        <v>504</v>
      </c>
      <c r="N270" s="4" t="s">
        <v>1236</v>
      </c>
      <c r="O270" s="15"/>
      <c r="P270" s="4" t="s">
        <v>1744</v>
      </c>
      <c r="S270" s="15" t="e" cm="1">
        <f t="array" aca="1" ref="S270" ca="1">COMMONMARKETCOUNT(H270:AV270)</f>
        <v>#NAME?</v>
      </c>
      <c r="T270" s="6" t="e" cm="1">
        <f t="array" aca="1" ref="T270" ca="1">AUTOMATEDCOUNT(H270:AV270)</f>
        <v>#NAME?</v>
      </c>
      <c r="V270" s="18" t="s">
        <v>109</v>
      </c>
      <c r="W270" s="18" t="s">
        <v>109</v>
      </c>
      <c r="X270" s="18" t="s">
        <v>109</v>
      </c>
      <c r="Y270" s="18" t="s">
        <v>109</v>
      </c>
      <c r="Z270" s="18" t="s">
        <v>109</v>
      </c>
      <c r="AA270" s="72" t="s">
        <v>19</v>
      </c>
      <c r="AB270" s="72" t="s">
        <v>19</v>
      </c>
      <c r="AC270" s="72" t="s">
        <v>19</v>
      </c>
      <c r="AD270" s="72" t="s">
        <v>19</v>
      </c>
      <c r="AE270" s="18" t="s">
        <v>19</v>
      </c>
      <c r="AF270" s="18" t="s">
        <v>19</v>
      </c>
      <c r="AG270" s="18" t="s">
        <v>19</v>
      </c>
      <c r="AH270" s="18" t="s">
        <v>19</v>
      </c>
      <c r="AI270" s="18" t="s">
        <v>19</v>
      </c>
      <c r="AJ270" s="18" t="s">
        <v>19</v>
      </c>
      <c r="AK270" s="18" t="s">
        <v>19</v>
      </c>
      <c r="AL270" s="18" t="s">
        <v>19</v>
      </c>
      <c r="AM270" s="18" t="s">
        <v>19</v>
      </c>
      <c r="AN270" s="18" t="s">
        <v>19</v>
      </c>
      <c r="AO270" s="18" t="s">
        <v>19</v>
      </c>
      <c r="AP270" s="18" t="s">
        <v>19</v>
      </c>
      <c r="AQ270" s="18" t="s">
        <v>19</v>
      </c>
      <c r="AR270" s="18" t="s">
        <v>19</v>
      </c>
      <c r="AS270" s="18" t="s">
        <v>19</v>
      </c>
      <c r="AT270" s="18" t="s">
        <v>19</v>
      </c>
      <c r="AU270" s="18" t="s">
        <v>3153</v>
      </c>
      <c r="AV270" s="36" t="s">
        <v>19</v>
      </c>
    </row>
    <row r="271" spans="1:264" ht="40.5" hidden="1" customHeight="1" x14ac:dyDescent="0.3">
      <c r="A271" s="15" t="s">
        <v>25</v>
      </c>
      <c r="B271" s="15" t="s">
        <v>1293</v>
      </c>
      <c r="C271" s="15" t="s">
        <v>505</v>
      </c>
      <c r="D271" s="15" t="s">
        <v>19</v>
      </c>
      <c r="E271" s="18" t="s">
        <v>109</v>
      </c>
      <c r="F271" s="18" t="s">
        <v>109</v>
      </c>
      <c r="G271" s="18" t="s">
        <v>109</v>
      </c>
      <c r="H271" s="18" t="s">
        <v>109</v>
      </c>
      <c r="I271" s="72" t="s">
        <v>19</v>
      </c>
      <c r="J271" s="72" t="s">
        <v>19</v>
      </c>
      <c r="K271" s="72" t="s">
        <v>19</v>
      </c>
      <c r="L271" s="72" t="s">
        <v>19</v>
      </c>
      <c r="M271" s="15" t="s">
        <v>506</v>
      </c>
      <c r="N271" s="4" t="s">
        <v>1237</v>
      </c>
      <c r="O271" s="15"/>
      <c r="P271" s="4" t="s">
        <v>1745</v>
      </c>
      <c r="S271" s="15" t="e" cm="1">
        <f t="array" aca="1" ref="S271" ca="1">COMMONMARKETCOUNT(H271:AV271)</f>
        <v>#NAME?</v>
      </c>
      <c r="T271" s="6" t="e" cm="1">
        <f t="array" aca="1" ref="T271" ca="1">AUTOMATEDCOUNT(H271:AV271)</f>
        <v>#NAME?</v>
      </c>
      <c r="V271" s="18" t="s">
        <v>109</v>
      </c>
      <c r="W271" s="18" t="s">
        <v>109</v>
      </c>
      <c r="X271" s="18" t="s">
        <v>109</v>
      </c>
      <c r="Y271" s="18" t="s">
        <v>109</v>
      </c>
      <c r="Z271" s="18" t="s">
        <v>109</v>
      </c>
      <c r="AA271" s="72" t="s">
        <v>19</v>
      </c>
      <c r="AB271" s="72" t="s">
        <v>19</v>
      </c>
      <c r="AC271" s="72" t="s">
        <v>19</v>
      </c>
      <c r="AD271" s="72" t="s">
        <v>19</v>
      </c>
      <c r="AE271" s="18" t="s">
        <v>19</v>
      </c>
      <c r="AF271" s="18" t="s">
        <v>19</v>
      </c>
      <c r="AG271" s="18" t="s">
        <v>19</v>
      </c>
      <c r="AH271" s="18" t="s">
        <v>19</v>
      </c>
      <c r="AI271" s="18" t="s">
        <v>19</v>
      </c>
      <c r="AJ271" s="18" t="s">
        <v>19</v>
      </c>
      <c r="AK271" s="18" t="s">
        <v>19</v>
      </c>
      <c r="AL271" s="18" t="s">
        <v>19</v>
      </c>
      <c r="AM271" s="18" t="s">
        <v>19</v>
      </c>
      <c r="AN271" s="18" t="s">
        <v>19</v>
      </c>
      <c r="AO271" s="18" t="s">
        <v>19</v>
      </c>
      <c r="AP271" s="18" t="s">
        <v>19</v>
      </c>
      <c r="AQ271" s="18" t="s">
        <v>19</v>
      </c>
      <c r="AR271" s="18" t="s">
        <v>19</v>
      </c>
      <c r="AS271" s="18" t="s">
        <v>19</v>
      </c>
      <c r="AT271" s="18" t="s">
        <v>19</v>
      </c>
      <c r="AU271" s="18" t="s">
        <v>3153</v>
      </c>
      <c r="AV271" s="36" t="s">
        <v>19</v>
      </c>
    </row>
    <row r="272" spans="1:264" ht="40.5" hidden="1" customHeight="1" x14ac:dyDescent="0.3">
      <c r="A272" s="15" t="s">
        <v>25</v>
      </c>
      <c r="B272" s="15" t="s">
        <v>1294</v>
      </c>
      <c r="C272" s="15" t="s">
        <v>507</v>
      </c>
      <c r="D272" s="15" t="s">
        <v>32</v>
      </c>
      <c r="E272" s="18" t="s">
        <v>109</v>
      </c>
      <c r="F272" s="18" t="s">
        <v>109</v>
      </c>
      <c r="G272" s="18" t="s">
        <v>109</v>
      </c>
      <c r="H272" s="18" t="s">
        <v>109</v>
      </c>
      <c r="I272" s="18" t="s">
        <v>109</v>
      </c>
      <c r="J272" s="18" t="s">
        <v>109</v>
      </c>
      <c r="K272" s="18" t="s">
        <v>109</v>
      </c>
      <c r="L272" s="18" t="s">
        <v>109</v>
      </c>
      <c r="M272" s="15" t="s">
        <v>508</v>
      </c>
      <c r="N272" s="4" t="s">
        <v>1238</v>
      </c>
      <c r="O272" s="15"/>
      <c r="P272" s="4" t="s">
        <v>1542</v>
      </c>
      <c r="S272" s="15" t="e" cm="1">
        <f t="array" aca="1" ref="S272" ca="1">COMMONMARKETCOUNT(H272:AV272)</f>
        <v>#NAME?</v>
      </c>
      <c r="T272" s="6" t="e" cm="1">
        <f t="array" aca="1" ref="T272" ca="1">AUTOMATEDCOUNT(H272:AV272)</f>
        <v>#NAME?</v>
      </c>
      <c r="V272" s="18" t="s">
        <v>109</v>
      </c>
      <c r="W272" s="18" t="s">
        <v>109</v>
      </c>
      <c r="X272" s="18" t="s">
        <v>109</v>
      </c>
      <c r="Y272" s="18" t="s">
        <v>109</v>
      </c>
      <c r="Z272" s="18" t="s">
        <v>109</v>
      </c>
      <c r="AA272" s="18" t="s">
        <v>109</v>
      </c>
      <c r="AB272" s="18" t="s">
        <v>109</v>
      </c>
      <c r="AC272" s="18" t="s">
        <v>109</v>
      </c>
      <c r="AD272" s="18" t="s">
        <v>19</v>
      </c>
      <c r="AE272" s="18" t="s">
        <v>19</v>
      </c>
      <c r="AF272" s="18" t="s">
        <v>109</v>
      </c>
      <c r="AG272" s="18" t="s">
        <v>109</v>
      </c>
      <c r="AH272" s="18" t="s">
        <v>109</v>
      </c>
      <c r="AI272" s="18" t="s">
        <v>109</v>
      </c>
      <c r="AJ272" s="18" t="s">
        <v>109</v>
      </c>
      <c r="AK272" s="18" t="s">
        <v>109</v>
      </c>
      <c r="AL272" s="18" t="s">
        <v>109</v>
      </c>
      <c r="AM272" s="18" t="s">
        <v>109</v>
      </c>
      <c r="AN272" s="18" t="s">
        <v>109</v>
      </c>
      <c r="AO272" s="18" t="s">
        <v>109</v>
      </c>
      <c r="AP272" s="18" t="s">
        <v>109</v>
      </c>
      <c r="AQ272" s="18" t="s">
        <v>109</v>
      </c>
      <c r="AR272" s="18" t="s">
        <v>109</v>
      </c>
      <c r="AS272" s="18" t="s">
        <v>109</v>
      </c>
      <c r="AT272" s="18" t="s">
        <v>109</v>
      </c>
      <c r="AU272" s="18" t="s">
        <v>109</v>
      </c>
      <c r="AV272" s="36" t="s">
        <v>109</v>
      </c>
      <c r="AW272" s="5"/>
      <c r="AX272" s="5"/>
      <c r="AY272" s="5"/>
      <c r="AZ272" s="5"/>
      <c r="BA272" s="5"/>
      <c r="BB272" s="5"/>
      <c r="BC272" s="5"/>
      <c r="BD272" s="5"/>
      <c r="BE272" s="5"/>
      <c r="BF272" s="5"/>
      <c r="BG272" s="5"/>
      <c r="BH272" s="5"/>
      <c r="BI272" s="5"/>
      <c r="BJ272" s="5"/>
      <c r="BK272" s="5"/>
      <c r="BL272" s="5"/>
      <c r="BM272" s="5"/>
      <c r="BN272" s="5"/>
      <c r="BO272" s="5"/>
      <c r="BP272" s="5"/>
      <c r="BQ272" s="5"/>
      <c r="BR272" s="5"/>
      <c r="BS272" s="5"/>
      <c r="BT272" s="5"/>
      <c r="BU272" s="5"/>
      <c r="BV272" s="5"/>
      <c r="BW272" s="5"/>
      <c r="BX272" s="5"/>
      <c r="BY272" s="5"/>
      <c r="BZ272" s="5"/>
      <c r="CA272" s="5"/>
      <c r="CB272" s="5"/>
      <c r="CC272" s="5"/>
      <c r="CD272" s="5"/>
      <c r="CE272" s="5"/>
      <c r="CF272" s="5"/>
      <c r="CG272" s="5"/>
      <c r="CH272" s="5"/>
      <c r="CI272" s="5"/>
      <c r="CJ272" s="5"/>
      <c r="CK272" s="5"/>
      <c r="CL272" s="5"/>
      <c r="CM272" s="5"/>
      <c r="CN272" s="5"/>
      <c r="CO272" s="5"/>
      <c r="CP272" s="5"/>
      <c r="CQ272" s="5"/>
      <c r="CR272" s="5"/>
      <c r="CS272" s="5"/>
      <c r="CT272" s="5"/>
      <c r="CU272" s="5"/>
      <c r="CV272" s="5"/>
      <c r="CW272" s="5"/>
      <c r="CX272" s="5"/>
      <c r="CY272" s="5"/>
      <c r="CZ272" s="5"/>
      <c r="DA272" s="5"/>
      <c r="DB272" s="5"/>
      <c r="DC272" s="5"/>
      <c r="DD272" s="5"/>
      <c r="DE272" s="5"/>
      <c r="DF272" s="5"/>
      <c r="DG272" s="5"/>
      <c r="DH272" s="5"/>
      <c r="DI272" s="5"/>
      <c r="DJ272" s="5"/>
      <c r="DK272" s="5"/>
      <c r="DL272" s="5"/>
      <c r="DM272" s="5"/>
      <c r="DN272" s="5"/>
      <c r="DO272" s="5"/>
      <c r="DP272" s="5"/>
      <c r="DQ272" s="5"/>
      <c r="DR272" s="5"/>
      <c r="DS272" s="5"/>
      <c r="DT272" s="5"/>
      <c r="DU272" s="5"/>
      <c r="DV272" s="5"/>
      <c r="DW272" s="5"/>
      <c r="DX272" s="5"/>
      <c r="DY272" s="5"/>
      <c r="DZ272" s="5"/>
      <c r="EA272" s="5"/>
      <c r="EB272" s="5"/>
      <c r="EC272" s="5"/>
      <c r="ED272" s="5"/>
      <c r="EE272" s="5"/>
      <c r="EF272" s="5"/>
      <c r="EG272" s="5"/>
      <c r="EH272" s="5"/>
      <c r="EI272" s="5"/>
      <c r="EJ272" s="5"/>
      <c r="EK272" s="5"/>
      <c r="EL272" s="5"/>
      <c r="EM272" s="5"/>
      <c r="EN272" s="5"/>
      <c r="EO272" s="5"/>
      <c r="EP272" s="5"/>
      <c r="EQ272" s="5"/>
      <c r="ER272" s="5"/>
      <c r="ES272" s="5"/>
      <c r="ET272" s="5"/>
      <c r="EU272" s="5"/>
      <c r="EV272" s="5"/>
      <c r="EW272" s="5"/>
      <c r="EX272" s="5"/>
      <c r="EY272" s="5"/>
      <c r="EZ272" s="5"/>
      <c r="FA272" s="5"/>
      <c r="FB272" s="5"/>
      <c r="FC272" s="5"/>
      <c r="FD272" s="5"/>
      <c r="FE272" s="5"/>
      <c r="FF272" s="5"/>
      <c r="FG272" s="5"/>
      <c r="FH272" s="5"/>
      <c r="FI272" s="5"/>
      <c r="FJ272" s="5"/>
      <c r="FK272" s="5"/>
      <c r="FL272" s="5"/>
      <c r="FM272" s="5"/>
      <c r="FN272" s="5"/>
      <c r="FO272" s="5"/>
      <c r="FP272" s="5"/>
      <c r="FQ272" s="5"/>
      <c r="FR272" s="5"/>
      <c r="FS272" s="5"/>
      <c r="FT272" s="5"/>
      <c r="FU272" s="5"/>
      <c r="FV272" s="5"/>
      <c r="FW272" s="5"/>
      <c r="FX272" s="5"/>
      <c r="FY272" s="5"/>
      <c r="FZ272" s="5"/>
      <c r="GA272" s="5"/>
      <c r="GB272" s="5"/>
      <c r="GC272" s="5"/>
      <c r="GD272" s="5"/>
      <c r="GE272" s="5"/>
      <c r="GF272" s="5"/>
      <c r="GG272" s="5"/>
      <c r="GH272" s="5"/>
      <c r="GI272" s="5"/>
      <c r="GJ272" s="5"/>
      <c r="GK272" s="5"/>
      <c r="GL272" s="5"/>
      <c r="GM272" s="5"/>
      <c r="GN272" s="5"/>
      <c r="GO272" s="5"/>
      <c r="GP272" s="5"/>
      <c r="GQ272" s="5"/>
      <c r="GR272" s="5"/>
      <c r="GS272" s="5"/>
      <c r="GT272" s="5"/>
      <c r="GU272" s="5"/>
      <c r="GV272" s="5"/>
      <c r="GW272" s="5"/>
      <c r="GX272" s="5"/>
      <c r="GY272" s="5"/>
      <c r="GZ272" s="5"/>
      <c r="HA272" s="5"/>
      <c r="HB272" s="5"/>
      <c r="HC272" s="5"/>
      <c r="HD272" s="5"/>
      <c r="HE272" s="5"/>
      <c r="HF272" s="5"/>
      <c r="HG272" s="5"/>
      <c r="HH272" s="5"/>
      <c r="HI272" s="5"/>
      <c r="HJ272" s="5"/>
      <c r="HK272" s="5"/>
      <c r="HL272" s="5"/>
      <c r="HM272" s="5"/>
      <c r="HN272" s="5"/>
      <c r="HO272" s="5"/>
      <c r="HP272" s="5"/>
      <c r="HQ272" s="5"/>
      <c r="HR272" s="5"/>
      <c r="HS272" s="5"/>
      <c r="HT272" s="5"/>
      <c r="HU272" s="5"/>
      <c r="HV272" s="5"/>
      <c r="HW272" s="5"/>
      <c r="HX272" s="5"/>
      <c r="HY272" s="5"/>
      <c r="HZ272" s="5"/>
      <c r="IA272" s="5"/>
      <c r="IB272" s="5"/>
      <c r="IC272" s="5"/>
      <c r="ID272" s="5"/>
      <c r="IE272" s="5"/>
      <c r="IF272" s="5"/>
      <c r="IG272" s="5"/>
      <c r="IH272" s="5"/>
      <c r="II272" s="5"/>
      <c r="IJ272" s="5"/>
      <c r="IK272" s="5"/>
      <c r="IL272" s="5"/>
      <c r="IM272" s="5"/>
      <c r="IN272" s="5"/>
      <c r="IO272" s="5"/>
      <c r="IP272" s="5"/>
      <c r="IQ272" s="5"/>
      <c r="IR272" s="5"/>
      <c r="IS272" s="5"/>
      <c r="IT272" s="5"/>
      <c r="IU272" s="5"/>
      <c r="IV272" s="5"/>
      <c r="IW272" s="5"/>
      <c r="IX272" s="5"/>
      <c r="IY272" s="5"/>
      <c r="IZ272" s="5"/>
      <c r="JA272" s="5"/>
      <c r="JB272" s="5"/>
      <c r="JC272" s="5"/>
      <c r="JD272" s="5"/>
    </row>
    <row r="273" spans="1:264" ht="54" hidden="1" customHeight="1" x14ac:dyDescent="0.3">
      <c r="A273" s="15" t="s">
        <v>25</v>
      </c>
      <c r="B273" s="15" t="s">
        <v>1294</v>
      </c>
      <c r="C273" s="15" t="s">
        <v>509</v>
      </c>
      <c r="D273" s="15" t="s">
        <v>32</v>
      </c>
      <c r="E273" s="18" t="s">
        <v>109</v>
      </c>
      <c r="F273" s="18" t="s">
        <v>109</v>
      </c>
      <c r="G273" s="18" t="s">
        <v>109</v>
      </c>
      <c r="H273" s="18" t="s">
        <v>109</v>
      </c>
      <c r="I273" s="18" t="s">
        <v>109</v>
      </c>
      <c r="J273" s="18" t="s">
        <v>109</v>
      </c>
      <c r="K273" s="18" t="s">
        <v>109</v>
      </c>
      <c r="L273" s="18" t="s">
        <v>109</v>
      </c>
      <c r="M273" s="15" t="s">
        <v>510</v>
      </c>
      <c r="N273" s="4" t="s">
        <v>1239</v>
      </c>
      <c r="O273" s="15"/>
      <c r="P273" s="4" t="s">
        <v>1543</v>
      </c>
      <c r="S273" s="15" t="e" cm="1">
        <f t="array" aca="1" ref="S273" ca="1">COMMONMARKETCOUNT(H273:AV273)</f>
        <v>#NAME?</v>
      </c>
      <c r="T273" s="6" t="e" cm="1">
        <f t="array" aca="1" ref="T273" ca="1">AUTOMATEDCOUNT(H273:AV273)</f>
        <v>#NAME?</v>
      </c>
      <c r="V273" s="18" t="s">
        <v>109</v>
      </c>
      <c r="W273" s="18" t="s">
        <v>109</v>
      </c>
      <c r="X273" s="18" t="s">
        <v>109</v>
      </c>
      <c r="Y273" s="18" t="s">
        <v>109</v>
      </c>
      <c r="Z273" s="18" t="s">
        <v>109</v>
      </c>
      <c r="AA273" s="18" t="s">
        <v>109</v>
      </c>
      <c r="AB273" s="18" t="s">
        <v>109</v>
      </c>
      <c r="AC273" s="18" t="s">
        <v>109</v>
      </c>
      <c r="AD273" s="18" t="s">
        <v>109</v>
      </c>
      <c r="AE273" s="18" t="s">
        <v>109</v>
      </c>
      <c r="AF273" s="18" t="s">
        <v>109</v>
      </c>
      <c r="AG273" s="18" t="s">
        <v>109</v>
      </c>
      <c r="AH273" s="18" t="s">
        <v>109</v>
      </c>
      <c r="AI273" s="18" t="s">
        <v>109</v>
      </c>
      <c r="AJ273" s="18" t="s">
        <v>109</v>
      </c>
      <c r="AK273" s="18" t="s">
        <v>109</v>
      </c>
      <c r="AL273" s="18" t="s">
        <v>109</v>
      </c>
      <c r="AM273" s="18" t="s">
        <v>109</v>
      </c>
      <c r="AN273" s="18" t="s">
        <v>109</v>
      </c>
      <c r="AO273" s="18" t="s">
        <v>109</v>
      </c>
      <c r="AP273" s="18" t="s">
        <v>109</v>
      </c>
      <c r="AQ273" s="18" t="s">
        <v>109</v>
      </c>
      <c r="AR273" s="18" t="s">
        <v>109</v>
      </c>
      <c r="AS273" s="18" t="s">
        <v>109</v>
      </c>
      <c r="AT273" s="18" t="s">
        <v>109</v>
      </c>
      <c r="AU273" s="18" t="s">
        <v>109</v>
      </c>
      <c r="AV273" s="36" t="s">
        <v>109</v>
      </c>
    </row>
    <row r="274" spans="1:264" ht="93.75" hidden="1" customHeight="1" x14ac:dyDescent="0.3">
      <c r="A274" s="15" t="s">
        <v>18</v>
      </c>
      <c r="B274" s="15" t="s">
        <v>1297</v>
      </c>
      <c r="C274" s="15" t="s">
        <v>512</v>
      </c>
      <c r="D274" s="15" t="s">
        <v>32</v>
      </c>
      <c r="E274" s="18" t="s">
        <v>109</v>
      </c>
      <c r="F274" s="18" t="s">
        <v>109</v>
      </c>
      <c r="G274" s="18" t="s">
        <v>109</v>
      </c>
      <c r="H274" s="18" t="s">
        <v>109</v>
      </c>
      <c r="I274" s="18" t="s">
        <v>109</v>
      </c>
      <c r="J274" s="18" t="s">
        <v>109</v>
      </c>
      <c r="K274" s="18" t="s">
        <v>109</v>
      </c>
      <c r="L274" s="18" t="s">
        <v>109</v>
      </c>
      <c r="M274" s="15" t="s">
        <v>2919</v>
      </c>
      <c r="N274" s="4" t="s">
        <v>511</v>
      </c>
      <c r="O274" s="15"/>
      <c r="P274" s="4" t="s">
        <v>3081</v>
      </c>
      <c r="S274" s="15" t="e" cm="1">
        <f t="array" aca="1" ref="S274" ca="1">COMMONMARKETCOUNT(H274:AV274)</f>
        <v>#NAME?</v>
      </c>
      <c r="T274" s="6" t="e" cm="1">
        <f t="array" aca="1" ref="T274" ca="1">AUTOMATEDCOUNT(H274:AV274)</f>
        <v>#NAME?</v>
      </c>
      <c r="V274" s="18" t="s">
        <v>109</v>
      </c>
      <c r="W274" s="18" t="s">
        <v>109</v>
      </c>
      <c r="X274" s="18" t="s">
        <v>109</v>
      </c>
      <c r="Y274" s="18" t="s">
        <v>109</v>
      </c>
      <c r="Z274" s="18" t="s">
        <v>109</v>
      </c>
      <c r="AA274" s="18" t="s">
        <v>109</v>
      </c>
      <c r="AB274" s="18" t="s">
        <v>109</v>
      </c>
      <c r="AC274" s="18" t="s">
        <v>109</v>
      </c>
      <c r="AD274" s="18" t="s">
        <v>109</v>
      </c>
      <c r="AE274" s="18" t="s">
        <v>109</v>
      </c>
      <c r="AF274" s="18" t="s">
        <v>109</v>
      </c>
      <c r="AG274" s="18" t="s">
        <v>109</v>
      </c>
      <c r="AH274" s="18" t="s">
        <v>109</v>
      </c>
      <c r="AI274" s="18" t="s">
        <v>109</v>
      </c>
      <c r="AJ274" s="18" t="s">
        <v>109</v>
      </c>
      <c r="AK274" s="18" t="s">
        <v>109</v>
      </c>
      <c r="AL274" s="18" t="s">
        <v>109</v>
      </c>
      <c r="AM274" s="18" t="s">
        <v>109</v>
      </c>
      <c r="AN274" s="18" t="s">
        <v>109</v>
      </c>
      <c r="AO274" s="18" t="s">
        <v>109</v>
      </c>
      <c r="AP274" s="18" t="s">
        <v>109</v>
      </c>
      <c r="AQ274" s="18" t="s">
        <v>109</v>
      </c>
      <c r="AR274" s="18" t="s">
        <v>109</v>
      </c>
      <c r="AS274" s="18" t="s">
        <v>109</v>
      </c>
      <c r="AT274" s="18" t="s">
        <v>109</v>
      </c>
      <c r="AU274" s="18" t="s">
        <v>109</v>
      </c>
      <c r="AV274" s="36" t="s">
        <v>109</v>
      </c>
    </row>
    <row r="275" spans="1:264" ht="119.25" hidden="1" customHeight="1" x14ac:dyDescent="0.3">
      <c r="A275" s="15" t="s">
        <v>56</v>
      </c>
      <c r="B275" s="15" t="s">
        <v>1299</v>
      </c>
      <c r="C275" s="15" t="s">
        <v>513</v>
      </c>
      <c r="D275" s="15" t="s">
        <v>32</v>
      </c>
      <c r="E275" s="18" t="s">
        <v>109</v>
      </c>
      <c r="F275" s="18" t="s">
        <v>109</v>
      </c>
      <c r="G275" s="18" t="s">
        <v>109</v>
      </c>
      <c r="H275" s="18" t="s">
        <v>109</v>
      </c>
      <c r="I275" s="18" t="s">
        <v>109</v>
      </c>
      <c r="J275" s="18" t="s">
        <v>109</v>
      </c>
      <c r="K275" s="18" t="s">
        <v>109</v>
      </c>
      <c r="L275" s="18" t="s">
        <v>109</v>
      </c>
      <c r="M275" s="15" t="s">
        <v>2920</v>
      </c>
      <c r="N275" s="4" t="s">
        <v>1240</v>
      </c>
      <c r="O275" s="15"/>
      <c r="P275" s="4" t="s">
        <v>1589</v>
      </c>
      <c r="S275" s="15" t="e" cm="1">
        <f t="array" aca="1" ref="S275" ca="1">COMMONMARKETCOUNT(H275:AV275)</f>
        <v>#NAME?</v>
      </c>
      <c r="T275" s="6" t="e" cm="1">
        <f t="array" aca="1" ref="T275" ca="1">AUTOMATEDCOUNT(H275:AV275)</f>
        <v>#NAME?</v>
      </c>
      <c r="V275" s="18" t="s">
        <v>109</v>
      </c>
      <c r="W275" s="18" t="s">
        <v>109</v>
      </c>
      <c r="X275" s="18" t="s">
        <v>109</v>
      </c>
      <c r="Y275" s="18" t="s">
        <v>109</v>
      </c>
      <c r="Z275" s="18" t="s">
        <v>109</v>
      </c>
      <c r="AA275" s="18" t="s">
        <v>109</v>
      </c>
      <c r="AB275" s="18" t="s">
        <v>109</v>
      </c>
      <c r="AC275" s="18" t="s">
        <v>109</v>
      </c>
      <c r="AD275" s="18" t="s">
        <v>109</v>
      </c>
      <c r="AE275" s="18" t="s">
        <v>109</v>
      </c>
      <c r="AF275" s="18" t="s">
        <v>109</v>
      </c>
      <c r="AG275" s="18" t="s">
        <v>109</v>
      </c>
      <c r="AH275" s="18" t="s">
        <v>109</v>
      </c>
      <c r="AI275" s="18" t="s">
        <v>109</v>
      </c>
      <c r="AJ275" s="18" t="s">
        <v>109</v>
      </c>
      <c r="AK275" s="18" t="s">
        <v>109</v>
      </c>
      <c r="AL275" s="18" t="s">
        <v>109</v>
      </c>
      <c r="AM275" s="18" t="s">
        <v>109</v>
      </c>
      <c r="AN275" s="18" t="s">
        <v>109</v>
      </c>
      <c r="AO275" s="18" t="s">
        <v>109</v>
      </c>
      <c r="AP275" s="18" t="s">
        <v>109</v>
      </c>
      <c r="AQ275" s="18" t="s">
        <v>109</v>
      </c>
      <c r="AR275" s="18" t="s">
        <v>109</v>
      </c>
      <c r="AS275" s="18" t="s">
        <v>109</v>
      </c>
      <c r="AT275" s="18" t="s">
        <v>109</v>
      </c>
      <c r="AU275" s="18" t="s">
        <v>109</v>
      </c>
      <c r="AV275" s="36" t="s">
        <v>109</v>
      </c>
    </row>
    <row r="276" spans="1:264" ht="40.5" hidden="1" customHeight="1" x14ac:dyDescent="0.3">
      <c r="A276" s="15" t="s">
        <v>25</v>
      </c>
      <c r="B276" s="15" t="s">
        <v>1295</v>
      </c>
      <c r="C276" s="15" t="s">
        <v>515</v>
      </c>
      <c r="D276" s="15" t="s">
        <v>32</v>
      </c>
      <c r="E276" s="18" t="s">
        <v>109</v>
      </c>
      <c r="F276" s="18" t="s">
        <v>109</v>
      </c>
      <c r="G276" s="18" t="s">
        <v>109</v>
      </c>
      <c r="H276" s="18" t="s">
        <v>109</v>
      </c>
      <c r="I276" s="18" t="s">
        <v>109</v>
      </c>
      <c r="J276" s="18" t="s">
        <v>109</v>
      </c>
      <c r="K276" s="18" t="s">
        <v>109</v>
      </c>
      <c r="L276" s="18" t="s">
        <v>109</v>
      </c>
      <c r="M276" s="15" t="s">
        <v>2921</v>
      </c>
      <c r="N276" s="4" t="s">
        <v>514</v>
      </c>
      <c r="O276" s="15"/>
      <c r="P276" s="4" t="s">
        <v>1544</v>
      </c>
      <c r="S276" s="15" t="e" cm="1">
        <f t="array" aca="1" ref="S276" ca="1">COMMONMARKETCOUNT(H276:AV276)</f>
        <v>#NAME?</v>
      </c>
      <c r="T276" s="6" t="e" cm="1">
        <f t="array" aca="1" ref="T276" ca="1">AUTOMATEDCOUNT(H276:AV276)</f>
        <v>#NAME?</v>
      </c>
      <c r="V276" s="18" t="s">
        <v>109</v>
      </c>
      <c r="W276" s="18" t="s">
        <v>109</v>
      </c>
      <c r="X276" s="18" t="s">
        <v>109</v>
      </c>
      <c r="Y276" s="18" t="s">
        <v>109</v>
      </c>
      <c r="Z276" s="18" t="s">
        <v>109</v>
      </c>
      <c r="AA276" s="18" t="s">
        <v>109</v>
      </c>
      <c r="AB276" s="18" t="s">
        <v>109</v>
      </c>
      <c r="AC276" s="18" t="s">
        <v>109</v>
      </c>
      <c r="AD276" s="18" t="s">
        <v>109</v>
      </c>
      <c r="AE276" s="18" t="s">
        <v>109</v>
      </c>
      <c r="AF276" s="18" t="s">
        <v>109</v>
      </c>
      <c r="AG276" s="18" t="s">
        <v>109</v>
      </c>
      <c r="AH276" s="18" t="s">
        <v>109</v>
      </c>
      <c r="AI276" s="18" t="s">
        <v>109</v>
      </c>
      <c r="AJ276" s="18" t="s">
        <v>109</v>
      </c>
      <c r="AK276" s="18" t="s">
        <v>109</v>
      </c>
      <c r="AL276" s="18" t="s">
        <v>109</v>
      </c>
      <c r="AM276" s="18" t="s">
        <v>109</v>
      </c>
      <c r="AN276" s="18" t="s">
        <v>109</v>
      </c>
      <c r="AO276" s="18" t="s">
        <v>109</v>
      </c>
      <c r="AP276" s="18" t="s">
        <v>109</v>
      </c>
      <c r="AQ276" s="18" t="s">
        <v>109</v>
      </c>
      <c r="AR276" s="18" t="s">
        <v>109</v>
      </c>
      <c r="AS276" s="18" t="s">
        <v>109</v>
      </c>
      <c r="AT276" s="18" t="s">
        <v>109</v>
      </c>
      <c r="AU276" s="18" t="s">
        <v>109</v>
      </c>
      <c r="AV276" s="36" t="s">
        <v>109</v>
      </c>
    </row>
    <row r="277" spans="1:264" ht="62.25" hidden="1" customHeight="1" x14ac:dyDescent="0.3">
      <c r="A277" s="15" t="s">
        <v>682</v>
      </c>
      <c r="B277" s="4" t="s">
        <v>811</v>
      </c>
      <c r="C277" s="4" t="s">
        <v>1908</v>
      </c>
      <c r="D277" s="6" t="s">
        <v>32</v>
      </c>
      <c r="E277" s="6" t="s">
        <v>19</v>
      </c>
      <c r="F277" s="6" t="s">
        <v>19</v>
      </c>
      <c r="G277" s="6" t="s">
        <v>19</v>
      </c>
      <c r="H277" s="6" t="s">
        <v>19</v>
      </c>
      <c r="I277" s="6" t="s">
        <v>19</v>
      </c>
      <c r="J277" s="6" t="s">
        <v>19</v>
      </c>
      <c r="K277" s="6" t="s">
        <v>19</v>
      </c>
      <c r="L277" s="6" t="s">
        <v>19</v>
      </c>
      <c r="M277" s="15" t="s">
        <v>2922</v>
      </c>
      <c r="N277" s="4" t="s">
        <v>516</v>
      </c>
      <c r="O277" s="4"/>
      <c r="P277" s="4" t="s">
        <v>1909</v>
      </c>
      <c r="S277" s="15" t="e" cm="1">
        <f t="array" aca="1" ref="S277" ca="1">COMMONMARKETCOUNT(H277:AV277)</f>
        <v>#NAME?</v>
      </c>
      <c r="T277" s="6" t="e" cm="1">
        <f t="array" aca="1" ref="T277" ca="1">AUTOMATEDCOUNT(H277:AV277)</f>
        <v>#NAME?</v>
      </c>
      <c r="V277" s="6" t="s">
        <v>19</v>
      </c>
      <c r="W277" s="6" t="s">
        <v>19</v>
      </c>
      <c r="X277" s="6" t="s">
        <v>19</v>
      </c>
      <c r="Y277" s="6" t="s">
        <v>19</v>
      </c>
      <c r="Z277" s="6" t="s">
        <v>19</v>
      </c>
      <c r="AA277" s="6" t="s">
        <v>19</v>
      </c>
      <c r="AB277" s="6" t="s">
        <v>19</v>
      </c>
      <c r="AC277" s="6" t="s">
        <v>19</v>
      </c>
      <c r="AD277" s="18" t="s">
        <v>109</v>
      </c>
      <c r="AE277" s="18" t="s">
        <v>109</v>
      </c>
      <c r="AF277" s="6" t="s">
        <v>19</v>
      </c>
      <c r="AG277" s="6" t="s">
        <v>19</v>
      </c>
      <c r="AH277" s="6" t="s">
        <v>19</v>
      </c>
      <c r="AI277" s="6" t="s">
        <v>19</v>
      </c>
      <c r="AJ277" s="6" t="s">
        <v>19</v>
      </c>
      <c r="AK277" s="6" t="s">
        <v>19</v>
      </c>
      <c r="AL277" s="6" t="s">
        <v>19</v>
      </c>
      <c r="AM277" s="6" t="s">
        <v>19</v>
      </c>
      <c r="AN277" s="6" t="s">
        <v>19</v>
      </c>
      <c r="AO277" s="6" t="s">
        <v>19</v>
      </c>
      <c r="AP277" s="6" t="s">
        <v>19</v>
      </c>
      <c r="AQ277" s="6" t="s">
        <v>19</v>
      </c>
      <c r="AR277" s="6" t="s">
        <v>19</v>
      </c>
      <c r="AS277" s="6" t="s">
        <v>19</v>
      </c>
      <c r="AT277" s="6" t="s">
        <v>19</v>
      </c>
      <c r="AU277" s="6" t="s">
        <v>3153</v>
      </c>
      <c r="AV277" s="36" t="s">
        <v>19</v>
      </c>
    </row>
    <row r="278" spans="1:264" ht="40.5" hidden="1" customHeight="1" x14ac:dyDescent="0.3">
      <c r="A278" s="15" t="s">
        <v>56</v>
      </c>
      <c r="B278" s="15" t="s">
        <v>1300</v>
      </c>
      <c r="C278" s="15" t="s">
        <v>517</v>
      </c>
      <c r="D278" s="15" t="s">
        <v>19</v>
      </c>
      <c r="E278" s="18" t="s">
        <v>109</v>
      </c>
      <c r="F278" s="18" t="s">
        <v>109</v>
      </c>
      <c r="G278" s="18" t="s">
        <v>109</v>
      </c>
      <c r="H278" s="18" t="s">
        <v>109</v>
      </c>
      <c r="I278" s="18" t="s">
        <v>19</v>
      </c>
      <c r="J278" s="18" t="s">
        <v>19</v>
      </c>
      <c r="K278" s="29" t="s">
        <v>19</v>
      </c>
      <c r="L278" s="29" t="s">
        <v>19</v>
      </c>
      <c r="M278" s="15" t="s">
        <v>518</v>
      </c>
      <c r="N278" s="4" t="s">
        <v>518</v>
      </c>
      <c r="O278" s="15"/>
      <c r="P278" s="4" t="s">
        <v>3082</v>
      </c>
      <c r="S278" s="15" t="e" cm="1">
        <f t="array" aca="1" ref="S278" ca="1">COMMONMARKETCOUNT(H278:AV278)</f>
        <v>#NAME?</v>
      </c>
      <c r="T278" s="6" t="e" cm="1">
        <f t="array" aca="1" ref="T278" ca="1">AUTOMATEDCOUNT(H278:AV278)</f>
        <v>#NAME?</v>
      </c>
      <c r="V278" s="18" t="s">
        <v>109</v>
      </c>
      <c r="W278" s="18" t="s">
        <v>109</v>
      </c>
      <c r="X278" s="18" t="s">
        <v>109</v>
      </c>
      <c r="Y278" s="18" t="s">
        <v>109</v>
      </c>
      <c r="Z278" s="18" t="s">
        <v>109</v>
      </c>
      <c r="AA278" s="18" t="s">
        <v>19</v>
      </c>
      <c r="AB278" s="18" t="s">
        <v>19</v>
      </c>
      <c r="AC278" s="18" t="s">
        <v>19</v>
      </c>
      <c r="AD278" s="6" t="s">
        <v>19</v>
      </c>
      <c r="AE278" s="6" t="s">
        <v>19</v>
      </c>
      <c r="AF278" s="18" t="s">
        <v>19</v>
      </c>
      <c r="AG278" s="18" t="s">
        <v>19</v>
      </c>
      <c r="AH278" s="18" t="s">
        <v>19</v>
      </c>
      <c r="AI278" s="18" t="s">
        <v>19</v>
      </c>
      <c r="AJ278" s="18" t="s">
        <v>19</v>
      </c>
      <c r="AK278" s="18" t="s">
        <v>19</v>
      </c>
      <c r="AL278" s="18" t="s">
        <v>19</v>
      </c>
      <c r="AM278" s="18" t="s">
        <v>19</v>
      </c>
      <c r="AN278" s="18" t="s">
        <v>19</v>
      </c>
      <c r="AO278" s="18" t="s">
        <v>19</v>
      </c>
      <c r="AP278" s="18" t="s">
        <v>109</v>
      </c>
      <c r="AQ278" s="18" t="s">
        <v>109</v>
      </c>
      <c r="AR278" s="18" t="s">
        <v>109</v>
      </c>
      <c r="AS278" s="18" t="s">
        <v>109</v>
      </c>
      <c r="AT278" s="18" t="s">
        <v>109</v>
      </c>
      <c r="AU278" s="18" t="s">
        <v>109</v>
      </c>
      <c r="AV278" s="36" t="s">
        <v>109</v>
      </c>
    </row>
    <row r="279" spans="1:264" ht="73.5" customHeight="1" x14ac:dyDescent="0.3">
      <c r="A279" s="15" t="s">
        <v>25</v>
      </c>
      <c r="B279" s="15" t="s">
        <v>1823</v>
      </c>
      <c r="C279" s="15" t="s">
        <v>519</v>
      </c>
      <c r="D279" s="15" t="s">
        <v>19</v>
      </c>
      <c r="E279" s="70" t="s">
        <v>19</v>
      </c>
      <c r="F279" s="70" t="s">
        <v>19</v>
      </c>
      <c r="G279" s="70" t="s">
        <v>19</v>
      </c>
      <c r="H279" s="70" t="s">
        <v>19</v>
      </c>
      <c r="I279" s="72" t="s">
        <v>19</v>
      </c>
      <c r="J279" s="72" t="s">
        <v>19</v>
      </c>
      <c r="K279" s="72" t="s">
        <v>19</v>
      </c>
      <c r="L279" s="72" t="s">
        <v>19</v>
      </c>
      <c r="M279" s="15" t="s">
        <v>520</v>
      </c>
      <c r="N279" s="4" t="s">
        <v>1545</v>
      </c>
      <c r="O279" s="15"/>
      <c r="P279" s="4" t="s">
        <v>3083</v>
      </c>
      <c r="S279" s="15" t="e" cm="1">
        <f t="array" aca="1" ref="S279" ca="1">COMMONMARKETCOUNT(H279:AV279)</f>
        <v>#NAME?</v>
      </c>
      <c r="T279" s="6" t="e" cm="1">
        <f t="array" aca="1" ref="T279" ca="1">AUTOMATEDCOUNT(H279:AV279)</f>
        <v>#NAME?</v>
      </c>
      <c r="V279" s="70" t="s">
        <v>19</v>
      </c>
      <c r="W279" s="70" t="s">
        <v>19</v>
      </c>
      <c r="X279" s="70" t="s">
        <v>19</v>
      </c>
      <c r="Y279" s="70" t="s">
        <v>19</v>
      </c>
      <c r="Z279" s="70" t="s">
        <v>19</v>
      </c>
      <c r="AA279" s="72" t="s">
        <v>19</v>
      </c>
      <c r="AB279" s="72" t="s">
        <v>19</v>
      </c>
      <c r="AC279" s="72" t="s">
        <v>19</v>
      </c>
      <c r="AD279" s="72" t="s">
        <v>19</v>
      </c>
      <c r="AE279" s="18" t="s">
        <v>19</v>
      </c>
      <c r="AF279" s="18" t="s">
        <v>19</v>
      </c>
      <c r="AG279" s="29" t="s">
        <v>19</v>
      </c>
      <c r="AH279" s="29" t="s">
        <v>19</v>
      </c>
      <c r="AI279" s="18" t="s">
        <v>19</v>
      </c>
      <c r="AJ279" s="18" t="s">
        <v>19</v>
      </c>
      <c r="AK279" s="18" t="s">
        <v>19</v>
      </c>
      <c r="AL279" s="18" t="s">
        <v>19</v>
      </c>
      <c r="AM279" s="18" t="s">
        <v>19</v>
      </c>
      <c r="AN279" s="18" t="s">
        <v>19</v>
      </c>
      <c r="AO279" s="18" t="s">
        <v>19</v>
      </c>
      <c r="AP279" s="18" t="s">
        <v>19</v>
      </c>
      <c r="AQ279" s="18" t="s">
        <v>19</v>
      </c>
      <c r="AR279" s="18" t="s">
        <v>19</v>
      </c>
      <c r="AS279" s="70" t="s">
        <v>19</v>
      </c>
      <c r="AT279" s="72" t="s">
        <v>19</v>
      </c>
      <c r="AU279" s="29" t="s">
        <v>3153</v>
      </c>
      <c r="AV279" s="36" t="s">
        <v>19</v>
      </c>
    </row>
    <row r="280" spans="1:264" ht="61.5" hidden="1" customHeight="1" x14ac:dyDescent="0.3">
      <c r="A280" s="15" t="s">
        <v>56</v>
      </c>
      <c r="B280" s="15" t="s">
        <v>1300</v>
      </c>
      <c r="C280" s="15" t="s">
        <v>521</v>
      </c>
      <c r="D280" s="15" t="s">
        <v>32</v>
      </c>
      <c r="E280" s="18" t="s">
        <v>109</v>
      </c>
      <c r="F280" s="18" t="s">
        <v>109</v>
      </c>
      <c r="G280" s="18" t="s">
        <v>109</v>
      </c>
      <c r="H280" s="18" t="s">
        <v>109</v>
      </c>
      <c r="I280" s="18" t="s">
        <v>19</v>
      </c>
      <c r="J280" s="18" t="s">
        <v>19</v>
      </c>
      <c r="K280" s="18" t="s">
        <v>19</v>
      </c>
      <c r="L280" s="18" t="s">
        <v>19</v>
      </c>
      <c r="M280" s="15" t="s">
        <v>522</v>
      </c>
      <c r="N280" s="4" t="s">
        <v>522</v>
      </c>
      <c r="O280" s="15"/>
      <c r="P280" s="4" t="s">
        <v>3082</v>
      </c>
      <c r="S280" s="15" t="e" cm="1">
        <f t="array" aca="1" ref="S280" ca="1">COMMONMARKETCOUNT(H280:AV280)</f>
        <v>#NAME?</v>
      </c>
      <c r="T280" s="6" t="e" cm="1">
        <f t="array" aca="1" ref="T280" ca="1">AUTOMATEDCOUNT(H280:AV280)</f>
        <v>#NAME?</v>
      </c>
      <c r="V280" s="18" t="s">
        <v>109</v>
      </c>
      <c r="W280" s="18" t="s">
        <v>109</v>
      </c>
      <c r="X280" s="18" t="s">
        <v>109</v>
      </c>
      <c r="Y280" s="18" t="s">
        <v>109</v>
      </c>
      <c r="Z280" s="18" t="s">
        <v>109</v>
      </c>
      <c r="AA280" s="18" t="s">
        <v>19</v>
      </c>
      <c r="AB280" s="18" t="s">
        <v>19</v>
      </c>
      <c r="AC280" s="18" t="s">
        <v>19</v>
      </c>
      <c r="AD280" s="18" t="s">
        <v>19</v>
      </c>
      <c r="AE280" s="18" t="s">
        <v>19</v>
      </c>
      <c r="AF280" s="18" t="s">
        <v>19</v>
      </c>
      <c r="AG280" s="18" t="s">
        <v>19</v>
      </c>
      <c r="AH280" s="18" t="s">
        <v>19</v>
      </c>
      <c r="AI280" s="18" t="s">
        <v>19</v>
      </c>
      <c r="AJ280" s="18" t="s">
        <v>19</v>
      </c>
      <c r="AK280" s="18" t="s">
        <v>19</v>
      </c>
      <c r="AL280" s="18" t="s">
        <v>19</v>
      </c>
      <c r="AM280" s="18" t="s">
        <v>19</v>
      </c>
      <c r="AN280" s="18" t="s">
        <v>19</v>
      </c>
      <c r="AO280" s="18" t="s">
        <v>19</v>
      </c>
      <c r="AP280" s="18" t="s">
        <v>109</v>
      </c>
      <c r="AQ280" s="18" t="s">
        <v>109</v>
      </c>
      <c r="AR280" s="18" t="s">
        <v>109</v>
      </c>
      <c r="AS280" s="18" t="s">
        <v>109</v>
      </c>
      <c r="AT280" s="18" t="s">
        <v>109</v>
      </c>
      <c r="AU280" s="18" t="s">
        <v>109</v>
      </c>
      <c r="AV280" s="36" t="s">
        <v>109</v>
      </c>
    </row>
    <row r="281" spans="1:264" ht="87.75" hidden="1" customHeight="1" x14ac:dyDescent="0.3">
      <c r="A281" s="15" t="s">
        <v>56</v>
      </c>
      <c r="B281" s="15" t="s">
        <v>1309</v>
      </c>
      <c r="C281" s="15" t="s">
        <v>523</v>
      </c>
      <c r="D281" s="15" t="s">
        <v>19</v>
      </c>
      <c r="E281" s="18" t="s">
        <v>109</v>
      </c>
      <c r="F281" s="18" t="s">
        <v>109</v>
      </c>
      <c r="G281" s="18" t="s">
        <v>109</v>
      </c>
      <c r="H281" s="18" t="s">
        <v>109</v>
      </c>
      <c r="I281" s="18" t="s">
        <v>19</v>
      </c>
      <c r="J281" s="18" t="s">
        <v>19</v>
      </c>
      <c r="K281" s="72" t="s">
        <v>19</v>
      </c>
      <c r="L281" s="72" t="s">
        <v>19</v>
      </c>
      <c r="M281" s="15" t="s">
        <v>1822</v>
      </c>
      <c r="N281" s="4" t="s">
        <v>1669</v>
      </c>
      <c r="O281" s="15"/>
      <c r="P281" s="4" t="s">
        <v>3084</v>
      </c>
      <c r="S281" s="15" t="e" cm="1">
        <f t="array" aca="1" ref="S281" ca="1">COMMONMARKETCOUNT(H281:AV281)</f>
        <v>#NAME?</v>
      </c>
      <c r="T281" s="6" t="e" cm="1">
        <f t="array" aca="1" ref="T281" ca="1">AUTOMATEDCOUNT(H281:AV281)</f>
        <v>#NAME?</v>
      </c>
      <c r="V281" s="18" t="s">
        <v>109</v>
      </c>
      <c r="W281" s="18" t="s">
        <v>109</v>
      </c>
      <c r="X281" s="18" t="s">
        <v>109</v>
      </c>
      <c r="Y281" s="18" t="s">
        <v>109</v>
      </c>
      <c r="Z281" s="18" t="s">
        <v>109</v>
      </c>
      <c r="AA281" s="18" t="s">
        <v>19</v>
      </c>
      <c r="AB281" s="18" t="s">
        <v>19</v>
      </c>
      <c r="AC281" s="18" t="s">
        <v>19</v>
      </c>
      <c r="AD281" s="18" t="s">
        <v>19</v>
      </c>
      <c r="AE281" s="18" t="s">
        <v>19</v>
      </c>
      <c r="AF281" s="18" t="s">
        <v>19</v>
      </c>
      <c r="AG281" s="18" t="s">
        <v>19</v>
      </c>
      <c r="AH281" s="18" t="s">
        <v>19</v>
      </c>
      <c r="AI281" s="18" t="s">
        <v>19</v>
      </c>
      <c r="AJ281" s="18" t="s">
        <v>19</v>
      </c>
      <c r="AK281" s="18" t="s">
        <v>19</v>
      </c>
      <c r="AL281" s="18" t="s">
        <v>19</v>
      </c>
      <c r="AM281" s="18" t="s">
        <v>19</v>
      </c>
      <c r="AN281" s="18" t="s">
        <v>19</v>
      </c>
      <c r="AO281" s="18" t="s">
        <v>19</v>
      </c>
      <c r="AP281" s="18" t="s">
        <v>19</v>
      </c>
      <c r="AQ281" s="18" t="s">
        <v>19</v>
      </c>
      <c r="AR281" s="18" t="s">
        <v>19</v>
      </c>
      <c r="AS281" s="18" t="s">
        <v>19</v>
      </c>
      <c r="AT281" s="18" t="s">
        <v>19</v>
      </c>
      <c r="AU281" s="18" t="s">
        <v>3153</v>
      </c>
      <c r="AV281" s="36" t="s">
        <v>19</v>
      </c>
    </row>
    <row r="282" spans="1:264" ht="59.25" hidden="1" customHeight="1" x14ac:dyDescent="0.3">
      <c r="A282" s="15" t="s">
        <v>25</v>
      </c>
      <c r="B282" s="15" t="s">
        <v>1823</v>
      </c>
      <c r="C282" s="15" t="s">
        <v>524</v>
      </c>
      <c r="D282" s="15" t="s">
        <v>19</v>
      </c>
      <c r="E282" s="18" t="s">
        <v>109</v>
      </c>
      <c r="F282" s="18" t="s">
        <v>109</v>
      </c>
      <c r="G282" s="18" t="s">
        <v>109</v>
      </c>
      <c r="H282" s="18" t="s">
        <v>109</v>
      </c>
      <c r="I282" s="18" t="s">
        <v>19</v>
      </c>
      <c r="J282" s="18" t="s">
        <v>19</v>
      </c>
      <c r="K282" s="72" t="s">
        <v>19</v>
      </c>
      <c r="L282" s="72" t="s">
        <v>19</v>
      </c>
      <c r="M282" s="15" t="s">
        <v>525</v>
      </c>
      <c r="N282" s="4" t="s">
        <v>1241</v>
      </c>
      <c r="O282" s="15"/>
      <c r="P282" s="4" t="s">
        <v>1746</v>
      </c>
      <c r="S282" s="15" t="e" cm="1">
        <f t="array" aca="1" ref="S282" ca="1">COMMONMARKETCOUNT(H282:AV282)</f>
        <v>#NAME?</v>
      </c>
      <c r="T282" s="6" t="e" cm="1">
        <f t="array" aca="1" ref="T282" ca="1">AUTOMATEDCOUNT(H282:AV282)</f>
        <v>#NAME?</v>
      </c>
      <c r="V282" s="18" t="s">
        <v>109</v>
      </c>
      <c r="W282" s="18" t="s">
        <v>109</v>
      </c>
      <c r="X282" s="18" t="s">
        <v>109</v>
      </c>
      <c r="Y282" s="18" t="s">
        <v>109</v>
      </c>
      <c r="Z282" s="18" t="s">
        <v>109</v>
      </c>
      <c r="AA282" s="18" t="s">
        <v>19</v>
      </c>
      <c r="AB282" s="18" t="s">
        <v>19</v>
      </c>
      <c r="AC282" s="18" t="s">
        <v>19</v>
      </c>
      <c r="AD282" s="18" t="s">
        <v>19</v>
      </c>
      <c r="AE282" s="18" t="s">
        <v>19</v>
      </c>
      <c r="AF282" s="18" t="s">
        <v>19</v>
      </c>
      <c r="AG282" s="18" t="s">
        <v>19</v>
      </c>
      <c r="AH282" s="18" t="s">
        <v>19</v>
      </c>
      <c r="AI282" s="18" t="s">
        <v>19</v>
      </c>
      <c r="AJ282" s="18" t="s">
        <v>19</v>
      </c>
      <c r="AK282" s="18" t="s">
        <v>19</v>
      </c>
      <c r="AL282" s="18" t="s">
        <v>19</v>
      </c>
      <c r="AM282" s="18" t="s">
        <v>19</v>
      </c>
      <c r="AN282" s="18" t="s">
        <v>19</v>
      </c>
      <c r="AO282" s="18" t="s">
        <v>19</v>
      </c>
      <c r="AP282" s="18" t="s">
        <v>109</v>
      </c>
      <c r="AQ282" s="18" t="s">
        <v>109</v>
      </c>
      <c r="AR282" s="18" t="s">
        <v>109</v>
      </c>
      <c r="AS282" s="18" t="s">
        <v>109</v>
      </c>
      <c r="AT282" s="18" t="s">
        <v>109</v>
      </c>
      <c r="AU282" s="18" t="s">
        <v>109</v>
      </c>
      <c r="AV282" s="36" t="s">
        <v>109</v>
      </c>
    </row>
    <row r="283" spans="1:264" ht="75" hidden="1" customHeight="1" x14ac:dyDescent="0.3">
      <c r="A283" s="15" t="s">
        <v>25</v>
      </c>
      <c r="B283" s="15" t="s">
        <v>1823</v>
      </c>
      <c r="C283" s="15" t="s">
        <v>526</v>
      </c>
      <c r="D283" s="15" t="s">
        <v>19</v>
      </c>
      <c r="E283" s="18" t="s">
        <v>109</v>
      </c>
      <c r="F283" s="18" t="s">
        <v>109</v>
      </c>
      <c r="G283" s="18" t="s">
        <v>109</v>
      </c>
      <c r="H283" s="18" t="s">
        <v>109</v>
      </c>
      <c r="I283" s="18" t="s">
        <v>19</v>
      </c>
      <c r="J283" s="18" t="s">
        <v>19</v>
      </c>
      <c r="K283" s="72" t="s">
        <v>19</v>
      </c>
      <c r="L283" s="72" t="s">
        <v>19</v>
      </c>
      <c r="M283" s="15" t="s">
        <v>527</v>
      </c>
      <c r="N283" s="4" t="s">
        <v>1242</v>
      </c>
      <c r="O283" s="15"/>
      <c r="P283" s="4" t="s">
        <v>1747</v>
      </c>
      <c r="S283" s="15" t="e" cm="1">
        <f t="array" aca="1" ref="S283" ca="1">COMMONMARKETCOUNT(H283:AV283)</f>
        <v>#NAME?</v>
      </c>
      <c r="T283" s="6" t="e" cm="1">
        <f t="array" aca="1" ref="T283" ca="1">AUTOMATEDCOUNT(H283:AV283)</f>
        <v>#NAME?</v>
      </c>
      <c r="V283" s="18" t="s">
        <v>109</v>
      </c>
      <c r="W283" s="18" t="s">
        <v>109</v>
      </c>
      <c r="X283" s="18" t="s">
        <v>109</v>
      </c>
      <c r="Y283" s="18" t="s">
        <v>109</v>
      </c>
      <c r="Z283" s="18" t="s">
        <v>109</v>
      </c>
      <c r="AA283" s="18" t="s">
        <v>19</v>
      </c>
      <c r="AB283" s="18" t="s">
        <v>19</v>
      </c>
      <c r="AC283" s="18" t="s">
        <v>19</v>
      </c>
      <c r="AD283" s="18" t="s">
        <v>19</v>
      </c>
      <c r="AE283" s="18" t="s">
        <v>19</v>
      </c>
      <c r="AF283" s="18" t="s">
        <v>19</v>
      </c>
      <c r="AG283" s="18" t="s">
        <v>19</v>
      </c>
      <c r="AH283" s="18" t="s">
        <v>19</v>
      </c>
      <c r="AI283" s="18" t="s">
        <v>19</v>
      </c>
      <c r="AJ283" s="18" t="s">
        <v>19</v>
      </c>
      <c r="AK283" s="18" t="s">
        <v>19</v>
      </c>
      <c r="AL283" s="18" t="s">
        <v>19</v>
      </c>
      <c r="AM283" s="18" t="s">
        <v>19</v>
      </c>
      <c r="AN283" s="18" t="s">
        <v>19</v>
      </c>
      <c r="AO283" s="18" t="s">
        <v>19</v>
      </c>
      <c r="AP283" s="18" t="s">
        <v>109</v>
      </c>
      <c r="AQ283" s="18" t="s">
        <v>109</v>
      </c>
      <c r="AR283" s="18" t="s">
        <v>109</v>
      </c>
      <c r="AS283" s="18" t="s">
        <v>109</v>
      </c>
      <c r="AT283" s="18" t="s">
        <v>109</v>
      </c>
      <c r="AU283" s="18" t="s">
        <v>109</v>
      </c>
      <c r="AV283" s="36" t="s">
        <v>109</v>
      </c>
    </row>
    <row r="284" spans="1:264" ht="78" hidden="1" customHeight="1" x14ac:dyDescent="0.3">
      <c r="A284" s="15" t="s">
        <v>56</v>
      </c>
      <c r="B284" s="15" t="s">
        <v>1159</v>
      </c>
      <c r="C284" s="15" t="s">
        <v>528</v>
      </c>
      <c r="D284" s="15" t="s">
        <v>19</v>
      </c>
      <c r="E284" s="18" t="s">
        <v>109</v>
      </c>
      <c r="F284" s="18" t="s">
        <v>109</v>
      </c>
      <c r="G284" s="18" t="s">
        <v>109</v>
      </c>
      <c r="H284" s="18" t="s">
        <v>109</v>
      </c>
      <c r="I284" s="72" t="s">
        <v>19</v>
      </c>
      <c r="J284" s="72" t="s">
        <v>19</v>
      </c>
      <c r="K284" s="72" t="s">
        <v>19</v>
      </c>
      <c r="L284" s="72" t="s">
        <v>19</v>
      </c>
      <c r="M284" s="15" t="s">
        <v>529</v>
      </c>
      <c r="N284" s="4" t="s">
        <v>1243</v>
      </c>
      <c r="O284" s="15"/>
      <c r="P284" s="4" t="s">
        <v>2162</v>
      </c>
      <c r="S284" s="15" t="e" cm="1">
        <f t="array" aca="1" ref="S284" ca="1">COMMONMARKETCOUNT(H284:AV284)</f>
        <v>#NAME?</v>
      </c>
      <c r="T284" s="6" t="e" cm="1">
        <f t="array" aca="1" ref="T284" ca="1">AUTOMATEDCOUNT(H284:AV284)</f>
        <v>#NAME?</v>
      </c>
      <c r="V284" s="18" t="s">
        <v>109</v>
      </c>
      <c r="W284" s="18" t="s">
        <v>109</v>
      </c>
      <c r="X284" s="18" t="s">
        <v>109</v>
      </c>
      <c r="Y284" s="18" t="s">
        <v>109</v>
      </c>
      <c r="Z284" s="18" t="s">
        <v>109</v>
      </c>
      <c r="AA284" s="72" t="s">
        <v>19</v>
      </c>
      <c r="AB284" s="72" t="s">
        <v>19</v>
      </c>
      <c r="AC284" s="72" t="s">
        <v>19</v>
      </c>
      <c r="AD284" s="72" t="s">
        <v>19</v>
      </c>
      <c r="AE284" s="18" t="s">
        <v>19</v>
      </c>
      <c r="AF284" s="18" t="s">
        <v>19</v>
      </c>
      <c r="AG284" s="18" t="s">
        <v>19</v>
      </c>
      <c r="AH284" s="18" t="s">
        <v>19</v>
      </c>
      <c r="AI284" s="18" t="s">
        <v>19</v>
      </c>
      <c r="AJ284" s="18" t="s">
        <v>19</v>
      </c>
      <c r="AK284" s="18" t="s">
        <v>19</v>
      </c>
      <c r="AL284" s="18" t="s">
        <v>19</v>
      </c>
      <c r="AM284" s="18" t="s">
        <v>19</v>
      </c>
      <c r="AN284" s="18" t="s">
        <v>19</v>
      </c>
      <c r="AO284" s="18" t="s">
        <v>19</v>
      </c>
      <c r="AP284" s="18" t="s">
        <v>19</v>
      </c>
      <c r="AQ284" s="18" t="s">
        <v>19</v>
      </c>
      <c r="AR284" s="18" t="s">
        <v>19</v>
      </c>
      <c r="AS284" s="18" t="s">
        <v>19</v>
      </c>
      <c r="AT284" s="18" t="s">
        <v>19</v>
      </c>
      <c r="AU284" s="18" t="s">
        <v>3153</v>
      </c>
      <c r="AV284" s="36" t="s">
        <v>19</v>
      </c>
    </row>
    <row r="285" spans="1:264" ht="82.5" hidden="1" customHeight="1" x14ac:dyDescent="0.3">
      <c r="A285" s="15" t="s">
        <v>25</v>
      </c>
      <c r="B285" s="15" t="s">
        <v>1159</v>
      </c>
      <c r="C285" s="15" t="s">
        <v>927</v>
      </c>
      <c r="D285" s="15" t="s">
        <v>32</v>
      </c>
      <c r="E285" s="18" t="s">
        <v>109</v>
      </c>
      <c r="F285" s="18" t="s">
        <v>109</v>
      </c>
      <c r="G285" s="18" t="s">
        <v>109</v>
      </c>
      <c r="H285" s="18" t="s">
        <v>109</v>
      </c>
      <c r="I285" s="15" t="s">
        <v>19</v>
      </c>
      <c r="J285" s="15" t="s">
        <v>19</v>
      </c>
      <c r="K285" s="15" t="s">
        <v>19</v>
      </c>
      <c r="L285" s="15" t="s">
        <v>19</v>
      </c>
      <c r="M285" s="15" t="s">
        <v>907</v>
      </c>
      <c r="N285" s="4" t="s">
        <v>1896</v>
      </c>
      <c r="O285" s="33" t="s">
        <v>2342</v>
      </c>
      <c r="P285" s="4" t="s">
        <v>1897</v>
      </c>
      <c r="S285" s="15" t="e" cm="1">
        <f t="array" aca="1" ref="S285" ca="1">COMMONMARKETCOUNT(H285:AV285)</f>
        <v>#NAME?</v>
      </c>
      <c r="T285" s="6" t="e" cm="1">
        <f t="array" aca="1" ref="T285" ca="1">AUTOMATEDCOUNT(H285:AV285)</f>
        <v>#NAME?</v>
      </c>
      <c r="V285" s="18" t="s">
        <v>109</v>
      </c>
      <c r="W285" s="18" t="s">
        <v>109</v>
      </c>
      <c r="X285" s="18" t="s">
        <v>109</v>
      </c>
      <c r="Y285" s="18" t="s">
        <v>109</v>
      </c>
      <c r="Z285" s="18" t="s">
        <v>109</v>
      </c>
      <c r="AA285" s="15" t="s">
        <v>19</v>
      </c>
      <c r="AB285" s="15" t="s">
        <v>19</v>
      </c>
      <c r="AC285" s="15" t="s">
        <v>19</v>
      </c>
      <c r="AD285" s="18" t="s">
        <v>19</v>
      </c>
      <c r="AE285" s="18" t="s">
        <v>19</v>
      </c>
      <c r="AF285" s="15" t="s">
        <v>19</v>
      </c>
      <c r="AG285" s="15" t="s">
        <v>19</v>
      </c>
      <c r="AH285" s="15" t="s">
        <v>19</v>
      </c>
      <c r="AI285" s="15" t="s">
        <v>19</v>
      </c>
      <c r="AJ285" s="15" t="s">
        <v>19</v>
      </c>
      <c r="AK285" s="15" t="s">
        <v>19</v>
      </c>
      <c r="AL285" s="15" t="s">
        <v>19</v>
      </c>
      <c r="AM285" s="15" t="s">
        <v>19</v>
      </c>
      <c r="AN285" s="15" t="s">
        <v>19</v>
      </c>
      <c r="AO285" s="15" t="s">
        <v>19</v>
      </c>
      <c r="AP285" s="15" t="s">
        <v>19</v>
      </c>
      <c r="AQ285" s="15" t="s">
        <v>19</v>
      </c>
      <c r="AR285" s="15" t="s">
        <v>19</v>
      </c>
      <c r="AS285" s="15" t="s">
        <v>19</v>
      </c>
      <c r="AT285" s="15" t="s">
        <v>19</v>
      </c>
      <c r="AU285" s="18" t="s">
        <v>3153</v>
      </c>
      <c r="AV285" s="36" t="s">
        <v>19</v>
      </c>
      <c r="AW285" s="5"/>
      <c r="AX285" s="5"/>
      <c r="AY285" s="5"/>
      <c r="AZ285" s="5"/>
      <c r="BA285" s="5"/>
      <c r="BB285" s="5"/>
      <c r="BC285" s="5"/>
      <c r="BD285" s="5"/>
      <c r="BE285" s="5"/>
      <c r="BF285" s="5"/>
      <c r="BG285" s="5"/>
      <c r="BH285" s="5"/>
      <c r="BI285" s="5"/>
      <c r="BJ285" s="5"/>
      <c r="BK285" s="5"/>
      <c r="BL285" s="5"/>
      <c r="BM285" s="5"/>
      <c r="BN285" s="5"/>
      <c r="BO285" s="5"/>
      <c r="BP285" s="5"/>
      <c r="BQ285" s="5"/>
      <c r="BR285" s="5"/>
      <c r="BS285" s="5"/>
      <c r="BT285" s="5"/>
      <c r="BU285" s="5"/>
      <c r="BV285" s="5"/>
      <c r="BW285" s="5"/>
      <c r="BX285" s="5"/>
      <c r="BY285" s="5"/>
      <c r="BZ285" s="5"/>
      <c r="CA285" s="5"/>
      <c r="CB285" s="5"/>
      <c r="CC285" s="5"/>
      <c r="CD285" s="5"/>
      <c r="CE285" s="5"/>
      <c r="CF285" s="5"/>
      <c r="CG285" s="5"/>
      <c r="CH285" s="5"/>
      <c r="CI285" s="5"/>
      <c r="CJ285" s="5"/>
      <c r="CK285" s="5"/>
      <c r="CL285" s="5"/>
      <c r="CM285" s="5"/>
      <c r="CN285" s="5"/>
      <c r="CO285" s="5"/>
      <c r="CP285" s="5"/>
      <c r="CQ285" s="5"/>
      <c r="CR285" s="5"/>
      <c r="CS285" s="5"/>
      <c r="CT285" s="5"/>
      <c r="CU285" s="5"/>
      <c r="CV285" s="5"/>
      <c r="CW285" s="5"/>
      <c r="CX285" s="5"/>
      <c r="CY285" s="5"/>
      <c r="CZ285" s="5"/>
      <c r="DA285" s="5"/>
      <c r="DB285" s="5"/>
      <c r="DC285" s="5"/>
      <c r="DD285" s="5"/>
      <c r="DE285" s="5"/>
      <c r="DF285" s="5"/>
      <c r="DG285" s="5"/>
      <c r="DH285" s="5"/>
      <c r="DI285" s="5"/>
      <c r="DJ285" s="5"/>
      <c r="DK285" s="5"/>
      <c r="DL285" s="5"/>
      <c r="DM285" s="5"/>
      <c r="DN285" s="5"/>
      <c r="DO285" s="5"/>
      <c r="DP285" s="5"/>
      <c r="DQ285" s="5"/>
      <c r="DR285" s="5"/>
      <c r="DS285" s="5"/>
      <c r="DT285" s="5"/>
      <c r="DU285" s="5"/>
      <c r="DV285" s="5"/>
      <c r="DW285" s="5"/>
      <c r="DX285" s="5"/>
      <c r="DY285" s="5"/>
      <c r="DZ285" s="5"/>
      <c r="EA285" s="5"/>
      <c r="EB285" s="5"/>
      <c r="EC285" s="5"/>
      <c r="ED285" s="5"/>
      <c r="EE285" s="5"/>
      <c r="EF285" s="5"/>
      <c r="EG285" s="5"/>
      <c r="EH285" s="5"/>
      <c r="EI285" s="5"/>
      <c r="EJ285" s="5"/>
      <c r="EK285" s="5"/>
      <c r="EL285" s="5"/>
      <c r="EM285" s="5"/>
      <c r="EN285" s="5"/>
      <c r="EO285" s="5"/>
      <c r="EP285" s="5"/>
      <c r="EQ285" s="5"/>
      <c r="ER285" s="5"/>
      <c r="ES285" s="5"/>
      <c r="ET285" s="5"/>
      <c r="EU285" s="5"/>
      <c r="EV285" s="5"/>
      <c r="EW285" s="5"/>
      <c r="EX285" s="5"/>
      <c r="EY285" s="5"/>
      <c r="EZ285" s="5"/>
      <c r="FA285" s="5"/>
      <c r="FB285" s="5"/>
      <c r="FC285" s="5"/>
      <c r="FD285" s="5"/>
      <c r="FE285" s="5"/>
      <c r="FF285" s="5"/>
      <c r="FG285" s="5"/>
      <c r="FH285" s="5"/>
      <c r="FI285" s="5"/>
      <c r="FJ285" s="5"/>
      <c r="FK285" s="5"/>
      <c r="FL285" s="5"/>
      <c r="FM285" s="5"/>
      <c r="FN285" s="5"/>
      <c r="FO285" s="5"/>
      <c r="FP285" s="5"/>
      <c r="FQ285" s="5"/>
      <c r="FR285" s="5"/>
      <c r="FS285" s="5"/>
      <c r="FT285" s="5"/>
      <c r="FU285" s="5"/>
      <c r="FV285" s="5"/>
      <c r="FW285" s="5"/>
      <c r="FX285" s="5"/>
      <c r="FY285" s="5"/>
      <c r="FZ285" s="5"/>
      <c r="GA285" s="5"/>
      <c r="GB285" s="5"/>
      <c r="GC285" s="5"/>
      <c r="GD285" s="5"/>
      <c r="GE285" s="5"/>
      <c r="GF285" s="5"/>
      <c r="GG285" s="5"/>
      <c r="GH285" s="5"/>
      <c r="GI285" s="5"/>
      <c r="GJ285" s="5"/>
      <c r="GK285" s="5"/>
      <c r="GL285" s="5"/>
      <c r="GM285" s="5"/>
      <c r="GN285" s="5"/>
      <c r="GO285" s="5"/>
      <c r="GP285" s="5"/>
      <c r="GQ285" s="5"/>
      <c r="GR285" s="5"/>
      <c r="GS285" s="5"/>
      <c r="GT285" s="5"/>
      <c r="GU285" s="5"/>
      <c r="GV285" s="5"/>
      <c r="GW285" s="5"/>
      <c r="GX285" s="5"/>
      <c r="GY285" s="5"/>
      <c r="GZ285" s="5"/>
      <c r="HA285" s="5"/>
      <c r="HB285" s="5"/>
      <c r="HC285" s="5"/>
      <c r="HD285" s="5"/>
      <c r="HE285" s="5"/>
      <c r="HF285" s="5"/>
      <c r="HG285" s="5"/>
      <c r="HH285" s="5"/>
      <c r="HI285" s="5"/>
      <c r="HJ285" s="5"/>
      <c r="HK285" s="5"/>
      <c r="HL285" s="5"/>
      <c r="HM285" s="5"/>
      <c r="HN285" s="5"/>
      <c r="HO285" s="5"/>
      <c r="HP285" s="5"/>
      <c r="HQ285" s="5"/>
      <c r="HR285" s="5"/>
      <c r="HS285" s="5"/>
      <c r="HT285" s="5"/>
      <c r="HU285" s="5"/>
      <c r="HV285" s="5"/>
      <c r="HW285" s="5"/>
      <c r="HX285" s="5"/>
      <c r="HY285" s="5"/>
      <c r="HZ285" s="5"/>
      <c r="IA285" s="5"/>
      <c r="IB285" s="5"/>
      <c r="IC285" s="5"/>
      <c r="ID285" s="5"/>
      <c r="IE285" s="5"/>
      <c r="IF285" s="5"/>
      <c r="IG285" s="5"/>
      <c r="IH285" s="5"/>
      <c r="II285" s="5"/>
      <c r="IJ285" s="5"/>
      <c r="IK285" s="5"/>
      <c r="IL285" s="5"/>
      <c r="IM285" s="5"/>
      <c r="IN285" s="5"/>
      <c r="IO285" s="5"/>
      <c r="IP285" s="5"/>
      <c r="IQ285" s="5"/>
      <c r="IR285" s="5"/>
      <c r="IS285" s="5"/>
      <c r="IT285" s="5"/>
      <c r="IU285" s="5"/>
      <c r="IV285" s="5"/>
      <c r="IW285" s="5"/>
      <c r="IX285" s="5"/>
      <c r="IY285" s="5"/>
      <c r="IZ285" s="5"/>
      <c r="JA285" s="5"/>
      <c r="JB285" s="5"/>
      <c r="JC285" s="5"/>
      <c r="JD285" s="5"/>
    </row>
    <row r="286" spans="1:264" ht="70.5" hidden="1" customHeight="1" x14ac:dyDescent="0.3">
      <c r="A286" s="15" t="s">
        <v>56</v>
      </c>
      <c r="B286" s="15" t="s">
        <v>1748</v>
      </c>
      <c r="C286" s="15" t="s">
        <v>530</v>
      </c>
      <c r="D286" s="15" t="s">
        <v>19</v>
      </c>
      <c r="E286" s="18" t="s">
        <v>109</v>
      </c>
      <c r="F286" s="18" t="s">
        <v>109</v>
      </c>
      <c r="G286" s="18" t="s">
        <v>109</v>
      </c>
      <c r="H286" s="18" t="s">
        <v>109</v>
      </c>
      <c r="I286" s="18" t="s">
        <v>19</v>
      </c>
      <c r="J286" s="18" t="s">
        <v>19</v>
      </c>
      <c r="K286" s="29" t="s">
        <v>19</v>
      </c>
      <c r="L286" s="29" t="s">
        <v>19</v>
      </c>
      <c r="M286" s="15" t="s">
        <v>531</v>
      </c>
      <c r="N286" s="4" t="s">
        <v>1244</v>
      </c>
      <c r="O286" s="15"/>
      <c r="P286" s="4" t="s">
        <v>1590</v>
      </c>
      <c r="S286" s="15" t="e" cm="1">
        <f t="array" aca="1" ref="S286" ca="1">COMMONMARKETCOUNT(H286:AV286)</f>
        <v>#NAME?</v>
      </c>
      <c r="T286" s="6" t="e" cm="1">
        <f t="array" aca="1" ref="T286" ca="1">AUTOMATEDCOUNT(H286:AV286)</f>
        <v>#NAME?</v>
      </c>
      <c r="V286" s="18" t="s">
        <v>109</v>
      </c>
      <c r="W286" s="18" t="s">
        <v>109</v>
      </c>
      <c r="X286" s="18" t="s">
        <v>109</v>
      </c>
      <c r="Y286" s="18" t="s">
        <v>109</v>
      </c>
      <c r="Z286" s="18" t="s">
        <v>109</v>
      </c>
      <c r="AA286" s="18" t="s">
        <v>19</v>
      </c>
      <c r="AB286" s="18" t="s">
        <v>19</v>
      </c>
      <c r="AC286" s="18" t="s">
        <v>19</v>
      </c>
      <c r="AD286" s="15" t="s">
        <v>19</v>
      </c>
      <c r="AE286" s="15" t="s">
        <v>19</v>
      </c>
      <c r="AF286" s="18" t="s">
        <v>19</v>
      </c>
      <c r="AG286" s="18" t="s">
        <v>19</v>
      </c>
      <c r="AH286" s="18" t="s">
        <v>19</v>
      </c>
      <c r="AI286" s="18" t="s">
        <v>19</v>
      </c>
      <c r="AJ286" s="18" t="s">
        <v>19</v>
      </c>
      <c r="AK286" s="18" t="s">
        <v>19</v>
      </c>
      <c r="AL286" s="18" t="s">
        <v>19</v>
      </c>
      <c r="AM286" s="18" t="s">
        <v>19</v>
      </c>
      <c r="AN286" s="18" t="s">
        <v>19</v>
      </c>
      <c r="AO286" s="18" t="s">
        <v>19</v>
      </c>
      <c r="AP286" s="18" t="s">
        <v>19</v>
      </c>
      <c r="AQ286" s="18" t="s">
        <v>19</v>
      </c>
      <c r="AR286" s="18" t="s">
        <v>19</v>
      </c>
      <c r="AS286" s="18" t="s">
        <v>19</v>
      </c>
      <c r="AT286" s="18" t="s">
        <v>19</v>
      </c>
      <c r="AU286" s="18" t="s">
        <v>3153</v>
      </c>
      <c r="AV286" s="36" t="s">
        <v>19</v>
      </c>
    </row>
    <row r="287" spans="1:264" ht="58.5" hidden="1" customHeight="1" x14ac:dyDescent="0.3">
      <c r="A287" s="15" t="s">
        <v>25</v>
      </c>
      <c r="B287" s="15" t="s">
        <v>1365</v>
      </c>
      <c r="C287" s="15" t="s">
        <v>532</v>
      </c>
      <c r="D287" s="15" t="s">
        <v>19</v>
      </c>
      <c r="E287" s="18" t="s">
        <v>109</v>
      </c>
      <c r="F287" s="18" t="s">
        <v>109</v>
      </c>
      <c r="G287" s="18" t="s">
        <v>109</v>
      </c>
      <c r="H287" s="18" t="s">
        <v>109</v>
      </c>
      <c r="I287" s="18" t="s">
        <v>19</v>
      </c>
      <c r="J287" s="18" t="s">
        <v>19</v>
      </c>
      <c r="K287" s="29" t="s">
        <v>19</v>
      </c>
      <c r="L287" s="29" t="s">
        <v>19</v>
      </c>
      <c r="M287" s="15" t="s">
        <v>533</v>
      </c>
      <c r="N287" s="4" t="s">
        <v>1245</v>
      </c>
      <c r="O287" s="15"/>
      <c r="P287" s="4" t="s">
        <v>2371</v>
      </c>
      <c r="S287" s="15" t="e" cm="1">
        <f t="array" aca="1" ref="S287" ca="1">COMMONMARKETCOUNT(H287:AV287)</f>
        <v>#NAME?</v>
      </c>
      <c r="T287" s="6" t="e" cm="1">
        <f t="array" aca="1" ref="T287" ca="1">AUTOMATEDCOUNT(H287:AV287)</f>
        <v>#NAME?</v>
      </c>
      <c r="V287" s="18" t="s">
        <v>109</v>
      </c>
      <c r="W287" s="18" t="s">
        <v>109</v>
      </c>
      <c r="X287" s="18" t="s">
        <v>109</v>
      </c>
      <c r="Y287" s="18" t="s">
        <v>109</v>
      </c>
      <c r="Z287" s="18" t="s">
        <v>109</v>
      </c>
      <c r="AA287" s="18" t="s">
        <v>19</v>
      </c>
      <c r="AB287" s="18" t="s">
        <v>19</v>
      </c>
      <c r="AC287" s="18" t="s">
        <v>19</v>
      </c>
      <c r="AD287" s="18" t="s">
        <v>19</v>
      </c>
      <c r="AE287" s="18" t="s">
        <v>19</v>
      </c>
      <c r="AF287" s="18" t="s">
        <v>19</v>
      </c>
      <c r="AG287" s="18" t="s">
        <v>19</v>
      </c>
      <c r="AH287" s="18" t="s">
        <v>19</v>
      </c>
      <c r="AI287" s="18" t="s">
        <v>19</v>
      </c>
      <c r="AJ287" s="18" t="s">
        <v>19</v>
      </c>
      <c r="AK287" s="18" t="s">
        <v>19</v>
      </c>
      <c r="AL287" s="18" t="s">
        <v>19</v>
      </c>
      <c r="AM287" s="18" t="s">
        <v>19</v>
      </c>
      <c r="AN287" s="18" t="s">
        <v>19</v>
      </c>
      <c r="AO287" s="18" t="s">
        <v>19</v>
      </c>
      <c r="AP287" s="18" t="s">
        <v>19</v>
      </c>
      <c r="AQ287" s="18" t="s">
        <v>19</v>
      </c>
      <c r="AR287" s="18" t="s">
        <v>19</v>
      </c>
      <c r="AS287" s="18" t="s">
        <v>19</v>
      </c>
      <c r="AT287" s="18" t="s">
        <v>19</v>
      </c>
      <c r="AU287" s="18" t="s">
        <v>3153</v>
      </c>
      <c r="AV287" s="36" t="s">
        <v>19</v>
      </c>
      <c r="AW287" s="5"/>
      <c r="AX287" s="5"/>
      <c r="AY287" s="5"/>
      <c r="AZ287" s="5"/>
      <c r="BA287" s="5"/>
      <c r="BB287" s="5"/>
      <c r="BC287" s="5"/>
      <c r="BD287" s="5"/>
      <c r="BE287" s="5"/>
      <c r="BF287" s="5"/>
      <c r="BG287" s="5"/>
      <c r="BH287" s="5"/>
      <c r="BI287" s="5"/>
      <c r="BJ287" s="5"/>
      <c r="BK287" s="5"/>
      <c r="BL287" s="5"/>
      <c r="BM287" s="5"/>
      <c r="BN287" s="5"/>
      <c r="BO287" s="5"/>
      <c r="BP287" s="5"/>
      <c r="BQ287" s="5"/>
      <c r="BR287" s="5"/>
      <c r="BS287" s="5"/>
      <c r="BT287" s="5"/>
      <c r="BU287" s="5"/>
      <c r="BV287" s="5"/>
      <c r="BW287" s="5"/>
      <c r="BX287" s="5"/>
      <c r="BY287" s="5"/>
      <c r="BZ287" s="5"/>
      <c r="CA287" s="5"/>
      <c r="CB287" s="5"/>
      <c r="CC287" s="5"/>
      <c r="CD287" s="5"/>
      <c r="CE287" s="5"/>
      <c r="CF287" s="5"/>
      <c r="CG287" s="5"/>
      <c r="CH287" s="5"/>
      <c r="CI287" s="5"/>
      <c r="CJ287" s="5"/>
      <c r="CK287" s="5"/>
      <c r="CL287" s="5"/>
      <c r="CM287" s="5"/>
      <c r="CN287" s="5"/>
      <c r="CO287" s="5"/>
      <c r="CP287" s="5"/>
      <c r="CQ287" s="5"/>
      <c r="CR287" s="5"/>
      <c r="CS287" s="5"/>
      <c r="CT287" s="5"/>
      <c r="CU287" s="5"/>
      <c r="CV287" s="5"/>
      <c r="CW287" s="5"/>
      <c r="CX287" s="5"/>
      <c r="CY287" s="5"/>
      <c r="CZ287" s="5"/>
      <c r="DA287" s="5"/>
      <c r="DB287" s="5"/>
      <c r="DC287" s="5"/>
      <c r="DD287" s="5"/>
      <c r="DE287" s="5"/>
      <c r="DF287" s="5"/>
      <c r="DG287" s="5"/>
      <c r="DH287" s="5"/>
      <c r="DI287" s="5"/>
      <c r="DJ287" s="5"/>
      <c r="DK287" s="5"/>
      <c r="DL287" s="5"/>
      <c r="DM287" s="5"/>
      <c r="DN287" s="5"/>
      <c r="DO287" s="5"/>
      <c r="DP287" s="5"/>
      <c r="DQ287" s="5"/>
      <c r="DR287" s="5"/>
      <c r="DS287" s="5"/>
      <c r="DT287" s="5"/>
      <c r="DU287" s="5"/>
      <c r="DV287" s="5"/>
      <c r="DW287" s="5"/>
      <c r="DX287" s="5"/>
      <c r="DY287" s="5"/>
      <c r="DZ287" s="5"/>
      <c r="EA287" s="5"/>
      <c r="EB287" s="5"/>
      <c r="EC287" s="5"/>
      <c r="ED287" s="5"/>
      <c r="EE287" s="5"/>
      <c r="EF287" s="5"/>
      <c r="EG287" s="5"/>
      <c r="EH287" s="5"/>
      <c r="EI287" s="5"/>
      <c r="EJ287" s="5"/>
      <c r="EK287" s="5"/>
      <c r="EL287" s="5"/>
      <c r="EM287" s="5"/>
      <c r="EN287" s="5"/>
      <c r="EO287" s="5"/>
      <c r="EP287" s="5"/>
      <c r="EQ287" s="5"/>
      <c r="ER287" s="5"/>
      <c r="ES287" s="5"/>
      <c r="ET287" s="5"/>
      <c r="EU287" s="5"/>
      <c r="EV287" s="5"/>
      <c r="EW287" s="5"/>
      <c r="EX287" s="5"/>
      <c r="EY287" s="5"/>
      <c r="EZ287" s="5"/>
      <c r="FA287" s="5"/>
      <c r="FB287" s="5"/>
      <c r="FC287" s="5"/>
      <c r="FD287" s="5"/>
      <c r="FE287" s="5"/>
      <c r="FF287" s="5"/>
      <c r="FG287" s="5"/>
      <c r="FH287" s="5"/>
      <c r="FI287" s="5"/>
      <c r="FJ287" s="5"/>
      <c r="FK287" s="5"/>
      <c r="FL287" s="5"/>
      <c r="FM287" s="5"/>
      <c r="FN287" s="5"/>
      <c r="FO287" s="5"/>
      <c r="FP287" s="5"/>
      <c r="FQ287" s="5"/>
      <c r="FR287" s="5"/>
      <c r="FS287" s="5"/>
      <c r="FT287" s="5"/>
      <c r="FU287" s="5"/>
      <c r="FV287" s="5"/>
      <c r="FW287" s="5"/>
      <c r="FX287" s="5"/>
      <c r="FY287" s="5"/>
      <c r="FZ287" s="5"/>
      <c r="GA287" s="5"/>
      <c r="GB287" s="5"/>
      <c r="GC287" s="5"/>
      <c r="GD287" s="5"/>
      <c r="GE287" s="5"/>
      <c r="GF287" s="5"/>
      <c r="GG287" s="5"/>
      <c r="GH287" s="5"/>
      <c r="GI287" s="5"/>
      <c r="GJ287" s="5"/>
      <c r="GK287" s="5"/>
      <c r="GL287" s="5"/>
      <c r="GM287" s="5"/>
      <c r="GN287" s="5"/>
      <c r="GO287" s="5"/>
      <c r="GP287" s="5"/>
      <c r="GQ287" s="5"/>
      <c r="GR287" s="5"/>
      <c r="GS287" s="5"/>
      <c r="GT287" s="5"/>
      <c r="GU287" s="5"/>
      <c r="GV287" s="5"/>
      <c r="GW287" s="5"/>
      <c r="GX287" s="5"/>
      <c r="GY287" s="5"/>
      <c r="GZ287" s="5"/>
      <c r="HA287" s="5"/>
      <c r="HB287" s="5"/>
      <c r="HC287" s="5"/>
      <c r="HD287" s="5"/>
      <c r="HE287" s="5"/>
      <c r="HF287" s="5"/>
      <c r="HG287" s="5"/>
      <c r="HH287" s="5"/>
      <c r="HI287" s="5"/>
      <c r="HJ287" s="5"/>
      <c r="HK287" s="5"/>
      <c r="HL287" s="5"/>
      <c r="HM287" s="5"/>
      <c r="HN287" s="5"/>
      <c r="HO287" s="5"/>
      <c r="HP287" s="5"/>
      <c r="HQ287" s="5"/>
      <c r="HR287" s="5"/>
      <c r="HS287" s="5"/>
      <c r="HT287" s="5"/>
      <c r="HU287" s="5"/>
      <c r="HV287" s="5"/>
      <c r="HW287" s="5"/>
      <c r="HX287" s="5"/>
      <c r="HY287" s="5"/>
      <c r="HZ287" s="5"/>
      <c r="IA287" s="5"/>
      <c r="IB287" s="5"/>
      <c r="IC287" s="5"/>
      <c r="ID287" s="5"/>
      <c r="IE287" s="5"/>
      <c r="IF287" s="5"/>
      <c r="IG287" s="5"/>
      <c r="IH287" s="5"/>
      <c r="II287" s="5"/>
      <c r="IJ287" s="5"/>
      <c r="IK287" s="5"/>
      <c r="IL287" s="5"/>
      <c r="IM287" s="5"/>
      <c r="IN287" s="5"/>
      <c r="IO287" s="5"/>
      <c r="IP287" s="5"/>
      <c r="IQ287" s="5"/>
      <c r="IR287" s="5"/>
      <c r="IS287" s="5"/>
      <c r="IT287" s="5"/>
      <c r="IU287" s="5"/>
      <c r="IV287" s="5"/>
      <c r="IW287" s="5"/>
      <c r="IX287" s="5"/>
      <c r="IY287" s="5"/>
      <c r="IZ287" s="5"/>
      <c r="JA287" s="5"/>
      <c r="JB287" s="5"/>
      <c r="JC287" s="5"/>
      <c r="JD287" s="5"/>
    </row>
    <row r="288" spans="1:264" ht="48" hidden="1" customHeight="1" x14ac:dyDescent="0.3">
      <c r="A288" s="4" t="s">
        <v>2268</v>
      </c>
      <c r="B288" s="4" t="s">
        <v>2271</v>
      </c>
      <c r="C288" s="4" t="s">
        <v>1910</v>
      </c>
      <c r="D288" s="6" t="s">
        <v>109</v>
      </c>
      <c r="E288" s="6" t="s">
        <v>19</v>
      </c>
      <c r="F288" s="6" t="s">
        <v>19</v>
      </c>
      <c r="G288" s="6" t="s">
        <v>19</v>
      </c>
      <c r="H288" s="6" t="s">
        <v>19</v>
      </c>
      <c r="I288" s="6" t="s">
        <v>19</v>
      </c>
      <c r="J288" s="6" t="s">
        <v>19</v>
      </c>
      <c r="K288" s="6" t="s">
        <v>19</v>
      </c>
      <c r="L288" s="6" t="s">
        <v>19</v>
      </c>
      <c r="M288" s="15" t="s">
        <v>2923</v>
      </c>
      <c r="N288" s="4" t="s">
        <v>1914</v>
      </c>
      <c r="O288" s="4"/>
      <c r="P288" s="4" t="s">
        <v>1915</v>
      </c>
      <c r="S288" s="15" t="e" cm="1">
        <f t="array" aca="1" ref="S288" ca="1">COMMONMARKETCOUNT(H288:AV288)</f>
        <v>#NAME?</v>
      </c>
      <c r="T288" s="6" t="e" cm="1">
        <f t="array" aca="1" ref="T288" ca="1">AUTOMATEDCOUNT(H288:AV288)</f>
        <v>#NAME?</v>
      </c>
      <c r="V288" s="6" t="s">
        <v>19</v>
      </c>
      <c r="W288" s="6" t="s">
        <v>19</v>
      </c>
      <c r="X288" s="6" t="s">
        <v>19</v>
      </c>
      <c r="Y288" s="6" t="s">
        <v>19</v>
      </c>
      <c r="Z288" s="6" t="s">
        <v>19</v>
      </c>
      <c r="AA288" s="6" t="s">
        <v>19</v>
      </c>
      <c r="AB288" s="6" t="s">
        <v>19</v>
      </c>
      <c r="AC288" s="6" t="s">
        <v>19</v>
      </c>
      <c r="AD288" s="18" t="s">
        <v>19</v>
      </c>
      <c r="AE288" s="18" t="s">
        <v>19</v>
      </c>
      <c r="AF288" s="6" t="s">
        <v>19</v>
      </c>
      <c r="AG288" s="6" t="s">
        <v>19</v>
      </c>
      <c r="AH288" s="6" t="s">
        <v>19</v>
      </c>
      <c r="AI288" s="6" t="s">
        <v>19</v>
      </c>
      <c r="AJ288" s="6" t="s">
        <v>19</v>
      </c>
      <c r="AK288" s="6" t="s">
        <v>19</v>
      </c>
      <c r="AL288" s="6" t="s">
        <v>19</v>
      </c>
      <c r="AM288" s="6" t="s">
        <v>19</v>
      </c>
      <c r="AN288" s="6" t="s">
        <v>19</v>
      </c>
      <c r="AO288" s="6" t="s">
        <v>19</v>
      </c>
      <c r="AP288" s="6" t="s">
        <v>19</v>
      </c>
      <c r="AQ288" s="6" t="s">
        <v>19</v>
      </c>
      <c r="AR288" s="6" t="s">
        <v>19</v>
      </c>
      <c r="AS288" s="6" t="s">
        <v>19</v>
      </c>
      <c r="AT288" s="6" t="s">
        <v>19</v>
      </c>
      <c r="AU288" s="6" t="s">
        <v>3153</v>
      </c>
      <c r="AV288" s="36" t="s">
        <v>19</v>
      </c>
    </row>
    <row r="289" spans="1:264" ht="96" hidden="1" customHeight="1" x14ac:dyDescent="0.3">
      <c r="A289" s="4" t="s">
        <v>2268</v>
      </c>
      <c r="B289" s="4" t="s">
        <v>2269</v>
      </c>
      <c r="C289" s="4" t="s">
        <v>1911</v>
      </c>
      <c r="D289" s="6" t="s">
        <v>109</v>
      </c>
      <c r="E289" s="6" t="s">
        <v>19</v>
      </c>
      <c r="F289" s="6" t="s">
        <v>19</v>
      </c>
      <c r="G289" s="6" t="s">
        <v>19</v>
      </c>
      <c r="H289" s="6" t="s">
        <v>19</v>
      </c>
      <c r="I289" s="6" t="s">
        <v>19</v>
      </c>
      <c r="J289" s="6" t="s">
        <v>19</v>
      </c>
      <c r="K289" s="6" t="s">
        <v>19</v>
      </c>
      <c r="L289" s="6" t="s">
        <v>19</v>
      </c>
      <c r="M289" s="15" t="s">
        <v>2924</v>
      </c>
      <c r="N289" s="4" t="s">
        <v>2043</v>
      </c>
      <c r="O289" s="4"/>
      <c r="P289" s="4" t="s">
        <v>2183</v>
      </c>
      <c r="S289" s="15" t="e" cm="1">
        <f t="array" aca="1" ref="S289" ca="1">COMMONMARKETCOUNT(H289:AV289)</f>
        <v>#NAME?</v>
      </c>
      <c r="T289" s="6" t="e" cm="1">
        <f t="array" aca="1" ref="T289" ca="1">AUTOMATEDCOUNT(H289:AV289)</f>
        <v>#NAME?</v>
      </c>
      <c r="V289" s="6" t="s">
        <v>19</v>
      </c>
      <c r="W289" s="6" t="s">
        <v>19</v>
      </c>
      <c r="X289" s="6" t="s">
        <v>19</v>
      </c>
      <c r="Y289" s="6" t="s">
        <v>19</v>
      </c>
      <c r="Z289" s="6" t="s">
        <v>19</v>
      </c>
      <c r="AA289" s="6" t="s">
        <v>19</v>
      </c>
      <c r="AB289" s="6" t="s">
        <v>19</v>
      </c>
      <c r="AC289" s="6" t="s">
        <v>19</v>
      </c>
      <c r="AD289" s="6" t="s">
        <v>19</v>
      </c>
      <c r="AE289" s="6" t="s">
        <v>19</v>
      </c>
      <c r="AF289" s="6" t="s">
        <v>19</v>
      </c>
      <c r="AG289" s="6" t="s">
        <v>19</v>
      </c>
      <c r="AH289" s="6" t="s">
        <v>19</v>
      </c>
      <c r="AI289" s="6" t="s">
        <v>19</v>
      </c>
      <c r="AJ289" s="6" t="s">
        <v>19</v>
      </c>
      <c r="AK289" s="6" t="s">
        <v>19</v>
      </c>
      <c r="AL289" s="6" t="s">
        <v>19</v>
      </c>
      <c r="AM289" s="6" t="s">
        <v>19</v>
      </c>
      <c r="AN289" s="6" t="s">
        <v>19</v>
      </c>
      <c r="AO289" s="6" t="s">
        <v>19</v>
      </c>
      <c r="AP289" s="6" t="s">
        <v>19</v>
      </c>
      <c r="AQ289" s="6" t="s">
        <v>19</v>
      </c>
      <c r="AR289" s="6" t="s">
        <v>19</v>
      </c>
      <c r="AS289" s="6" t="s">
        <v>19</v>
      </c>
      <c r="AT289" s="6" t="s">
        <v>19</v>
      </c>
      <c r="AU289" s="6" t="s">
        <v>3153</v>
      </c>
      <c r="AV289" s="36" t="s">
        <v>19</v>
      </c>
    </row>
    <row r="290" spans="1:264" ht="73.5" hidden="1" customHeight="1" x14ac:dyDescent="0.3">
      <c r="A290" s="15" t="s">
        <v>18</v>
      </c>
      <c r="B290" s="15" t="s">
        <v>1365</v>
      </c>
      <c r="C290" s="15" t="s">
        <v>534</v>
      </c>
      <c r="D290" s="15" t="s">
        <v>19</v>
      </c>
      <c r="E290" s="18" t="s">
        <v>109</v>
      </c>
      <c r="F290" s="18" t="s">
        <v>109</v>
      </c>
      <c r="G290" s="18" t="s">
        <v>109</v>
      </c>
      <c r="H290" s="18" t="s">
        <v>109</v>
      </c>
      <c r="I290" s="72" t="s">
        <v>19</v>
      </c>
      <c r="J290" s="72" t="s">
        <v>19</v>
      </c>
      <c r="K290" s="18" t="s">
        <v>19</v>
      </c>
      <c r="L290" s="18" t="s">
        <v>19</v>
      </c>
      <c r="M290" s="15" t="s">
        <v>2925</v>
      </c>
      <c r="N290" s="4" t="s">
        <v>1246</v>
      </c>
      <c r="O290" s="15"/>
      <c r="P290" s="4" t="s">
        <v>535</v>
      </c>
      <c r="S290" s="15" t="e" cm="1">
        <f t="array" aca="1" ref="S290" ca="1">COMMONMARKETCOUNT(H290:AV290)</f>
        <v>#NAME?</v>
      </c>
      <c r="T290" s="6" t="e" cm="1">
        <f t="array" aca="1" ref="T290" ca="1">AUTOMATEDCOUNT(H290:AV290)</f>
        <v>#NAME?</v>
      </c>
      <c r="V290" s="18" t="s">
        <v>109</v>
      </c>
      <c r="W290" s="18" t="s">
        <v>109</v>
      </c>
      <c r="X290" s="18" t="s">
        <v>109</v>
      </c>
      <c r="Y290" s="18" t="s">
        <v>109</v>
      </c>
      <c r="Z290" s="18" t="s">
        <v>109</v>
      </c>
      <c r="AA290" s="72" t="s">
        <v>19</v>
      </c>
      <c r="AB290" s="72" t="s">
        <v>19</v>
      </c>
      <c r="AC290" s="72" t="s">
        <v>19</v>
      </c>
      <c r="AD290" s="96" t="s">
        <v>19</v>
      </c>
      <c r="AE290" s="6" t="s">
        <v>19</v>
      </c>
      <c r="AF290" s="18" t="s">
        <v>19</v>
      </c>
      <c r="AG290" s="18" t="s">
        <v>19</v>
      </c>
      <c r="AH290" s="18" t="s">
        <v>19</v>
      </c>
      <c r="AI290" s="18" t="s">
        <v>19</v>
      </c>
      <c r="AJ290" s="18" t="s">
        <v>19</v>
      </c>
      <c r="AK290" s="18" t="s">
        <v>19</v>
      </c>
      <c r="AL290" s="18" t="s">
        <v>19</v>
      </c>
      <c r="AM290" s="18" t="s">
        <v>19</v>
      </c>
      <c r="AN290" s="18" t="s">
        <v>19</v>
      </c>
      <c r="AO290" s="18" t="s">
        <v>19</v>
      </c>
      <c r="AP290" s="18" t="s">
        <v>19</v>
      </c>
      <c r="AQ290" s="18" t="s">
        <v>19</v>
      </c>
      <c r="AR290" s="18" t="s">
        <v>19</v>
      </c>
      <c r="AS290" s="18" t="s">
        <v>19</v>
      </c>
      <c r="AT290" s="18" t="s">
        <v>19</v>
      </c>
      <c r="AU290" s="18" t="s">
        <v>3153</v>
      </c>
      <c r="AV290" s="36" t="s">
        <v>19</v>
      </c>
    </row>
    <row r="291" spans="1:264" ht="40.5" customHeight="1" x14ac:dyDescent="0.3">
      <c r="A291" s="15" t="s">
        <v>25</v>
      </c>
      <c r="B291" s="15" t="s">
        <v>1823</v>
      </c>
      <c r="C291" s="15" t="s">
        <v>536</v>
      </c>
      <c r="D291" s="15" t="s">
        <v>19</v>
      </c>
      <c r="E291" s="70" t="s">
        <v>19</v>
      </c>
      <c r="F291" s="70" t="s">
        <v>19</v>
      </c>
      <c r="G291" s="70" t="s">
        <v>19</v>
      </c>
      <c r="H291" s="70" t="s">
        <v>19</v>
      </c>
      <c r="I291" s="72" t="s">
        <v>19</v>
      </c>
      <c r="J291" s="72" t="s">
        <v>19</v>
      </c>
      <c r="K291" s="70" t="s">
        <v>19</v>
      </c>
      <c r="L291" s="70" t="s">
        <v>19</v>
      </c>
      <c r="M291" s="15" t="s">
        <v>537</v>
      </c>
      <c r="N291" s="4" t="s">
        <v>1546</v>
      </c>
      <c r="O291" s="15"/>
      <c r="P291" s="4" t="s">
        <v>3085</v>
      </c>
      <c r="S291" s="15" t="e" cm="1">
        <f t="array" aca="1" ref="S291" ca="1">COMMONMARKETCOUNT(H291:AV291)</f>
        <v>#NAME?</v>
      </c>
      <c r="T291" s="6" t="e" cm="1">
        <f t="array" aca="1" ref="T291" ca="1">AUTOMATEDCOUNT(H291:AV291)</f>
        <v>#NAME?</v>
      </c>
      <c r="V291" s="15" t="s">
        <v>109</v>
      </c>
      <c r="W291" s="70" t="s">
        <v>19</v>
      </c>
      <c r="X291" s="70" t="s">
        <v>19</v>
      </c>
      <c r="Y291" s="70" t="s">
        <v>19</v>
      </c>
      <c r="Z291" s="70" t="s">
        <v>19</v>
      </c>
      <c r="AA291" s="72" t="s">
        <v>19</v>
      </c>
      <c r="AB291" s="72" t="s">
        <v>19</v>
      </c>
      <c r="AC291" s="72" t="s">
        <v>19</v>
      </c>
      <c r="AD291" s="72" t="s">
        <v>19</v>
      </c>
      <c r="AE291" s="18" t="s">
        <v>19</v>
      </c>
      <c r="AF291" s="15" t="s">
        <v>19</v>
      </c>
      <c r="AG291" s="20" t="s">
        <v>19</v>
      </c>
      <c r="AH291" s="20" t="s">
        <v>19</v>
      </c>
      <c r="AI291" s="15" t="s">
        <v>19</v>
      </c>
      <c r="AJ291" s="15" t="s">
        <v>19</v>
      </c>
      <c r="AK291" s="15" t="s">
        <v>19</v>
      </c>
      <c r="AL291" s="15" t="s">
        <v>19</v>
      </c>
      <c r="AM291" s="18" t="s">
        <v>19</v>
      </c>
      <c r="AN291" s="18" t="s">
        <v>19</v>
      </c>
      <c r="AO291" s="18" t="s">
        <v>19</v>
      </c>
      <c r="AP291" s="15" t="s">
        <v>19</v>
      </c>
      <c r="AQ291" s="15" t="s">
        <v>19</v>
      </c>
      <c r="AR291" s="15" t="s">
        <v>19</v>
      </c>
      <c r="AS291" s="70" t="s">
        <v>19</v>
      </c>
      <c r="AT291" s="70" t="s">
        <v>19</v>
      </c>
      <c r="AU291" s="15" t="s">
        <v>3153</v>
      </c>
      <c r="AV291" s="36" t="s">
        <v>19</v>
      </c>
    </row>
    <row r="292" spans="1:264" ht="40.5" hidden="1" customHeight="1" x14ac:dyDescent="0.3">
      <c r="A292" s="15" t="s">
        <v>56</v>
      </c>
      <c r="B292" s="15" t="s">
        <v>1301</v>
      </c>
      <c r="C292" s="15" t="s">
        <v>538</v>
      </c>
      <c r="D292" s="15" t="s">
        <v>32</v>
      </c>
      <c r="E292" s="18" t="s">
        <v>109</v>
      </c>
      <c r="F292" s="18" t="s">
        <v>109</v>
      </c>
      <c r="G292" s="18" t="s">
        <v>109</v>
      </c>
      <c r="H292" s="18" t="s">
        <v>109</v>
      </c>
      <c r="I292" s="18" t="s">
        <v>109</v>
      </c>
      <c r="J292" s="18" t="s">
        <v>109</v>
      </c>
      <c r="K292" s="18" t="s">
        <v>109</v>
      </c>
      <c r="L292" s="18" t="s">
        <v>109</v>
      </c>
      <c r="M292" s="15" t="s">
        <v>539</v>
      </c>
      <c r="N292" s="4" t="s">
        <v>1247</v>
      </c>
      <c r="O292" s="15"/>
      <c r="P292" s="4" t="s">
        <v>1749</v>
      </c>
      <c r="S292" s="15" t="e" cm="1">
        <f t="array" aca="1" ref="S292" ca="1">COMMONMARKETCOUNT(H292:AV292)</f>
        <v>#NAME?</v>
      </c>
      <c r="T292" s="6" t="e" cm="1">
        <f t="array" aca="1" ref="T292" ca="1">AUTOMATEDCOUNT(H292:AV292)</f>
        <v>#NAME?</v>
      </c>
      <c r="V292" s="18" t="s">
        <v>109</v>
      </c>
      <c r="W292" s="18" t="s">
        <v>109</v>
      </c>
      <c r="X292" s="18" t="s">
        <v>109</v>
      </c>
      <c r="Y292" s="18" t="s">
        <v>109</v>
      </c>
      <c r="Z292" s="18" t="s">
        <v>109</v>
      </c>
      <c r="AA292" s="18" t="s">
        <v>109</v>
      </c>
      <c r="AB292" s="18" t="s">
        <v>109</v>
      </c>
      <c r="AC292" s="18" t="s">
        <v>109</v>
      </c>
      <c r="AD292" s="18" t="s">
        <v>19</v>
      </c>
      <c r="AE292" s="18" t="s">
        <v>19</v>
      </c>
      <c r="AF292" s="18" t="s">
        <v>109</v>
      </c>
      <c r="AG292" s="18" t="s">
        <v>109</v>
      </c>
      <c r="AH292" s="18" t="s">
        <v>109</v>
      </c>
      <c r="AI292" s="18" t="s">
        <v>109</v>
      </c>
      <c r="AJ292" s="18" t="s">
        <v>109</v>
      </c>
      <c r="AK292" s="18" t="s">
        <v>109</v>
      </c>
      <c r="AL292" s="18" t="s">
        <v>109</v>
      </c>
      <c r="AM292" s="18" t="s">
        <v>109</v>
      </c>
      <c r="AN292" s="18" t="s">
        <v>109</v>
      </c>
      <c r="AO292" s="18" t="s">
        <v>109</v>
      </c>
      <c r="AP292" s="18" t="s">
        <v>19</v>
      </c>
      <c r="AQ292" s="18" t="s">
        <v>19</v>
      </c>
      <c r="AR292" s="18" t="s">
        <v>19</v>
      </c>
      <c r="AS292" s="18" t="s">
        <v>19</v>
      </c>
      <c r="AT292" s="18" t="s">
        <v>19</v>
      </c>
      <c r="AU292" s="18" t="s">
        <v>3153</v>
      </c>
      <c r="AV292" s="36" t="s">
        <v>19</v>
      </c>
    </row>
    <row r="293" spans="1:264" ht="44.1" hidden="1" customHeight="1" x14ac:dyDescent="0.3">
      <c r="A293" s="18" t="s">
        <v>25</v>
      </c>
      <c r="B293" s="15" t="s">
        <v>542</v>
      </c>
      <c r="C293" s="15" t="s">
        <v>540</v>
      </c>
      <c r="D293" s="15" t="s">
        <v>19</v>
      </c>
      <c r="E293" s="18" t="s">
        <v>109</v>
      </c>
      <c r="F293" s="18" t="s">
        <v>109</v>
      </c>
      <c r="G293" s="18" t="s">
        <v>109</v>
      </c>
      <c r="H293" s="18" t="s">
        <v>109</v>
      </c>
      <c r="I293" s="72" t="s">
        <v>19</v>
      </c>
      <c r="J293" s="120" t="s">
        <v>3192</v>
      </c>
      <c r="K293" s="18" t="s">
        <v>109</v>
      </c>
      <c r="L293" s="18" t="s">
        <v>109</v>
      </c>
      <c r="M293" s="15" t="s">
        <v>541</v>
      </c>
      <c r="N293" s="4" t="s">
        <v>1248</v>
      </c>
      <c r="O293" s="15"/>
      <c r="P293" s="4" t="s">
        <v>1547</v>
      </c>
      <c r="S293" s="15" t="e" cm="1">
        <f t="array" aca="1" ref="S293" ca="1">COMMONMARKETCOUNT(H293:AV293)</f>
        <v>#NAME?</v>
      </c>
      <c r="T293" s="6" t="e" cm="1">
        <f t="array" aca="1" ref="T293" ca="1">AUTOMATEDCOUNT(H293:AV293)</f>
        <v>#NAME?</v>
      </c>
      <c r="V293" s="18" t="s">
        <v>109</v>
      </c>
      <c r="W293" s="18" t="s">
        <v>109</v>
      </c>
      <c r="X293" s="18" t="s">
        <v>109</v>
      </c>
      <c r="Y293" s="18" t="s">
        <v>109</v>
      </c>
      <c r="Z293" s="18" t="s">
        <v>109</v>
      </c>
      <c r="AA293" s="72" t="s">
        <v>19</v>
      </c>
      <c r="AB293" s="72" t="s">
        <v>19</v>
      </c>
      <c r="AC293" s="72" t="s">
        <v>19</v>
      </c>
      <c r="AD293" s="18" t="s">
        <v>109</v>
      </c>
      <c r="AE293" s="18" t="s">
        <v>109</v>
      </c>
      <c r="AF293" s="18" t="s">
        <v>109</v>
      </c>
      <c r="AG293" s="18" t="s">
        <v>19</v>
      </c>
      <c r="AH293" s="18" t="s">
        <v>19</v>
      </c>
      <c r="AI293" s="18" t="s">
        <v>19</v>
      </c>
      <c r="AJ293" s="18" t="s">
        <v>109</v>
      </c>
      <c r="AK293" s="18" t="s">
        <v>109</v>
      </c>
      <c r="AL293" s="18" t="s">
        <v>109</v>
      </c>
      <c r="AM293" s="18" t="s">
        <v>109</v>
      </c>
      <c r="AN293" s="18" t="s">
        <v>109</v>
      </c>
      <c r="AO293" s="18" t="s">
        <v>109</v>
      </c>
      <c r="AP293" s="18" t="s">
        <v>109</v>
      </c>
      <c r="AQ293" s="18" t="s">
        <v>109</v>
      </c>
      <c r="AR293" s="18" t="s">
        <v>109</v>
      </c>
      <c r="AS293" s="18" t="s">
        <v>109</v>
      </c>
      <c r="AT293" s="18" t="s">
        <v>109</v>
      </c>
      <c r="AU293" s="18" t="s">
        <v>109</v>
      </c>
      <c r="AV293" s="36" t="s">
        <v>109</v>
      </c>
    </row>
    <row r="294" spans="1:264" s="39" customFormat="1" ht="45.9" hidden="1" customHeight="1" x14ac:dyDescent="0.3">
      <c r="A294" s="18" t="s">
        <v>25</v>
      </c>
      <c r="B294" s="15" t="s">
        <v>542</v>
      </c>
      <c r="C294" s="15" t="s">
        <v>543</v>
      </c>
      <c r="D294" s="15" t="s">
        <v>19</v>
      </c>
      <c r="E294" s="18" t="s">
        <v>109</v>
      </c>
      <c r="F294" s="18" t="s">
        <v>109</v>
      </c>
      <c r="G294" s="15" t="s">
        <v>109</v>
      </c>
      <c r="H294" s="15" t="s">
        <v>109</v>
      </c>
      <c r="I294" s="72" t="s">
        <v>19</v>
      </c>
      <c r="J294" s="120" t="s">
        <v>3192</v>
      </c>
      <c r="K294" s="18" t="s">
        <v>19</v>
      </c>
      <c r="L294" s="18" t="s">
        <v>19</v>
      </c>
      <c r="M294" s="15" t="s">
        <v>2926</v>
      </c>
      <c r="N294" s="4" t="s">
        <v>2184</v>
      </c>
      <c r="O294" s="15"/>
      <c r="P294" s="4" t="s">
        <v>2253</v>
      </c>
      <c r="S294" s="15" t="e" cm="1">
        <f t="array" aca="1" ref="S294" ca="1">COMMONMARKETCOUNT(H294:AV294)</f>
        <v>#NAME?</v>
      </c>
      <c r="T294" s="6" t="e" cm="1">
        <f t="array" aca="1" ref="T294" ca="1">AUTOMATEDCOUNT(H294:AV294)</f>
        <v>#NAME?</v>
      </c>
      <c r="V294" s="18" t="s">
        <v>109</v>
      </c>
      <c r="W294" s="18" t="s">
        <v>109</v>
      </c>
      <c r="X294" s="18" t="s">
        <v>109</v>
      </c>
      <c r="Y294" s="18" t="s">
        <v>109</v>
      </c>
      <c r="Z294" s="18" t="s">
        <v>109</v>
      </c>
      <c r="AA294" s="72" t="s">
        <v>19</v>
      </c>
      <c r="AB294" s="72" t="s">
        <v>19</v>
      </c>
      <c r="AC294" s="72" t="s">
        <v>19</v>
      </c>
      <c r="AD294" s="72" t="s">
        <v>19</v>
      </c>
      <c r="AE294" s="18" t="s">
        <v>19</v>
      </c>
      <c r="AF294" s="18" t="s">
        <v>19</v>
      </c>
      <c r="AG294" s="18" t="s">
        <v>19</v>
      </c>
      <c r="AH294" s="18" t="s">
        <v>19</v>
      </c>
      <c r="AI294" s="18" t="s">
        <v>19</v>
      </c>
      <c r="AJ294" s="18" t="s">
        <v>19</v>
      </c>
      <c r="AK294" s="18" t="s">
        <v>19</v>
      </c>
      <c r="AL294" s="18" t="s">
        <v>19</v>
      </c>
      <c r="AM294" s="18" t="s">
        <v>19</v>
      </c>
      <c r="AN294" s="18" t="s">
        <v>19</v>
      </c>
      <c r="AO294" s="18" t="s">
        <v>19</v>
      </c>
      <c r="AP294" s="18" t="s">
        <v>19</v>
      </c>
      <c r="AQ294" s="18" t="s">
        <v>19</v>
      </c>
      <c r="AR294" s="18" t="s">
        <v>19</v>
      </c>
      <c r="AS294" s="18" t="s">
        <v>19</v>
      </c>
      <c r="AT294" s="18" t="s">
        <v>19</v>
      </c>
      <c r="AU294" s="18" t="s">
        <v>3153</v>
      </c>
      <c r="AV294" s="36" t="s">
        <v>19</v>
      </c>
      <c r="AW294" s="16"/>
      <c r="AX294" s="16"/>
      <c r="AY294" s="16"/>
      <c r="AZ294" s="16"/>
      <c r="BA294" s="16"/>
      <c r="BB294" s="16"/>
      <c r="BC294" s="16"/>
      <c r="BD294" s="16"/>
      <c r="BE294" s="16"/>
      <c r="BF294" s="16"/>
      <c r="BG294" s="16"/>
      <c r="BH294" s="16"/>
      <c r="BI294" s="16"/>
      <c r="BJ294" s="16"/>
      <c r="BK294" s="16"/>
      <c r="BL294" s="16"/>
      <c r="BM294" s="16"/>
      <c r="BN294" s="16"/>
      <c r="BO294" s="16"/>
      <c r="BP294" s="16"/>
      <c r="BQ294" s="16"/>
      <c r="BR294" s="16"/>
      <c r="BS294" s="16"/>
      <c r="BT294" s="16"/>
      <c r="BU294" s="16"/>
      <c r="BV294" s="16"/>
      <c r="BW294" s="16"/>
      <c r="BX294" s="16"/>
      <c r="BY294" s="16"/>
      <c r="BZ294" s="16"/>
      <c r="CA294" s="16"/>
      <c r="CB294" s="16"/>
      <c r="CC294" s="16"/>
      <c r="CD294" s="16"/>
      <c r="CE294" s="16"/>
      <c r="CF294" s="16"/>
      <c r="CG294" s="16"/>
      <c r="CH294" s="16"/>
      <c r="CI294" s="16"/>
      <c r="CJ294" s="16"/>
      <c r="CK294" s="16"/>
      <c r="CL294" s="16"/>
      <c r="CM294" s="16"/>
      <c r="CN294" s="16"/>
      <c r="CO294" s="16"/>
      <c r="CP294" s="16"/>
      <c r="CQ294" s="16"/>
      <c r="CR294" s="16"/>
      <c r="CS294" s="16"/>
      <c r="CT294" s="16"/>
      <c r="CU294" s="16"/>
      <c r="CV294" s="16"/>
      <c r="CW294" s="16"/>
      <c r="CX294" s="16"/>
      <c r="CY294" s="16"/>
      <c r="CZ294" s="16"/>
      <c r="DA294" s="16"/>
      <c r="DB294" s="16"/>
      <c r="DC294" s="16"/>
      <c r="DD294" s="16"/>
      <c r="DE294" s="16"/>
      <c r="DF294" s="16"/>
      <c r="DG294" s="16"/>
      <c r="DH294" s="16"/>
      <c r="DI294" s="16"/>
      <c r="DJ294" s="16"/>
      <c r="DK294" s="16"/>
      <c r="DL294" s="16"/>
      <c r="DM294" s="16"/>
      <c r="DN294" s="16"/>
      <c r="DO294" s="16"/>
      <c r="DP294" s="16"/>
      <c r="DQ294" s="16"/>
      <c r="DR294" s="16"/>
      <c r="DS294" s="16"/>
      <c r="DT294" s="16"/>
      <c r="DU294" s="16"/>
      <c r="DV294" s="16"/>
      <c r="DW294" s="16"/>
      <c r="DX294" s="16"/>
      <c r="DY294" s="16"/>
      <c r="DZ294" s="16"/>
      <c r="EA294" s="16"/>
      <c r="EB294" s="16"/>
      <c r="EC294" s="16"/>
      <c r="ED294" s="16"/>
      <c r="EE294" s="16"/>
      <c r="EF294" s="16"/>
      <c r="EG294" s="16"/>
      <c r="EH294" s="16"/>
      <c r="EI294" s="16"/>
      <c r="EJ294" s="16"/>
      <c r="EK294" s="16"/>
      <c r="EL294" s="16"/>
      <c r="EM294" s="16"/>
      <c r="EN294" s="16"/>
      <c r="EO294" s="16"/>
      <c r="EP294" s="16"/>
      <c r="EQ294" s="16"/>
      <c r="ER294" s="16"/>
      <c r="ES294" s="16"/>
      <c r="ET294" s="16"/>
      <c r="EU294" s="16"/>
      <c r="EV294" s="16"/>
      <c r="EW294" s="16"/>
      <c r="EX294" s="16"/>
      <c r="EY294" s="16"/>
      <c r="EZ294" s="16"/>
      <c r="FA294" s="16"/>
      <c r="FB294" s="16"/>
      <c r="FC294" s="16"/>
      <c r="FD294" s="16"/>
      <c r="FE294" s="16"/>
      <c r="FF294" s="16"/>
      <c r="FG294" s="16"/>
      <c r="FH294" s="16"/>
      <c r="FI294" s="16"/>
      <c r="FJ294" s="16"/>
      <c r="FK294" s="16"/>
      <c r="FL294" s="16"/>
      <c r="FM294" s="16"/>
      <c r="FN294" s="16"/>
      <c r="FO294" s="16"/>
      <c r="FP294" s="16"/>
      <c r="FQ294" s="16"/>
      <c r="FR294" s="16"/>
      <c r="FS294" s="16"/>
      <c r="FT294" s="16"/>
      <c r="FU294" s="16"/>
      <c r="FV294" s="16"/>
      <c r="FW294" s="16"/>
      <c r="FX294" s="16"/>
      <c r="FY294" s="16"/>
      <c r="FZ294" s="16"/>
      <c r="GA294" s="16"/>
      <c r="GB294" s="16"/>
      <c r="GC294" s="16"/>
      <c r="GD294" s="16"/>
      <c r="GE294" s="16"/>
      <c r="GF294" s="16"/>
      <c r="GG294" s="16"/>
      <c r="GH294" s="16"/>
      <c r="GI294" s="16"/>
      <c r="GJ294" s="16"/>
      <c r="GK294" s="16"/>
      <c r="GL294" s="16"/>
      <c r="GM294" s="16"/>
      <c r="GN294" s="16"/>
      <c r="GO294" s="16"/>
      <c r="GP294" s="16"/>
      <c r="GQ294" s="16"/>
      <c r="GR294" s="16"/>
      <c r="GS294" s="16"/>
      <c r="GT294" s="16"/>
      <c r="GU294" s="16"/>
      <c r="GV294" s="16"/>
      <c r="GW294" s="16"/>
      <c r="GX294" s="16"/>
      <c r="GY294" s="16"/>
      <c r="GZ294" s="16"/>
      <c r="HA294" s="16"/>
      <c r="HB294" s="16"/>
      <c r="HC294" s="16"/>
      <c r="HD294" s="16"/>
      <c r="HE294" s="16"/>
      <c r="HF294" s="16"/>
      <c r="HG294" s="16"/>
      <c r="HH294" s="16"/>
      <c r="HI294" s="16"/>
      <c r="HJ294" s="16"/>
      <c r="HK294" s="16"/>
      <c r="HL294" s="16"/>
      <c r="HM294" s="16"/>
      <c r="HN294" s="16"/>
      <c r="HO294" s="16"/>
      <c r="HP294" s="16"/>
      <c r="HQ294" s="16"/>
      <c r="HR294" s="16"/>
      <c r="HS294" s="16"/>
      <c r="HT294" s="16"/>
      <c r="HU294" s="16"/>
      <c r="HV294" s="16"/>
      <c r="HW294" s="16"/>
      <c r="HX294" s="16"/>
      <c r="HY294" s="16"/>
      <c r="HZ294" s="16"/>
      <c r="IA294" s="16"/>
      <c r="IB294" s="16"/>
      <c r="IC294" s="16"/>
      <c r="ID294" s="16"/>
      <c r="IE294" s="16"/>
      <c r="IF294" s="16"/>
      <c r="IG294" s="16"/>
      <c r="IH294" s="16"/>
      <c r="II294" s="16"/>
      <c r="IJ294" s="16"/>
      <c r="IK294" s="16"/>
      <c r="IL294" s="16"/>
      <c r="IM294" s="16"/>
      <c r="IN294" s="16"/>
      <c r="IO294" s="16"/>
      <c r="IP294" s="16"/>
      <c r="IQ294" s="16"/>
      <c r="IR294" s="16"/>
      <c r="IS294" s="16"/>
      <c r="IT294" s="16"/>
      <c r="IU294" s="16"/>
      <c r="IV294" s="16"/>
      <c r="IW294" s="16"/>
      <c r="IX294" s="16"/>
      <c r="IY294" s="16"/>
      <c r="IZ294" s="16"/>
      <c r="JA294" s="16"/>
      <c r="JB294" s="16"/>
      <c r="JC294" s="16"/>
    </row>
    <row r="295" spans="1:264" ht="90" hidden="1" customHeight="1" x14ac:dyDescent="0.3">
      <c r="A295" s="18" t="s">
        <v>25</v>
      </c>
      <c r="B295" s="15" t="s">
        <v>1365</v>
      </c>
      <c r="C295" s="15" t="s">
        <v>544</v>
      </c>
      <c r="D295" s="15" t="s">
        <v>19</v>
      </c>
      <c r="E295" s="18" t="s">
        <v>109</v>
      </c>
      <c r="F295" s="18" t="s">
        <v>109</v>
      </c>
      <c r="G295" s="15" t="s">
        <v>109</v>
      </c>
      <c r="H295" s="15" t="s">
        <v>109</v>
      </c>
      <c r="I295" s="72" t="s">
        <v>19</v>
      </c>
      <c r="J295" s="72" t="s">
        <v>19</v>
      </c>
      <c r="K295" s="18" t="s">
        <v>19</v>
      </c>
      <c r="L295" s="18" t="s">
        <v>19</v>
      </c>
      <c r="M295" s="15" t="s">
        <v>2927</v>
      </c>
      <c r="N295" s="4" t="s">
        <v>2185</v>
      </c>
      <c r="O295" s="15"/>
      <c r="P295" s="4" t="s">
        <v>3086</v>
      </c>
      <c r="S295" s="15" t="e" cm="1">
        <f t="array" aca="1" ref="S295" ca="1">COMMONMARKETCOUNT(H295:AV295)</f>
        <v>#NAME?</v>
      </c>
      <c r="T295" s="6" t="e" cm="1">
        <f t="array" aca="1" ref="T295" ca="1">AUTOMATEDCOUNT(H295:AV295)</f>
        <v>#NAME?</v>
      </c>
      <c r="V295" s="18" t="s">
        <v>109</v>
      </c>
      <c r="W295" s="18" t="s">
        <v>109</v>
      </c>
      <c r="X295" s="18" t="s">
        <v>109</v>
      </c>
      <c r="Y295" s="18" t="s">
        <v>109</v>
      </c>
      <c r="Z295" s="18" t="s">
        <v>109</v>
      </c>
      <c r="AA295" s="72" t="s">
        <v>19</v>
      </c>
      <c r="AB295" s="72" t="s">
        <v>19</v>
      </c>
      <c r="AC295" s="72" t="s">
        <v>19</v>
      </c>
      <c r="AD295" s="72" t="s">
        <v>19</v>
      </c>
      <c r="AE295" s="18" t="s">
        <v>19</v>
      </c>
      <c r="AF295" s="18" t="s">
        <v>19</v>
      </c>
      <c r="AG295" s="18" t="s">
        <v>19</v>
      </c>
      <c r="AH295" s="18" t="s">
        <v>19</v>
      </c>
      <c r="AI295" s="18" t="s">
        <v>19</v>
      </c>
      <c r="AJ295" s="18" t="s">
        <v>19</v>
      </c>
      <c r="AK295" s="18" t="s">
        <v>19</v>
      </c>
      <c r="AL295" s="18" t="s">
        <v>19</v>
      </c>
      <c r="AM295" s="18" t="s">
        <v>19</v>
      </c>
      <c r="AN295" s="18" t="s">
        <v>19</v>
      </c>
      <c r="AO295" s="18" t="s">
        <v>19</v>
      </c>
      <c r="AP295" s="18" t="s">
        <v>19</v>
      </c>
      <c r="AQ295" s="18" t="s">
        <v>19</v>
      </c>
      <c r="AR295" s="18" t="s">
        <v>19</v>
      </c>
      <c r="AS295" s="18" t="s">
        <v>19</v>
      </c>
      <c r="AT295" s="18" t="s">
        <v>19</v>
      </c>
      <c r="AU295" s="18" t="s">
        <v>3153</v>
      </c>
      <c r="AV295" s="36" t="s">
        <v>19</v>
      </c>
    </row>
    <row r="296" spans="1:264" ht="66.75" hidden="1" customHeight="1" x14ac:dyDescent="0.3">
      <c r="A296" s="18" t="s">
        <v>25</v>
      </c>
      <c r="B296" s="15" t="s">
        <v>542</v>
      </c>
      <c r="C296" s="15" t="s">
        <v>545</v>
      </c>
      <c r="D296" s="15" t="s">
        <v>19</v>
      </c>
      <c r="E296" s="18" t="s">
        <v>109</v>
      </c>
      <c r="F296" s="18" t="s">
        <v>109</v>
      </c>
      <c r="G296" s="15" t="s">
        <v>109</v>
      </c>
      <c r="H296" s="15" t="s">
        <v>109</v>
      </c>
      <c r="I296" s="72" t="s">
        <v>19</v>
      </c>
      <c r="J296" s="120" t="s">
        <v>3192</v>
      </c>
      <c r="K296" s="18" t="s">
        <v>19</v>
      </c>
      <c r="L296" s="18" t="s">
        <v>19</v>
      </c>
      <c r="M296" s="15" t="s">
        <v>2928</v>
      </c>
      <c r="N296" s="4" t="s">
        <v>2186</v>
      </c>
      <c r="O296" s="15"/>
      <c r="P296" s="4" t="s">
        <v>3087</v>
      </c>
      <c r="S296" s="15" t="e" cm="1">
        <f t="array" aca="1" ref="S296" ca="1">COMMONMARKETCOUNT(H296:AV296)</f>
        <v>#NAME?</v>
      </c>
      <c r="T296" s="6" t="e" cm="1">
        <f t="array" aca="1" ref="T296" ca="1">AUTOMATEDCOUNT(H296:AV296)</f>
        <v>#NAME?</v>
      </c>
      <c r="V296" s="18" t="s">
        <v>109</v>
      </c>
      <c r="W296" s="18" t="s">
        <v>109</v>
      </c>
      <c r="X296" s="18" t="s">
        <v>109</v>
      </c>
      <c r="Y296" s="18" t="s">
        <v>109</v>
      </c>
      <c r="Z296" s="18" t="s">
        <v>109</v>
      </c>
      <c r="AA296" s="72" t="s">
        <v>19</v>
      </c>
      <c r="AB296" s="72" t="s">
        <v>19</v>
      </c>
      <c r="AC296" s="72" t="s">
        <v>19</v>
      </c>
      <c r="AD296" s="72" t="s">
        <v>19</v>
      </c>
      <c r="AE296" s="18" t="s">
        <v>19</v>
      </c>
      <c r="AF296" s="18" t="s">
        <v>19</v>
      </c>
      <c r="AG296" s="18" t="s">
        <v>19</v>
      </c>
      <c r="AH296" s="18" t="s">
        <v>19</v>
      </c>
      <c r="AI296" s="18" t="s">
        <v>19</v>
      </c>
      <c r="AJ296" s="18" t="s">
        <v>19</v>
      </c>
      <c r="AK296" s="18" t="s">
        <v>19</v>
      </c>
      <c r="AL296" s="18" t="s">
        <v>19</v>
      </c>
      <c r="AM296" s="18" t="s">
        <v>19</v>
      </c>
      <c r="AN296" s="18" t="s">
        <v>19</v>
      </c>
      <c r="AO296" s="18" t="s">
        <v>19</v>
      </c>
      <c r="AP296" s="18" t="s">
        <v>19</v>
      </c>
      <c r="AQ296" s="18" t="s">
        <v>19</v>
      </c>
      <c r="AR296" s="18" t="s">
        <v>19</v>
      </c>
      <c r="AS296" s="18" t="s">
        <v>19</v>
      </c>
      <c r="AT296" s="18" t="s">
        <v>19</v>
      </c>
      <c r="AU296" s="18" t="s">
        <v>3153</v>
      </c>
      <c r="AV296" s="36" t="s">
        <v>19</v>
      </c>
    </row>
    <row r="297" spans="1:264" ht="63.75" hidden="1" customHeight="1" x14ac:dyDescent="0.3">
      <c r="A297" s="18" t="s">
        <v>25</v>
      </c>
      <c r="B297" s="15" t="s">
        <v>542</v>
      </c>
      <c r="C297" s="15" t="s">
        <v>875</v>
      </c>
      <c r="D297" s="15" t="s">
        <v>19</v>
      </c>
      <c r="E297" s="18" t="s">
        <v>109</v>
      </c>
      <c r="F297" s="18" t="s">
        <v>109</v>
      </c>
      <c r="G297" s="15" t="s">
        <v>109</v>
      </c>
      <c r="H297" s="15" t="s">
        <v>109</v>
      </c>
      <c r="I297" s="72" t="s">
        <v>19</v>
      </c>
      <c r="J297" s="120" t="s">
        <v>3192</v>
      </c>
      <c r="K297" s="18" t="s">
        <v>19</v>
      </c>
      <c r="L297" s="18" t="s">
        <v>19</v>
      </c>
      <c r="M297" s="15" t="s">
        <v>2153</v>
      </c>
      <c r="N297" s="4" t="s">
        <v>2187</v>
      </c>
      <c r="O297" s="15"/>
      <c r="P297" s="4" t="s">
        <v>2163</v>
      </c>
      <c r="S297" s="15" t="e" cm="1">
        <f t="array" aca="1" ref="S297" ca="1">COMMONMARKETCOUNT(H297:AV297)</f>
        <v>#NAME?</v>
      </c>
      <c r="T297" s="6" t="e" cm="1">
        <f t="array" aca="1" ref="T297" ca="1">AUTOMATEDCOUNT(H297:AV297)</f>
        <v>#NAME?</v>
      </c>
      <c r="V297" s="18" t="s">
        <v>109</v>
      </c>
      <c r="W297" s="18" t="s">
        <v>109</v>
      </c>
      <c r="X297" s="18" t="s">
        <v>109</v>
      </c>
      <c r="Y297" s="18" t="s">
        <v>109</v>
      </c>
      <c r="Z297" s="18" t="s">
        <v>109</v>
      </c>
      <c r="AA297" s="72" t="s">
        <v>19</v>
      </c>
      <c r="AB297" s="72" t="s">
        <v>19</v>
      </c>
      <c r="AC297" s="72" t="s">
        <v>19</v>
      </c>
      <c r="AD297" s="72" t="s">
        <v>19</v>
      </c>
      <c r="AE297" s="18" t="s">
        <v>19</v>
      </c>
      <c r="AF297" s="18" t="s">
        <v>19</v>
      </c>
      <c r="AG297" s="18" t="s">
        <v>19</v>
      </c>
      <c r="AH297" s="18" t="s">
        <v>19</v>
      </c>
      <c r="AI297" s="18" t="s">
        <v>19</v>
      </c>
      <c r="AJ297" s="18" t="s">
        <v>19</v>
      </c>
      <c r="AK297" s="18" t="s">
        <v>19</v>
      </c>
      <c r="AL297" s="18" t="s">
        <v>19</v>
      </c>
      <c r="AM297" s="18" t="s">
        <v>19</v>
      </c>
      <c r="AN297" s="18" t="s">
        <v>19</v>
      </c>
      <c r="AO297" s="18" t="s">
        <v>19</v>
      </c>
      <c r="AP297" s="18" t="s">
        <v>19</v>
      </c>
      <c r="AQ297" s="18" t="s">
        <v>19</v>
      </c>
      <c r="AR297" s="18" t="s">
        <v>19</v>
      </c>
      <c r="AS297" s="18" t="s">
        <v>19</v>
      </c>
      <c r="AT297" s="18" t="s">
        <v>19</v>
      </c>
      <c r="AU297" s="18" t="s">
        <v>3153</v>
      </c>
      <c r="AV297" s="36" t="s">
        <v>19</v>
      </c>
    </row>
    <row r="298" spans="1:264" ht="78" hidden="1" customHeight="1" x14ac:dyDescent="0.3">
      <c r="A298" s="18" t="s">
        <v>25</v>
      </c>
      <c r="B298" s="15" t="s">
        <v>542</v>
      </c>
      <c r="C298" s="102" t="s">
        <v>876</v>
      </c>
      <c r="D298" s="15" t="s">
        <v>19</v>
      </c>
      <c r="E298" s="72" t="s">
        <v>19</v>
      </c>
      <c r="F298" s="120" t="s">
        <v>3192</v>
      </c>
      <c r="G298" s="72" t="s">
        <v>19</v>
      </c>
      <c r="H298" s="120" t="s">
        <v>3192</v>
      </c>
      <c r="I298" s="72" t="s">
        <v>19</v>
      </c>
      <c r="J298" s="120" t="s">
        <v>3192</v>
      </c>
      <c r="K298" s="72" t="s">
        <v>19</v>
      </c>
      <c r="L298" s="72" t="s">
        <v>19</v>
      </c>
      <c r="M298" s="15" t="s">
        <v>2188</v>
      </c>
      <c r="N298" s="4" t="s">
        <v>2189</v>
      </c>
      <c r="O298" s="15"/>
      <c r="P298" s="4" t="s">
        <v>1608</v>
      </c>
      <c r="S298" s="15" t="e" cm="1">
        <f t="array" aca="1" ref="S298" ca="1">COMMONMARKETCOUNT(H298:AV298)</f>
        <v>#NAME?</v>
      </c>
      <c r="T298" s="6" t="e" cm="1">
        <f t="array" aca="1" ref="T298" ca="1">AUTOMATEDCOUNT(H298:AV298)</f>
        <v>#NAME?</v>
      </c>
      <c r="V298" s="72" t="s">
        <v>19</v>
      </c>
      <c r="W298" s="72" t="s">
        <v>19</v>
      </c>
      <c r="X298" s="72" t="s">
        <v>19</v>
      </c>
      <c r="Y298" s="72" t="s">
        <v>19</v>
      </c>
      <c r="Z298" s="72" t="s">
        <v>19</v>
      </c>
      <c r="AA298" s="72" t="s">
        <v>19</v>
      </c>
      <c r="AB298" s="72" t="s">
        <v>19</v>
      </c>
      <c r="AC298" s="72" t="s">
        <v>19</v>
      </c>
      <c r="AD298" s="72" t="s">
        <v>19</v>
      </c>
      <c r="AE298" s="18" t="s">
        <v>19</v>
      </c>
      <c r="AF298" s="18" t="s">
        <v>19</v>
      </c>
      <c r="AG298" s="18" t="s">
        <v>19</v>
      </c>
      <c r="AH298" s="18" t="s">
        <v>19</v>
      </c>
      <c r="AI298" s="18" t="s">
        <v>19</v>
      </c>
      <c r="AJ298" s="18" t="s">
        <v>109</v>
      </c>
      <c r="AK298" s="18" t="s">
        <v>109</v>
      </c>
      <c r="AL298" s="18" t="s">
        <v>109</v>
      </c>
      <c r="AM298" s="18" t="s">
        <v>109</v>
      </c>
      <c r="AN298" s="18" t="s">
        <v>109</v>
      </c>
      <c r="AO298" s="18" t="s">
        <v>109</v>
      </c>
      <c r="AP298" s="18" t="s">
        <v>19</v>
      </c>
      <c r="AQ298" s="18" t="s">
        <v>19</v>
      </c>
      <c r="AR298" s="18" t="s">
        <v>19</v>
      </c>
      <c r="AS298" s="18" t="s">
        <v>19</v>
      </c>
      <c r="AT298" s="18" t="s">
        <v>19</v>
      </c>
      <c r="AU298" s="18" t="s">
        <v>3153</v>
      </c>
      <c r="AV298" s="36" t="s">
        <v>19</v>
      </c>
    </row>
    <row r="299" spans="1:264" ht="66.75" hidden="1" customHeight="1" x14ac:dyDescent="0.3">
      <c r="A299" s="15" t="s">
        <v>56</v>
      </c>
      <c r="B299" s="15" t="s">
        <v>1160</v>
      </c>
      <c r="C299" s="15" t="s">
        <v>917</v>
      </c>
      <c r="D299" s="15" t="s">
        <v>32</v>
      </c>
      <c r="E299" s="15" t="s">
        <v>19</v>
      </c>
      <c r="F299" s="15" t="s">
        <v>19</v>
      </c>
      <c r="G299" s="15" t="s">
        <v>19</v>
      </c>
      <c r="H299" s="15" t="s">
        <v>19</v>
      </c>
      <c r="I299" s="15" t="s">
        <v>19</v>
      </c>
      <c r="J299" s="15" t="s">
        <v>19</v>
      </c>
      <c r="K299" s="15" t="s">
        <v>19</v>
      </c>
      <c r="L299" s="15" t="s">
        <v>19</v>
      </c>
      <c r="M299" s="15" t="s">
        <v>896</v>
      </c>
      <c r="N299" s="4" t="s">
        <v>1163</v>
      </c>
      <c r="O299" s="33" t="s">
        <v>1645</v>
      </c>
      <c r="P299" s="4" t="s">
        <v>3088</v>
      </c>
      <c r="S299" s="15" t="e" cm="1">
        <f t="array" aca="1" ref="S299" ca="1">COMMONMARKETCOUNT(H299:AV299)</f>
        <v>#NAME?</v>
      </c>
      <c r="T299" s="6" t="e" cm="1">
        <f t="array" aca="1" ref="T299" ca="1">AUTOMATEDCOUNT(H299:AV299)</f>
        <v>#NAME?</v>
      </c>
      <c r="V299" s="15" t="s">
        <v>19</v>
      </c>
      <c r="W299" s="15" t="s">
        <v>19</v>
      </c>
      <c r="X299" s="15" t="s">
        <v>19</v>
      </c>
      <c r="Y299" s="15" t="s">
        <v>19</v>
      </c>
      <c r="Z299" s="15" t="s">
        <v>19</v>
      </c>
      <c r="AA299" s="15" t="s">
        <v>19</v>
      </c>
      <c r="AB299" s="15" t="s">
        <v>19</v>
      </c>
      <c r="AC299" s="15" t="s">
        <v>19</v>
      </c>
      <c r="AD299" s="18" t="s">
        <v>19</v>
      </c>
      <c r="AE299" s="18" t="s">
        <v>19</v>
      </c>
      <c r="AF299" s="15" t="s">
        <v>19</v>
      </c>
      <c r="AG299" s="15" t="s">
        <v>19</v>
      </c>
      <c r="AH299" s="15" t="s">
        <v>19</v>
      </c>
      <c r="AI299" s="15" t="s">
        <v>19</v>
      </c>
      <c r="AJ299" s="15" t="s">
        <v>19</v>
      </c>
      <c r="AK299" s="15" t="s">
        <v>19</v>
      </c>
      <c r="AL299" s="15" t="s">
        <v>19</v>
      </c>
      <c r="AM299" s="15" t="s">
        <v>19</v>
      </c>
      <c r="AN299" s="15" t="s">
        <v>19</v>
      </c>
      <c r="AO299" s="15" t="s">
        <v>19</v>
      </c>
      <c r="AP299" s="15" t="s">
        <v>19</v>
      </c>
      <c r="AQ299" s="15" t="s">
        <v>19</v>
      </c>
      <c r="AR299" s="15" t="s">
        <v>19</v>
      </c>
      <c r="AS299" s="15" t="s">
        <v>19</v>
      </c>
      <c r="AT299" s="15" t="s">
        <v>19</v>
      </c>
      <c r="AU299" s="15" t="s">
        <v>3153</v>
      </c>
      <c r="AV299" s="36" t="s">
        <v>19</v>
      </c>
    </row>
    <row r="300" spans="1:264" ht="57" hidden="1" customHeight="1" x14ac:dyDescent="0.3">
      <c r="A300" s="15" t="s">
        <v>25</v>
      </c>
      <c r="B300" s="15" t="s">
        <v>24</v>
      </c>
      <c r="C300" s="15" t="s">
        <v>918</v>
      </c>
      <c r="D300" s="15" t="s">
        <v>32</v>
      </c>
      <c r="E300" s="15" t="s">
        <v>19</v>
      </c>
      <c r="F300" s="15" t="s">
        <v>19</v>
      </c>
      <c r="G300" s="15" t="s">
        <v>19</v>
      </c>
      <c r="H300" s="15" t="s">
        <v>19</v>
      </c>
      <c r="I300" s="15" t="s">
        <v>19</v>
      </c>
      <c r="J300" s="15" t="s">
        <v>19</v>
      </c>
      <c r="K300" s="15" t="s">
        <v>19</v>
      </c>
      <c r="L300" s="15" t="s">
        <v>19</v>
      </c>
      <c r="M300" s="15" t="s">
        <v>2152</v>
      </c>
      <c r="N300" s="4" t="s">
        <v>899</v>
      </c>
      <c r="O300" s="33" t="s">
        <v>1645</v>
      </c>
      <c r="P300" s="4" t="s">
        <v>2151</v>
      </c>
      <c r="S300" s="15" t="e" cm="1">
        <f t="array" aca="1" ref="S300" ca="1">COMMONMARKETCOUNT(H300:AV300)</f>
        <v>#NAME?</v>
      </c>
      <c r="T300" s="6" t="e" cm="1">
        <f t="array" aca="1" ref="T300" ca="1">AUTOMATEDCOUNT(H300:AV300)</f>
        <v>#NAME?</v>
      </c>
      <c r="V300" s="15" t="s">
        <v>19</v>
      </c>
      <c r="W300" s="15" t="s">
        <v>19</v>
      </c>
      <c r="X300" s="15" t="s">
        <v>19</v>
      </c>
      <c r="Y300" s="15" t="s">
        <v>19</v>
      </c>
      <c r="Z300" s="15" t="s">
        <v>19</v>
      </c>
      <c r="AA300" s="15" t="s">
        <v>19</v>
      </c>
      <c r="AB300" s="15" t="s">
        <v>19</v>
      </c>
      <c r="AC300" s="15" t="s">
        <v>19</v>
      </c>
      <c r="AD300" s="15" t="s">
        <v>19</v>
      </c>
      <c r="AE300" s="15" t="s">
        <v>19</v>
      </c>
      <c r="AF300" s="15" t="s">
        <v>19</v>
      </c>
      <c r="AG300" s="15" t="s">
        <v>19</v>
      </c>
      <c r="AH300" s="15" t="s">
        <v>19</v>
      </c>
      <c r="AI300" s="15" t="s">
        <v>19</v>
      </c>
      <c r="AJ300" s="15" t="s">
        <v>19</v>
      </c>
      <c r="AK300" s="15" t="s">
        <v>19</v>
      </c>
      <c r="AL300" s="15" t="s">
        <v>19</v>
      </c>
      <c r="AM300" s="15" t="s">
        <v>19</v>
      </c>
      <c r="AN300" s="15" t="s">
        <v>19</v>
      </c>
      <c r="AO300" s="15" t="s">
        <v>19</v>
      </c>
      <c r="AP300" s="15" t="s">
        <v>19</v>
      </c>
      <c r="AQ300" s="15" t="s">
        <v>19</v>
      </c>
      <c r="AR300" s="15" t="s">
        <v>19</v>
      </c>
      <c r="AS300" s="15" t="s">
        <v>19</v>
      </c>
      <c r="AT300" s="15" t="s">
        <v>19</v>
      </c>
      <c r="AU300" s="15" t="s">
        <v>3153</v>
      </c>
      <c r="AV300" s="36" t="s">
        <v>19</v>
      </c>
    </row>
    <row r="301" spans="1:264" s="5" customFormat="1" ht="55.5" hidden="1" customHeight="1" x14ac:dyDescent="0.3">
      <c r="A301" s="18" t="s">
        <v>25</v>
      </c>
      <c r="B301" s="15" t="s">
        <v>542</v>
      </c>
      <c r="C301" s="15" t="s">
        <v>877</v>
      </c>
      <c r="D301" s="15" t="s">
        <v>19</v>
      </c>
      <c r="E301" s="18" t="s">
        <v>109</v>
      </c>
      <c r="F301" s="18" t="s">
        <v>109</v>
      </c>
      <c r="G301" s="18" t="s">
        <v>109</v>
      </c>
      <c r="H301" s="18" t="s">
        <v>109</v>
      </c>
      <c r="I301" s="72" t="s">
        <v>19</v>
      </c>
      <c r="J301" s="120" t="s">
        <v>3192</v>
      </c>
      <c r="K301" s="18" t="s">
        <v>19</v>
      </c>
      <c r="L301" s="18" t="s">
        <v>19</v>
      </c>
      <c r="M301" s="15" t="s">
        <v>2190</v>
      </c>
      <c r="N301" s="4" t="s">
        <v>2191</v>
      </c>
      <c r="O301" s="15"/>
      <c r="P301" s="4" t="s">
        <v>1750</v>
      </c>
      <c r="S301" s="15" t="e" cm="1">
        <f t="array" aca="1" ref="S301" ca="1">COMMONMARKETCOUNT(H301:AV301)</f>
        <v>#NAME?</v>
      </c>
      <c r="T301" s="6" t="e" cm="1">
        <f t="array" aca="1" ref="T301" ca="1">AUTOMATEDCOUNT(H301:AV301)</f>
        <v>#NAME?</v>
      </c>
      <c r="V301" s="18" t="s">
        <v>109</v>
      </c>
      <c r="W301" s="18" t="s">
        <v>109</v>
      </c>
      <c r="X301" s="18" t="s">
        <v>109</v>
      </c>
      <c r="Y301" s="18" t="s">
        <v>109</v>
      </c>
      <c r="Z301" s="18" t="s">
        <v>109</v>
      </c>
      <c r="AA301" s="72" t="s">
        <v>19</v>
      </c>
      <c r="AB301" s="72" t="s">
        <v>19</v>
      </c>
      <c r="AC301" s="72" t="s">
        <v>19</v>
      </c>
      <c r="AD301" s="70" t="s">
        <v>19</v>
      </c>
      <c r="AE301" s="15" t="s">
        <v>19</v>
      </c>
      <c r="AF301" s="18" t="s">
        <v>19</v>
      </c>
      <c r="AG301" s="18" t="s">
        <v>19</v>
      </c>
      <c r="AH301" s="18" t="s">
        <v>19</v>
      </c>
      <c r="AI301" s="18" t="s">
        <v>19</v>
      </c>
      <c r="AJ301" s="18" t="s">
        <v>109</v>
      </c>
      <c r="AK301" s="18" t="s">
        <v>109</v>
      </c>
      <c r="AL301" s="18" t="s">
        <v>109</v>
      </c>
      <c r="AM301" s="18" t="s">
        <v>109</v>
      </c>
      <c r="AN301" s="18" t="s">
        <v>109</v>
      </c>
      <c r="AO301" s="18" t="s">
        <v>109</v>
      </c>
      <c r="AP301" s="18" t="s">
        <v>109</v>
      </c>
      <c r="AQ301" s="18" t="s">
        <v>109</v>
      </c>
      <c r="AR301" s="18" t="s">
        <v>109</v>
      </c>
      <c r="AS301" s="18" t="s">
        <v>109</v>
      </c>
      <c r="AT301" s="18" t="s">
        <v>109</v>
      </c>
      <c r="AU301" s="18" t="s">
        <v>109</v>
      </c>
      <c r="AV301" s="36" t="s">
        <v>109</v>
      </c>
      <c r="AW301" s="16"/>
      <c r="AX301" s="16"/>
      <c r="AY301" s="16"/>
      <c r="AZ301" s="16"/>
      <c r="BA301" s="16"/>
      <c r="BB301" s="16"/>
      <c r="BC301" s="16"/>
      <c r="BD301" s="16"/>
      <c r="BE301" s="16"/>
      <c r="BF301" s="16"/>
      <c r="BG301" s="16"/>
      <c r="BH301" s="16"/>
      <c r="BI301" s="16"/>
      <c r="BJ301" s="16"/>
      <c r="BK301" s="16"/>
      <c r="BL301" s="16"/>
      <c r="BM301" s="16"/>
      <c r="BN301" s="16"/>
      <c r="BO301" s="16"/>
      <c r="BP301" s="16"/>
      <c r="BQ301" s="16"/>
      <c r="BR301" s="16"/>
      <c r="BS301" s="16"/>
      <c r="BT301" s="16"/>
      <c r="BU301" s="16"/>
      <c r="BV301" s="16"/>
      <c r="BW301" s="16"/>
      <c r="BX301" s="16"/>
      <c r="BY301" s="16"/>
      <c r="BZ301" s="16"/>
      <c r="CA301" s="16"/>
      <c r="CB301" s="16"/>
      <c r="CC301" s="16"/>
      <c r="CD301" s="16"/>
      <c r="CE301" s="16"/>
      <c r="CF301" s="16"/>
      <c r="CG301" s="16"/>
      <c r="CH301" s="16"/>
      <c r="CI301" s="16"/>
      <c r="CJ301" s="16"/>
      <c r="CK301" s="16"/>
      <c r="CL301" s="16"/>
      <c r="CM301" s="16"/>
      <c r="CN301" s="16"/>
      <c r="CO301" s="16"/>
      <c r="CP301" s="16"/>
      <c r="CQ301" s="16"/>
      <c r="CR301" s="16"/>
      <c r="CS301" s="16"/>
      <c r="CT301" s="16"/>
      <c r="CU301" s="16"/>
      <c r="CV301" s="16"/>
      <c r="CW301" s="16"/>
      <c r="CX301" s="16"/>
      <c r="CY301" s="16"/>
      <c r="CZ301" s="16"/>
      <c r="DA301" s="16"/>
      <c r="DB301" s="16"/>
      <c r="DC301" s="16"/>
      <c r="DD301" s="16"/>
      <c r="DE301" s="16"/>
      <c r="DF301" s="16"/>
      <c r="DG301" s="16"/>
      <c r="DH301" s="16"/>
      <c r="DI301" s="16"/>
      <c r="DJ301" s="16"/>
      <c r="DK301" s="16"/>
      <c r="DL301" s="16"/>
      <c r="DM301" s="16"/>
      <c r="DN301" s="16"/>
      <c r="DO301" s="16"/>
      <c r="DP301" s="16"/>
      <c r="DQ301" s="16"/>
      <c r="DR301" s="16"/>
      <c r="DS301" s="16"/>
      <c r="DT301" s="16"/>
      <c r="DU301" s="16"/>
      <c r="DV301" s="16"/>
      <c r="DW301" s="16"/>
      <c r="DX301" s="16"/>
      <c r="DY301" s="16"/>
      <c r="DZ301" s="16"/>
      <c r="EA301" s="16"/>
      <c r="EB301" s="16"/>
      <c r="EC301" s="16"/>
      <c r="ED301" s="16"/>
      <c r="EE301" s="16"/>
      <c r="EF301" s="16"/>
      <c r="EG301" s="16"/>
      <c r="EH301" s="16"/>
      <c r="EI301" s="16"/>
      <c r="EJ301" s="16"/>
      <c r="EK301" s="16"/>
      <c r="EL301" s="16"/>
      <c r="EM301" s="16"/>
      <c r="EN301" s="16"/>
      <c r="EO301" s="16"/>
      <c r="EP301" s="16"/>
      <c r="EQ301" s="16"/>
      <c r="ER301" s="16"/>
      <c r="ES301" s="16"/>
      <c r="ET301" s="16"/>
      <c r="EU301" s="16"/>
      <c r="EV301" s="16"/>
      <c r="EW301" s="16"/>
      <c r="EX301" s="16"/>
      <c r="EY301" s="16"/>
      <c r="EZ301" s="16"/>
      <c r="FA301" s="16"/>
      <c r="FB301" s="16"/>
      <c r="FC301" s="16"/>
      <c r="FD301" s="16"/>
      <c r="FE301" s="16"/>
      <c r="FF301" s="16"/>
      <c r="FG301" s="16"/>
      <c r="FH301" s="16"/>
      <c r="FI301" s="16"/>
      <c r="FJ301" s="16"/>
      <c r="FK301" s="16"/>
      <c r="FL301" s="16"/>
      <c r="FM301" s="16"/>
      <c r="FN301" s="16"/>
      <c r="FO301" s="16"/>
      <c r="FP301" s="16"/>
      <c r="FQ301" s="16"/>
      <c r="FR301" s="16"/>
      <c r="FS301" s="16"/>
      <c r="FT301" s="16"/>
      <c r="FU301" s="16"/>
      <c r="FV301" s="16"/>
      <c r="FW301" s="16"/>
      <c r="FX301" s="16"/>
      <c r="FY301" s="16"/>
      <c r="FZ301" s="16"/>
      <c r="GA301" s="16"/>
      <c r="GB301" s="16"/>
      <c r="GC301" s="16"/>
      <c r="GD301" s="16"/>
      <c r="GE301" s="16"/>
      <c r="GF301" s="16"/>
      <c r="GG301" s="16"/>
      <c r="GH301" s="16"/>
      <c r="GI301" s="16"/>
      <c r="GJ301" s="16"/>
      <c r="GK301" s="16"/>
      <c r="GL301" s="16"/>
      <c r="GM301" s="16"/>
      <c r="GN301" s="16"/>
      <c r="GO301" s="16"/>
      <c r="GP301" s="16"/>
      <c r="GQ301" s="16"/>
      <c r="GR301" s="16"/>
      <c r="GS301" s="16"/>
      <c r="GT301" s="16"/>
      <c r="GU301" s="16"/>
      <c r="GV301" s="16"/>
      <c r="GW301" s="16"/>
      <c r="GX301" s="16"/>
      <c r="GY301" s="16"/>
      <c r="GZ301" s="16"/>
      <c r="HA301" s="16"/>
      <c r="HB301" s="16"/>
      <c r="HC301" s="16"/>
      <c r="HD301" s="16"/>
      <c r="HE301" s="16"/>
      <c r="HF301" s="16"/>
      <c r="HG301" s="16"/>
      <c r="HH301" s="16"/>
      <c r="HI301" s="16"/>
      <c r="HJ301" s="16"/>
      <c r="HK301" s="16"/>
      <c r="HL301" s="16"/>
      <c r="HM301" s="16"/>
      <c r="HN301" s="16"/>
      <c r="HO301" s="16"/>
      <c r="HP301" s="16"/>
      <c r="HQ301" s="16"/>
      <c r="HR301" s="16"/>
      <c r="HS301" s="16"/>
      <c r="HT301" s="16"/>
      <c r="HU301" s="16"/>
      <c r="HV301" s="16"/>
      <c r="HW301" s="16"/>
      <c r="HX301" s="16"/>
      <c r="HY301" s="16"/>
      <c r="HZ301" s="16"/>
      <c r="IA301" s="16"/>
      <c r="IB301" s="16"/>
      <c r="IC301" s="16"/>
      <c r="ID301" s="16"/>
      <c r="IE301" s="16"/>
      <c r="IF301" s="16"/>
      <c r="IG301" s="16"/>
      <c r="IH301" s="16"/>
      <c r="II301" s="16"/>
      <c r="IJ301" s="16"/>
      <c r="IK301" s="16"/>
      <c r="IL301" s="16"/>
      <c r="IM301" s="16"/>
      <c r="IN301" s="16"/>
      <c r="IO301" s="16"/>
      <c r="IP301" s="16"/>
      <c r="IQ301" s="16"/>
      <c r="IR301" s="16"/>
      <c r="IS301" s="16"/>
      <c r="IT301" s="16"/>
      <c r="IU301" s="16"/>
      <c r="IV301" s="16"/>
      <c r="IW301" s="16"/>
      <c r="IX301" s="16"/>
      <c r="IY301" s="16"/>
      <c r="IZ301" s="16"/>
      <c r="JA301" s="16"/>
      <c r="JB301" s="16"/>
      <c r="JC301" s="16"/>
      <c r="JD301" s="16"/>
    </row>
    <row r="302" spans="1:264" ht="70.5" hidden="1" customHeight="1" x14ac:dyDescent="0.3">
      <c r="A302" s="4" t="s">
        <v>2268</v>
      </c>
      <c r="B302" s="4" t="s">
        <v>2270</v>
      </c>
      <c r="C302" s="4" t="s">
        <v>1916</v>
      </c>
      <c r="D302" s="6" t="s">
        <v>109</v>
      </c>
      <c r="E302" s="6" t="s">
        <v>109</v>
      </c>
      <c r="F302" s="6" t="s">
        <v>109</v>
      </c>
      <c r="G302" s="6" t="s">
        <v>109</v>
      </c>
      <c r="H302" s="6" t="s">
        <v>109</v>
      </c>
      <c r="I302" s="6" t="s">
        <v>19</v>
      </c>
      <c r="J302" s="6" t="s">
        <v>19</v>
      </c>
      <c r="K302" s="6" t="s">
        <v>19</v>
      </c>
      <c r="L302" s="6" t="s">
        <v>19</v>
      </c>
      <c r="M302" s="15" t="s">
        <v>2929</v>
      </c>
      <c r="N302" s="4" t="s">
        <v>1917</v>
      </c>
      <c r="O302" s="4"/>
      <c r="P302" s="4" t="s">
        <v>3089</v>
      </c>
      <c r="S302" s="15" t="e" cm="1">
        <f t="array" aca="1" ref="S302" ca="1">COMMONMARKETCOUNT(H302:AV302)</f>
        <v>#NAME?</v>
      </c>
      <c r="T302" s="6" t="e" cm="1">
        <f t="array" aca="1" ref="T302" ca="1">AUTOMATEDCOUNT(H302:AV302)</f>
        <v>#NAME?</v>
      </c>
      <c r="V302" s="6" t="s">
        <v>109</v>
      </c>
      <c r="W302" s="6" t="s">
        <v>109</v>
      </c>
      <c r="X302" s="6" t="s">
        <v>109</v>
      </c>
      <c r="Y302" s="6" t="s">
        <v>109</v>
      </c>
      <c r="Z302" s="6" t="s">
        <v>109</v>
      </c>
      <c r="AA302" s="6" t="s">
        <v>19</v>
      </c>
      <c r="AB302" s="6" t="s">
        <v>19</v>
      </c>
      <c r="AC302" s="6" t="s">
        <v>19</v>
      </c>
      <c r="AD302" s="18" t="s">
        <v>19</v>
      </c>
      <c r="AE302" s="18" t="s">
        <v>19</v>
      </c>
      <c r="AF302" s="6" t="s">
        <v>19</v>
      </c>
      <c r="AG302" s="6" t="s">
        <v>19</v>
      </c>
      <c r="AH302" s="6" t="s">
        <v>19</v>
      </c>
      <c r="AI302" s="6" t="s">
        <v>19</v>
      </c>
      <c r="AJ302" s="6" t="s">
        <v>19</v>
      </c>
      <c r="AK302" s="6" t="s">
        <v>19</v>
      </c>
      <c r="AL302" s="6" t="s">
        <v>19</v>
      </c>
      <c r="AM302" s="6" t="s">
        <v>19</v>
      </c>
      <c r="AN302" s="6" t="s">
        <v>19</v>
      </c>
      <c r="AO302" s="6" t="s">
        <v>19</v>
      </c>
      <c r="AP302" s="6" t="s">
        <v>109</v>
      </c>
      <c r="AQ302" s="6" t="s">
        <v>109</v>
      </c>
      <c r="AR302" s="6" t="s">
        <v>109</v>
      </c>
      <c r="AS302" s="6" t="s">
        <v>109</v>
      </c>
      <c r="AT302" s="6" t="s">
        <v>109</v>
      </c>
      <c r="AU302" s="6" t="s">
        <v>109</v>
      </c>
      <c r="AV302" s="36" t="s">
        <v>109</v>
      </c>
    </row>
    <row r="303" spans="1:264" ht="60.75" hidden="1" customHeight="1" x14ac:dyDescent="0.3">
      <c r="A303" s="4" t="s">
        <v>2268</v>
      </c>
      <c r="B303" s="4" t="s">
        <v>2273</v>
      </c>
      <c r="C303" s="4" t="s">
        <v>1918</v>
      </c>
      <c r="D303" s="6" t="s">
        <v>109</v>
      </c>
      <c r="E303" s="6" t="s">
        <v>109</v>
      </c>
      <c r="F303" s="6" t="s">
        <v>109</v>
      </c>
      <c r="G303" s="6" t="s">
        <v>109</v>
      </c>
      <c r="H303" s="6" t="s">
        <v>109</v>
      </c>
      <c r="I303" s="6" t="s">
        <v>109</v>
      </c>
      <c r="J303" s="6" t="s">
        <v>109</v>
      </c>
      <c r="K303" s="6" t="s">
        <v>109</v>
      </c>
      <c r="L303" s="6" t="s">
        <v>109</v>
      </c>
      <c r="M303" s="15" t="s">
        <v>2930</v>
      </c>
      <c r="N303" s="4" t="s">
        <v>2046</v>
      </c>
      <c r="O303" s="4"/>
      <c r="P303" s="4" t="s">
        <v>3090</v>
      </c>
      <c r="S303" s="15" t="e" cm="1">
        <f t="array" aca="1" ref="S303" ca="1">COMMONMARKETCOUNT(H303:AV303)</f>
        <v>#NAME?</v>
      </c>
      <c r="T303" s="6" t="e" cm="1">
        <f t="array" aca="1" ref="T303" ca="1">AUTOMATEDCOUNT(H303:AV303)</f>
        <v>#NAME?</v>
      </c>
      <c r="V303" s="6" t="s">
        <v>109</v>
      </c>
      <c r="W303" s="6" t="s">
        <v>109</v>
      </c>
      <c r="X303" s="6" t="s">
        <v>109</v>
      </c>
      <c r="Y303" s="6" t="s">
        <v>109</v>
      </c>
      <c r="Z303" s="6" t="s">
        <v>109</v>
      </c>
      <c r="AA303" s="6" t="s">
        <v>109</v>
      </c>
      <c r="AB303" s="6" t="s">
        <v>109</v>
      </c>
      <c r="AC303" s="6" t="s">
        <v>109</v>
      </c>
      <c r="AD303" s="6" t="s">
        <v>19</v>
      </c>
      <c r="AE303" s="6" t="s">
        <v>19</v>
      </c>
      <c r="AF303" s="6" t="s">
        <v>109</v>
      </c>
      <c r="AG303" s="6" t="s">
        <v>109</v>
      </c>
      <c r="AH303" s="6" t="s">
        <v>109</v>
      </c>
      <c r="AI303" s="6" t="s">
        <v>109</v>
      </c>
      <c r="AJ303" s="6" t="s">
        <v>109</v>
      </c>
      <c r="AK303" s="6" t="s">
        <v>109</v>
      </c>
      <c r="AL303" s="6" t="s">
        <v>109</v>
      </c>
      <c r="AM303" s="6" t="s">
        <v>109</v>
      </c>
      <c r="AN303" s="6" t="s">
        <v>109</v>
      </c>
      <c r="AO303" s="6" t="s">
        <v>109</v>
      </c>
      <c r="AP303" s="6" t="s">
        <v>109</v>
      </c>
      <c r="AQ303" s="6" t="s">
        <v>109</v>
      </c>
      <c r="AR303" s="6" t="s">
        <v>109</v>
      </c>
      <c r="AS303" s="6" t="s">
        <v>109</v>
      </c>
      <c r="AT303" s="6" t="s">
        <v>109</v>
      </c>
      <c r="AU303" s="6" t="s">
        <v>3153</v>
      </c>
      <c r="AV303" s="36" t="s">
        <v>109</v>
      </c>
    </row>
    <row r="304" spans="1:264" ht="82.5" customHeight="1" x14ac:dyDescent="0.3">
      <c r="A304" s="15" t="s">
        <v>25</v>
      </c>
      <c r="B304" s="15" t="s">
        <v>1823</v>
      </c>
      <c r="C304" s="15" t="s">
        <v>546</v>
      </c>
      <c r="D304" s="15" t="s">
        <v>19</v>
      </c>
      <c r="E304" s="70" t="s">
        <v>19</v>
      </c>
      <c r="F304" s="70" t="s">
        <v>19</v>
      </c>
      <c r="G304" s="70" t="s">
        <v>19</v>
      </c>
      <c r="H304" s="70" t="s">
        <v>19</v>
      </c>
      <c r="I304" s="72" t="s">
        <v>19</v>
      </c>
      <c r="J304" s="72" t="s">
        <v>19</v>
      </c>
      <c r="K304" s="70" t="s">
        <v>19</v>
      </c>
      <c r="L304" s="70" t="s">
        <v>19</v>
      </c>
      <c r="M304" s="15" t="s">
        <v>547</v>
      </c>
      <c r="N304" s="4" t="s">
        <v>1548</v>
      </c>
      <c r="O304" s="15"/>
      <c r="P304" s="4" t="s">
        <v>3091</v>
      </c>
      <c r="S304" s="15" t="e" cm="1">
        <f t="array" aca="1" ref="S304" ca="1">COMMONMARKETCOUNT(H304:AV304)</f>
        <v>#NAME?</v>
      </c>
      <c r="T304" s="6" t="e" cm="1">
        <f t="array" aca="1" ref="T304" ca="1">AUTOMATEDCOUNT(H304:AV304)</f>
        <v>#NAME?</v>
      </c>
      <c r="V304" s="15" t="s">
        <v>109</v>
      </c>
      <c r="W304" s="70" t="s">
        <v>19</v>
      </c>
      <c r="X304" s="70" t="s">
        <v>19</v>
      </c>
      <c r="Y304" s="70" t="s">
        <v>19</v>
      </c>
      <c r="Z304" s="70" t="s">
        <v>19</v>
      </c>
      <c r="AA304" s="72" t="s">
        <v>19</v>
      </c>
      <c r="AB304" s="72" t="s">
        <v>19</v>
      </c>
      <c r="AC304" s="72" t="s">
        <v>19</v>
      </c>
      <c r="AD304" s="6" t="s">
        <v>109</v>
      </c>
      <c r="AE304" s="6" t="s">
        <v>109</v>
      </c>
      <c r="AF304" s="15" t="s">
        <v>19</v>
      </c>
      <c r="AG304" s="20" t="s">
        <v>19</v>
      </c>
      <c r="AH304" s="15" t="s">
        <v>19</v>
      </c>
      <c r="AI304" s="15" t="s">
        <v>19</v>
      </c>
      <c r="AJ304" s="15" t="s">
        <v>19</v>
      </c>
      <c r="AK304" s="15" t="s">
        <v>19</v>
      </c>
      <c r="AL304" s="15" t="s">
        <v>19</v>
      </c>
      <c r="AM304" s="18" t="s">
        <v>19</v>
      </c>
      <c r="AN304" s="18" t="s">
        <v>19</v>
      </c>
      <c r="AO304" s="18" t="s">
        <v>19</v>
      </c>
      <c r="AP304" s="15" t="s">
        <v>19</v>
      </c>
      <c r="AQ304" s="15" t="s">
        <v>19</v>
      </c>
      <c r="AR304" s="15" t="s">
        <v>19</v>
      </c>
      <c r="AS304" s="15" t="s">
        <v>19</v>
      </c>
      <c r="AT304" s="15" t="s">
        <v>19</v>
      </c>
      <c r="AU304" s="15" t="s">
        <v>3153</v>
      </c>
      <c r="AV304" s="36" t="s">
        <v>19</v>
      </c>
    </row>
    <row r="305" spans="1:264" ht="121.5" hidden="1" customHeight="1" x14ac:dyDescent="0.3">
      <c r="A305" s="4" t="s">
        <v>2268</v>
      </c>
      <c r="B305" s="4" t="s">
        <v>2273</v>
      </c>
      <c r="C305" s="4" t="s">
        <v>1919</v>
      </c>
      <c r="D305" s="6" t="s">
        <v>109</v>
      </c>
      <c r="E305" s="6" t="s">
        <v>109</v>
      </c>
      <c r="F305" s="6" t="s">
        <v>109</v>
      </c>
      <c r="G305" s="6" t="s">
        <v>109</v>
      </c>
      <c r="H305" s="6" t="s">
        <v>109</v>
      </c>
      <c r="I305" s="6" t="s">
        <v>109</v>
      </c>
      <c r="J305" s="6" t="s">
        <v>109</v>
      </c>
      <c r="K305" s="6" t="s">
        <v>109</v>
      </c>
      <c r="L305" s="6" t="s">
        <v>109</v>
      </c>
      <c r="M305" s="15" t="s">
        <v>2373</v>
      </c>
      <c r="N305" s="4" t="s">
        <v>2045</v>
      </c>
      <c r="O305" s="4"/>
      <c r="P305" s="4">
        <v>0</v>
      </c>
      <c r="S305" s="15" t="e" cm="1">
        <f t="array" aca="1" ref="S305" ca="1">COMMONMARKETCOUNT(H305:AV305)</f>
        <v>#NAME?</v>
      </c>
      <c r="T305" s="6" t="e" cm="1">
        <f t="array" aca="1" ref="T305" ca="1">AUTOMATEDCOUNT(H305:AV305)</f>
        <v>#NAME?</v>
      </c>
      <c r="V305" s="6" t="s">
        <v>109</v>
      </c>
      <c r="W305" s="6" t="s">
        <v>109</v>
      </c>
      <c r="X305" s="6" t="s">
        <v>109</v>
      </c>
      <c r="Y305" s="6" t="s">
        <v>109</v>
      </c>
      <c r="Z305" s="6" t="s">
        <v>109</v>
      </c>
      <c r="AA305" s="6" t="s">
        <v>109</v>
      </c>
      <c r="AB305" s="6" t="s">
        <v>109</v>
      </c>
      <c r="AC305" s="6" t="s">
        <v>109</v>
      </c>
      <c r="AD305" s="18" t="s">
        <v>19</v>
      </c>
      <c r="AE305" s="18" t="s">
        <v>19</v>
      </c>
      <c r="AF305" s="6" t="s">
        <v>109</v>
      </c>
      <c r="AG305" s="6" t="s">
        <v>109</v>
      </c>
      <c r="AH305" s="6" t="s">
        <v>109</v>
      </c>
      <c r="AI305" s="6" t="s">
        <v>109</v>
      </c>
      <c r="AJ305" s="6" t="s">
        <v>109</v>
      </c>
      <c r="AK305" s="6" t="s">
        <v>109</v>
      </c>
      <c r="AL305" s="6" t="s">
        <v>109</v>
      </c>
      <c r="AM305" s="6" t="s">
        <v>109</v>
      </c>
      <c r="AN305" s="6" t="s">
        <v>109</v>
      </c>
      <c r="AO305" s="6" t="s">
        <v>109</v>
      </c>
      <c r="AP305" s="6" t="s">
        <v>109</v>
      </c>
      <c r="AQ305" s="6" t="s">
        <v>109</v>
      </c>
      <c r="AR305" s="6" t="s">
        <v>109</v>
      </c>
      <c r="AS305" s="6" t="s">
        <v>109</v>
      </c>
      <c r="AT305" s="6" t="s">
        <v>109</v>
      </c>
      <c r="AU305" s="6" t="s">
        <v>3153</v>
      </c>
      <c r="AV305" s="36" t="s">
        <v>109</v>
      </c>
    </row>
    <row r="306" spans="1:264" ht="101.25" hidden="1" customHeight="1" x14ac:dyDescent="0.3">
      <c r="A306" s="4" t="s">
        <v>2268</v>
      </c>
      <c r="B306" s="4" t="s">
        <v>2273</v>
      </c>
      <c r="C306" s="4" t="s">
        <v>1920</v>
      </c>
      <c r="D306" s="6" t="s">
        <v>109</v>
      </c>
      <c r="E306" s="6" t="s">
        <v>109</v>
      </c>
      <c r="F306" s="6" t="s">
        <v>109</v>
      </c>
      <c r="G306" s="6" t="s">
        <v>109</v>
      </c>
      <c r="H306" s="6" t="s">
        <v>109</v>
      </c>
      <c r="I306" s="6" t="s">
        <v>109</v>
      </c>
      <c r="J306" s="6" t="s">
        <v>109</v>
      </c>
      <c r="K306" s="6" t="s">
        <v>109</v>
      </c>
      <c r="L306" s="6" t="s">
        <v>109</v>
      </c>
      <c r="M306" s="15" t="s">
        <v>2931</v>
      </c>
      <c r="N306" s="4" t="s">
        <v>2194</v>
      </c>
      <c r="O306" s="4"/>
      <c r="P306" s="4" t="s">
        <v>3092</v>
      </c>
      <c r="S306" s="15" t="e" cm="1">
        <f t="array" aca="1" ref="S306" ca="1">COMMONMARKETCOUNT(H306:AV306)</f>
        <v>#NAME?</v>
      </c>
      <c r="T306" s="6" t="e" cm="1">
        <f t="array" aca="1" ref="T306" ca="1">AUTOMATEDCOUNT(H306:AV306)</f>
        <v>#NAME?</v>
      </c>
      <c r="V306" s="6" t="s">
        <v>109</v>
      </c>
      <c r="W306" s="6" t="s">
        <v>109</v>
      </c>
      <c r="X306" s="6" t="s">
        <v>109</v>
      </c>
      <c r="Y306" s="6" t="s">
        <v>109</v>
      </c>
      <c r="Z306" s="6" t="s">
        <v>109</v>
      </c>
      <c r="AA306" s="6" t="s">
        <v>109</v>
      </c>
      <c r="AB306" s="6" t="s">
        <v>109</v>
      </c>
      <c r="AC306" s="6" t="s">
        <v>109</v>
      </c>
      <c r="AD306" s="6" t="s">
        <v>109</v>
      </c>
      <c r="AE306" s="6" t="s">
        <v>109</v>
      </c>
      <c r="AF306" s="6" t="s">
        <v>109</v>
      </c>
      <c r="AG306" s="6" t="s">
        <v>109</v>
      </c>
      <c r="AH306" s="6" t="s">
        <v>109</v>
      </c>
      <c r="AI306" s="6" t="s">
        <v>109</v>
      </c>
      <c r="AJ306" s="6" t="s">
        <v>109</v>
      </c>
      <c r="AK306" s="6" t="s">
        <v>109</v>
      </c>
      <c r="AL306" s="6" t="s">
        <v>109</v>
      </c>
      <c r="AM306" s="6" t="s">
        <v>109</v>
      </c>
      <c r="AN306" s="6" t="s">
        <v>109</v>
      </c>
      <c r="AO306" s="6" t="s">
        <v>109</v>
      </c>
      <c r="AP306" s="6" t="s">
        <v>109</v>
      </c>
      <c r="AQ306" s="6" t="s">
        <v>109</v>
      </c>
      <c r="AR306" s="6" t="s">
        <v>109</v>
      </c>
      <c r="AS306" s="6" t="s">
        <v>109</v>
      </c>
      <c r="AT306" s="6" t="s">
        <v>109</v>
      </c>
      <c r="AU306" s="6" t="s">
        <v>3153</v>
      </c>
      <c r="AV306" s="36" t="s">
        <v>109</v>
      </c>
    </row>
    <row r="307" spans="1:264" ht="86.25" hidden="1" customHeight="1" x14ac:dyDescent="0.3">
      <c r="A307" s="4" t="s">
        <v>25</v>
      </c>
      <c r="B307" s="4" t="s">
        <v>17</v>
      </c>
      <c r="C307" s="4" t="s">
        <v>1921</v>
      </c>
      <c r="D307" s="6" t="s">
        <v>19</v>
      </c>
      <c r="E307" s="6" t="s">
        <v>109</v>
      </c>
      <c r="F307" s="6" t="s">
        <v>109</v>
      </c>
      <c r="G307" s="6" t="s">
        <v>109</v>
      </c>
      <c r="H307" s="6" t="s">
        <v>109</v>
      </c>
      <c r="I307" s="6" t="s">
        <v>109</v>
      </c>
      <c r="J307" s="6" t="s">
        <v>109</v>
      </c>
      <c r="K307" s="6" t="s">
        <v>109</v>
      </c>
      <c r="L307" s="6" t="s">
        <v>109</v>
      </c>
      <c r="M307" s="15" t="s">
        <v>2932</v>
      </c>
      <c r="N307" s="4" t="s">
        <v>2047</v>
      </c>
      <c r="O307" s="4"/>
      <c r="P307" s="4" t="s">
        <v>3093</v>
      </c>
      <c r="S307" s="15" t="e" cm="1">
        <f t="array" aca="1" ref="S307" ca="1">COMMONMARKETCOUNT(H307:AV307)</f>
        <v>#NAME?</v>
      </c>
      <c r="T307" s="6" t="e" cm="1">
        <f t="array" aca="1" ref="T307" ca="1">AUTOMATEDCOUNT(H307:AV307)</f>
        <v>#NAME?</v>
      </c>
      <c r="V307" s="6" t="s">
        <v>109</v>
      </c>
      <c r="W307" s="6" t="s">
        <v>109</v>
      </c>
      <c r="X307" s="6" t="s">
        <v>109</v>
      </c>
      <c r="Y307" s="6" t="s">
        <v>109</v>
      </c>
      <c r="Z307" s="6" t="s">
        <v>109</v>
      </c>
      <c r="AA307" s="6" t="s">
        <v>109</v>
      </c>
      <c r="AB307" s="6" t="s">
        <v>109</v>
      </c>
      <c r="AC307" s="6" t="s">
        <v>109</v>
      </c>
      <c r="AD307" s="6" t="s">
        <v>109</v>
      </c>
      <c r="AE307" s="6" t="s">
        <v>109</v>
      </c>
      <c r="AF307" s="6" t="s">
        <v>109</v>
      </c>
      <c r="AG307" s="6" t="s">
        <v>109</v>
      </c>
      <c r="AH307" s="6" t="s">
        <v>109</v>
      </c>
      <c r="AI307" s="6" t="s">
        <v>109</v>
      </c>
      <c r="AJ307" s="6" t="s">
        <v>109</v>
      </c>
      <c r="AK307" s="6" t="s">
        <v>109</v>
      </c>
      <c r="AL307" s="6" t="s">
        <v>109</v>
      </c>
      <c r="AM307" s="6" t="s">
        <v>109</v>
      </c>
      <c r="AN307" s="6" t="s">
        <v>109</v>
      </c>
      <c r="AO307" s="6" t="s">
        <v>109</v>
      </c>
      <c r="AP307" s="6" t="s">
        <v>109</v>
      </c>
      <c r="AQ307" s="6" t="s">
        <v>109</v>
      </c>
      <c r="AR307" s="6" t="s">
        <v>109</v>
      </c>
      <c r="AS307" s="6" t="s">
        <v>109</v>
      </c>
      <c r="AT307" s="6" t="s">
        <v>109</v>
      </c>
      <c r="AU307" s="6" t="s">
        <v>3153</v>
      </c>
      <c r="AV307" s="36" t="s">
        <v>109</v>
      </c>
    </row>
    <row r="308" spans="1:264" ht="63.75" hidden="1" customHeight="1" x14ac:dyDescent="0.3">
      <c r="A308" s="4" t="s">
        <v>56</v>
      </c>
      <c r="B308" s="4" t="s">
        <v>1283</v>
      </c>
      <c r="C308" s="4" t="s">
        <v>1922</v>
      </c>
      <c r="D308" s="6" t="s">
        <v>32</v>
      </c>
      <c r="E308" s="6" t="s">
        <v>109</v>
      </c>
      <c r="F308" s="6" t="s">
        <v>109</v>
      </c>
      <c r="G308" s="6" t="s">
        <v>109</v>
      </c>
      <c r="H308" s="6" t="s">
        <v>109</v>
      </c>
      <c r="I308" s="6" t="s">
        <v>109</v>
      </c>
      <c r="J308" s="6" t="s">
        <v>109</v>
      </c>
      <c r="K308" s="6" t="s">
        <v>109</v>
      </c>
      <c r="L308" s="6" t="s">
        <v>109</v>
      </c>
      <c r="M308" s="15" t="s">
        <v>2933</v>
      </c>
      <c r="N308" s="4" t="s">
        <v>2048</v>
      </c>
      <c r="O308" s="4"/>
      <c r="P308" s="4" t="s">
        <v>3081</v>
      </c>
      <c r="S308" s="15" t="e" cm="1">
        <f t="array" aca="1" ref="S308" ca="1">COMMONMARKETCOUNT(H308:AV308)</f>
        <v>#NAME?</v>
      </c>
      <c r="T308" s="6" t="e" cm="1">
        <f t="array" aca="1" ref="T308" ca="1">AUTOMATEDCOUNT(H308:AV308)</f>
        <v>#NAME?</v>
      </c>
      <c r="V308" s="6" t="s">
        <v>109</v>
      </c>
      <c r="W308" s="6" t="s">
        <v>109</v>
      </c>
      <c r="X308" s="6" t="s">
        <v>109</v>
      </c>
      <c r="Y308" s="6" t="s">
        <v>109</v>
      </c>
      <c r="Z308" s="6" t="s">
        <v>109</v>
      </c>
      <c r="AA308" s="6" t="s">
        <v>109</v>
      </c>
      <c r="AB308" s="6" t="s">
        <v>109</v>
      </c>
      <c r="AC308" s="6" t="s">
        <v>109</v>
      </c>
      <c r="AD308" s="6" t="s">
        <v>109</v>
      </c>
      <c r="AE308" s="6" t="s">
        <v>109</v>
      </c>
      <c r="AF308" s="6" t="s">
        <v>109</v>
      </c>
      <c r="AG308" s="6" t="s">
        <v>109</v>
      </c>
      <c r="AH308" s="6" t="s">
        <v>109</v>
      </c>
      <c r="AI308" s="6" t="s">
        <v>109</v>
      </c>
      <c r="AJ308" s="6" t="s">
        <v>109</v>
      </c>
      <c r="AK308" s="6" t="s">
        <v>109</v>
      </c>
      <c r="AL308" s="6" t="s">
        <v>109</v>
      </c>
      <c r="AM308" s="6" t="s">
        <v>19</v>
      </c>
      <c r="AN308" s="6" t="s">
        <v>109</v>
      </c>
      <c r="AO308" s="6" t="s">
        <v>109</v>
      </c>
      <c r="AP308" s="6" t="s">
        <v>109</v>
      </c>
      <c r="AQ308" s="6" t="s">
        <v>109</v>
      </c>
      <c r="AR308" s="6" t="s">
        <v>109</v>
      </c>
      <c r="AS308" s="6" t="s">
        <v>109</v>
      </c>
      <c r="AT308" s="6" t="s">
        <v>109</v>
      </c>
      <c r="AU308" s="6" t="s">
        <v>109</v>
      </c>
      <c r="AV308" s="36" t="s">
        <v>109</v>
      </c>
    </row>
    <row r="309" spans="1:264" ht="60.75" hidden="1" customHeight="1" x14ac:dyDescent="0.3">
      <c r="A309" s="4" t="s">
        <v>25</v>
      </c>
      <c r="B309" s="4" t="s">
        <v>24</v>
      </c>
      <c r="C309" s="4" t="s">
        <v>1923</v>
      </c>
      <c r="D309" s="6" t="s">
        <v>32</v>
      </c>
      <c r="E309" s="6" t="s">
        <v>109</v>
      </c>
      <c r="F309" s="6" t="s">
        <v>109</v>
      </c>
      <c r="G309" s="6" t="s">
        <v>109</v>
      </c>
      <c r="H309" s="6" t="s">
        <v>109</v>
      </c>
      <c r="I309" s="6" t="s">
        <v>109</v>
      </c>
      <c r="J309" s="6" t="s">
        <v>109</v>
      </c>
      <c r="K309" s="6" t="s">
        <v>109</v>
      </c>
      <c r="L309" s="6" t="s">
        <v>109</v>
      </c>
      <c r="M309" s="15" t="s">
        <v>2934</v>
      </c>
      <c r="N309" s="4" t="s">
        <v>2049</v>
      </c>
      <c r="O309" s="4"/>
      <c r="P309" s="4" t="s">
        <v>3094</v>
      </c>
      <c r="S309" s="15" t="e" cm="1">
        <f t="array" aca="1" ref="S309" ca="1">COMMONMARKETCOUNT(H309:AV309)</f>
        <v>#NAME?</v>
      </c>
      <c r="T309" s="6" t="e" cm="1">
        <f t="array" aca="1" ref="T309" ca="1">AUTOMATEDCOUNT(H309:AV309)</f>
        <v>#NAME?</v>
      </c>
      <c r="V309" s="6" t="s">
        <v>109</v>
      </c>
      <c r="W309" s="6" t="s">
        <v>109</v>
      </c>
      <c r="X309" s="6" t="s">
        <v>109</v>
      </c>
      <c r="Y309" s="6" t="s">
        <v>109</v>
      </c>
      <c r="Z309" s="6" t="s">
        <v>109</v>
      </c>
      <c r="AA309" s="6" t="s">
        <v>109</v>
      </c>
      <c r="AB309" s="6" t="s">
        <v>109</v>
      </c>
      <c r="AC309" s="6" t="s">
        <v>109</v>
      </c>
      <c r="AD309" s="6" t="s">
        <v>109</v>
      </c>
      <c r="AE309" s="6" t="s">
        <v>109</v>
      </c>
      <c r="AF309" s="6" t="s">
        <v>109</v>
      </c>
      <c r="AG309" s="6" t="s">
        <v>109</v>
      </c>
      <c r="AH309" s="6" t="s">
        <v>109</v>
      </c>
      <c r="AI309" s="6" t="s">
        <v>109</v>
      </c>
      <c r="AJ309" s="6" t="s">
        <v>109</v>
      </c>
      <c r="AK309" s="6" t="s">
        <v>109</v>
      </c>
      <c r="AL309" s="6" t="s">
        <v>109</v>
      </c>
      <c r="AM309" s="6" t="s">
        <v>109</v>
      </c>
      <c r="AN309" s="6" t="s">
        <v>109</v>
      </c>
      <c r="AO309" s="6" t="s">
        <v>109</v>
      </c>
      <c r="AP309" s="6" t="s">
        <v>109</v>
      </c>
      <c r="AQ309" s="6" t="s">
        <v>109</v>
      </c>
      <c r="AR309" s="6" t="s">
        <v>109</v>
      </c>
      <c r="AS309" s="6" t="s">
        <v>109</v>
      </c>
      <c r="AT309" s="6" t="s">
        <v>109</v>
      </c>
      <c r="AU309" s="6" t="s">
        <v>3153</v>
      </c>
      <c r="AV309" s="36" t="s">
        <v>109</v>
      </c>
    </row>
    <row r="310" spans="1:264" ht="81" hidden="1" customHeight="1" x14ac:dyDescent="0.3">
      <c r="A310" s="4" t="s">
        <v>25</v>
      </c>
      <c r="B310" s="15" t="s">
        <v>1365</v>
      </c>
      <c r="C310" s="4" t="s">
        <v>1924</v>
      </c>
      <c r="D310" s="6" t="s">
        <v>32</v>
      </c>
      <c r="E310" s="6" t="s">
        <v>109</v>
      </c>
      <c r="F310" s="6" t="s">
        <v>109</v>
      </c>
      <c r="G310" s="6" t="s">
        <v>109</v>
      </c>
      <c r="H310" s="6" t="s">
        <v>109</v>
      </c>
      <c r="I310" s="6" t="s">
        <v>109</v>
      </c>
      <c r="J310" s="6" t="s">
        <v>109</v>
      </c>
      <c r="K310" s="6" t="s">
        <v>109</v>
      </c>
      <c r="L310" s="6" t="s">
        <v>109</v>
      </c>
      <c r="M310" s="15" t="s">
        <v>2935</v>
      </c>
      <c r="N310" s="4" t="s">
        <v>2050</v>
      </c>
      <c r="O310" s="4"/>
      <c r="P310" s="4" t="s">
        <v>2051</v>
      </c>
      <c r="S310" s="15" t="e" cm="1">
        <f t="array" aca="1" ref="S310" ca="1">COMMONMARKETCOUNT(H310:AV310)</f>
        <v>#NAME?</v>
      </c>
      <c r="T310" s="6" t="e" cm="1">
        <f t="array" aca="1" ref="T310" ca="1">AUTOMATEDCOUNT(H310:AV310)</f>
        <v>#NAME?</v>
      </c>
      <c r="V310" s="6" t="s">
        <v>109</v>
      </c>
      <c r="W310" s="6" t="s">
        <v>109</v>
      </c>
      <c r="X310" s="6" t="s">
        <v>109</v>
      </c>
      <c r="Y310" s="6" t="s">
        <v>109</v>
      </c>
      <c r="Z310" s="6" t="s">
        <v>109</v>
      </c>
      <c r="AA310" s="6" t="s">
        <v>109</v>
      </c>
      <c r="AB310" s="6" t="s">
        <v>109</v>
      </c>
      <c r="AC310" s="6" t="s">
        <v>109</v>
      </c>
      <c r="AD310" s="6" t="s">
        <v>109</v>
      </c>
      <c r="AE310" s="6" t="s">
        <v>109</v>
      </c>
      <c r="AF310" s="6" t="s">
        <v>109</v>
      </c>
      <c r="AG310" s="6" t="s">
        <v>109</v>
      </c>
      <c r="AH310" s="6" t="s">
        <v>109</v>
      </c>
      <c r="AI310" s="6" t="s">
        <v>109</v>
      </c>
      <c r="AJ310" s="6" t="s">
        <v>109</v>
      </c>
      <c r="AK310" s="6" t="s">
        <v>109</v>
      </c>
      <c r="AL310" s="6" t="s">
        <v>109</v>
      </c>
      <c r="AM310" s="6" t="s">
        <v>109</v>
      </c>
      <c r="AN310" s="6" t="s">
        <v>109</v>
      </c>
      <c r="AO310" s="6" t="s">
        <v>109</v>
      </c>
      <c r="AP310" s="6" t="s">
        <v>109</v>
      </c>
      <c r="AQ310" s="6" t="s">
        <v>109</v>
      </c>
      <c r="AR310" s="6" t="s">
        <v>109</v>
      </c>
      <c r="AS310" s="6" t="s">
        <v>109</v>
      </c>
      <c r="AT310" s="6" t="s">
        <v>109</v>
      </c>
      <c r="AU310" s="6" t="s">
        <v>3153</v>
      </c>
      <c r="AV310" s="36" t="s">
        <v>109</v>
      </c>
    </row>
    <row r="311" spans="1:264" ht="40.5" hidden="1" customHeight="1" x14ac:dyDescent="0.3">
      <c r="A311" s="4" t="s">
        <v>56</v>
      </c>
      <c r="B311" s="4" t="s">
        <v>2242</v>
      </c>
      <c r="C311" s="4" t="s">
        <v>1925</v>
      </c>
      <c r="D311" s="6" t="s">
        <v>32</v>
      </c>
      <c r="E311" s="6" t="s">
        <v>109</v>
      </c>
      <c r="F311" s="6" t="s">
        <v>109</v>
      </c>
      <c r="G311" s="6" t="s">
        <v>109</v>
      </c>
      <c r="H311" s="6" t="s">
        <v>109</v>
      </c>
      <c r="I311" s="6" t="s">
        <v>109</v>
      </c>
      <c r="J311" s="6" t="s">
        <v>109</v>
      </c>
      <c r="K311" s="6" t="s">
        <v>109</v>
      </c>
      <c r="L311" s="6" t="s">
        <v>109</v>
      </c>
      <c r="M311" s="15" t="s">
        <v>2936</v>
      </c>
      <c r="N311" s="4" t="s">
        <v>2052</v>
      </c>
      <c r="O311" s="4"/>
      <c r="P311" s="4" t="s">
        <v>2053</v>
      </c>
      <c r="S311" s="15" t="e" cm="1">
        <f t="array" aca="1" ref="S311" ca="1">COMMONMARKETCOUNT(H311:AV311)</f>
        <v>#NAME?</v>
      </c>
      <c r="T311" s="6" t="e" cm="1">
        <f t="array" aca="1" ref="T311" ca="1">AUTOMATEDCOUNT(H311:AV311)</f>
        <v>#NAME?</v>
      </c>
      <c r="V311" s="6" t="s">
        <v>109</v>
      </c>
      <c r="W311" s="6" t="s">
        <v>109</v>
      </c>
      <c r="X311" s="6" t="s">
        <v>109</v>
      </c>
      <c r="Y311" s="6" t="s">
        <v>109</v>
      </c>
      <c r="Z311" s="6" t="s">
        <v>109</v>
      </c>
      <c r="AA311" s="6" t="s">
        <v>109</v>
      </c>
      <c r="AB311" s="6" t="s">
        <v>109</v>
      </c>
      <c r="AC311" s="6" t="s">
        <v>109</v>
      </c>
      <c r="AD311" s="6" t="s">
        <v>109</v>
      </c>
      <c r="AE311" s="6" t="s">
        <v>109</v>
      </c>
      <c r="AF311" s="6" t="s">
        <v>109</v>
      </c>
      <c r="AG311" s="6" t="s">
        <v>109</v>
      </c>
      <c r="AH311" s="6" t="s">
        <v>109</v>
      </c>
      <c r="AI311" s="6" t="s">
        <v>109</v>
      </c>
      <c r="AJ311" s="6" t="s">
        <v>109</v>
      </c>
      <c r="AK311" s="6" t="s">
        <v>109</v>
      </c>
      <c r="AL311" s="6" t="s">
        <v>109</v>
      </c>
      <c r="AM311" s="6" t="s">
        <v>109</v>
      </c>
      <c r="AN311" s="6" t="s">
        <v>109</v>
      </c>
      <c r="AO311" s="6" t="s">
        <v>109</v>
      </c>
      <c r="AP311" s="6" t="s">
        <v>109</v>
      </c>
      <c r="AQ311" s="6" t="s">
        <v>109</v>
      </c>
      <c r="AR311" s="6" t="s">
        <v>109</v>
      </c>
      <c r="AS311" s="6" t="s">
        <v>109</v>
      </c>
      <c r="AT311" s="6" t="s">
        <v>109</v>
      </c>
      <c r="AU311" s="6" t="s">
        <v>3153</v>
      </c>
      <c r="AV311" s="36" t="s">
        <v>109</v>
      </c>
    </row>
    <row r="312" spans="1:264" ht="42.75" hidden="1" customHeight="1" x14ac:dyDescent="0.3">
      <c r="A312" s="4" t="s">
        <v>56</v>
      </c>
      <c r="B312" s="4" t="s">
        <v>714</v>
      </c>
      <c r="C312" s="4" t="s">
        <v>1926</v>
      </c>
      <c r="D312" s="6" t="s">
        <v>32</v>
      </c>
      <c r="E312" s="6" t="s">
        <v>109</v>
      </c>
      <c r="F312" s="6" t="s">
        <v>109</v>
      </c>
      <c r="G312" s="6" t="s">
        <v>109</v>
      </c>
      <c r="H312" s="6" t="s">
        <v>109</v>
      </c>
      <c r="I312" s="6" t="s">
        <v>109</v>
      </c>
      <c r="J312" s="6" t="s">
        <v>109</v>
      </c>
      <c r="K312" s="6" t="s">
        <v>109</v>
      </c>
      <c r="L312" s="6" t="s">
        <v>109</v>
      </c>
      <c r="M312" s="15" t="s">
        <v>2937</v>
      </c>
      <c r="N312" s="4" t="s">
        <v>2054</v>
      </c>
      <c r="O312" s="4"/>
      <c r="P312" s="4" t="s">
        <v>2055</v>
      </c>
      <c r="S312" s="15" t="e" cm="1">
        <f t="array" aca="1" ref="S312" ca="1">COMMONMARKETCOUNT(H312:AV312)</f>
        <v>#NAME?</v>
      </c>
      <c r="T312" s="6" t="e" cm="1">
        <f t="array" aca="1" ref="T312" ca="1">AUTOMATEDCOUNT(H312:AV312)</f>
        <v>#NAME?</v>
      </c>
      <c r="V312" s="6" t="s">
        <v>109</v>
      </c>
      <c r="W312" s="6" t="s">
        <v>109</v>
      </c>
      <c r="X312" s="6" t="s">
        <v>109</v>
      </c>
      <c r="Y312" s="6" t="s">
        <v>109</v>
      </c>
      <c r="Z312" s="6" t="s">
        <v>109</v>
      </c>
      <c r="AA312" s="6" t="s">
        <v>109</v>
      </c>
      <c r="AB312" s="6" t="s">
        <v>109</v>
      </c>
      <c r="AC312" s="6" t="s">
        <v>109</v>
      </c>
      <c r="AD312" s="6" t="s">
        <v>109</v>
      </c>
      <c r="AE312" s="6" t="s">
        <v>109</v>
      </c>
      <c r="AF312" s="6" t="s">
        <v>109</v>
      </c>
      <c r="AG312" s="6" t="s">
        <v>109</v>
      </c>
      <c r="AH312" s="6" t="s">
        <v>109</v>
      </c>
      <c r="AI312" s="6" t="s">
        <v>109</v>
      </c>
      <c r="AJ312" s="6" t="s">
        <v>109</v>
      </c>
      <c r="AK312" s="6" t="s">
        <v>109</v>
      </c>
      <c r="AL312" s="6" t="s">
        <v>109</v>
      </c>
      <c r="AM312" s="6" t="s">
        <v>109</v>
      </c>
      <c r="AN312" s="6" t="s">
        <v>109</v>
      </c>
      <c r="AO312" s="6" t="s">
        <v>109</v>
      </c>
      <c r="AP312" s="6" t="s">
        <v>109</v>
      </c>
      <c r="AQ312" s="6" t="s">
        <v>109</v>
      </c>
      <c r="AR312" s="6" t="s">
        <v>109</v>
      </c>
      <c r="AS312" s="6" t="s">
        <v>109</v>
      </c>
      <c r="AT312" s="6" t="s">
        <v>109</v>
      </c>
      <c r="AU312" s="6" t="s">
        <v>3153</v>
      </c>
      <c r="AV312" s="36" t="s">
        <v>109</v>
      </c>
    </row>
    <row r="313" spans="1:264" ht="179.4" hidden="1" x14ac:dyDescent="0.3">
      <c r="A313" s="4" t="s">
        <v>56</v>
      </c>
      <c r="B313" s="4" t="s">
        <v>17</v>
      </c>
      <c r="C313" s="4" t="s">
        <v>1927</v>
      </c>
      <c r="D313" s="6" t="s">
        <v>32</v>
      </c>
      <c r="E313" s="6" t="s">
        <v>109</v>
      </c>
      <c r="F313" s="6" t="s">
        <v>109</v>
      </c>
      <c r="G313" s="6" t="s">
        <v>109</v>
      </c>
      <c r="H313" s="6" t="s">
        <v>109</v>
      </c>
      <c r="I313" s="6" t="s">
        <v>109</v>
      </c>
      <c r="J313" s="6" t="s">
        <v>109</v>
      </c>
      <c r="K313" s="6" t="s">
        <v>109</v>
      </c>
      <c r="L313" s="6" t="s">
        <v>109</v>
      </c>
      <c r="M313" s="15" t="s">
        <v>2938</v>
      </c>
      <c r="N313" s="4" t="s">
        <v>2056</v>
      </c>
      <c r="O313" s="4"/>
      <c r="P313" s="4" t="s">
        <v>3095</v>
      </c>
      <c r="S313" s="15" t="e" cm="1">
        <f t="array" aca="1" ref="S313" ca="1">COMMONMARKETCOUNT(H313:AV313)</f>
        <v>#NAME?</v>
      </c>
      <c r="T313" s="6" t="e" cm="1">
        <f t="array" aca="1" ref="T313" ca="1">AUTOMATEDCOUNT(H313:AV313)</f>
        <v>#NAME?</v>
      </c>
      <c r="V313" s="6" t="s">
        <v>109</v>
      </c>
      <c r="W313" s="6" t="s">
        <v>109</v>
      </c>
      <c r="X313" s="6" t="s">
        <v>109</v>
      </c>
      <c r="Y313" s="6" t="s">
        <v>109</v>
      </c>
      <c r="Z313" s="6" t="s">
        <v>109</v>
      </c>
      <c r="AA313" s="6" t="s">
        <v>109</v>
      </c>
      <c r="AB313" s="6" t="s">
        <v>109</v>
      </c>
      <c r="AC313" s="6" t="s">
        <v>109</v>
      </c>
      <c r="AD313" s="6" t="s">
        <v>109</v>
      </c>
      <c r="AE313" s="6" t="s">
        <v>109</v>
      </c>
      <c r="AF313" s="6" t="s">
        <v>109</v>
      </c>
      <c r="AG313" s="6" t="s">
        <v>109</v>
      </c>
      <c r="AH313" s="6" t="s">
        <v>109</v>
      </c>
      <c r="AI313" s="6" t="s">
        <v>109</v>
      </c>
      <c r="AJ313" s="6" t="s">
        <v>109</v>
      </c>
      <c r="AK313" s="6" t="s">
        <v>109</v>
      </c>
      <c r="AL313" s="6" t="s">
        <v>109</v>
      </c>
      <c r="AM313" s="6" t="s">
        <v>109</v>
      </c>
      <c r="AN313" s="6" t="s">
        <v>109</v>
      </c>
      <c r="AO313" s="6" t="s">
        <v>109</v>
      </c>
      <c r="AP313" s="6" t="s">
        <v>109</v>
      </c>
      <c r="AQ313" s="6" t="s">
        <v>109</v>
      </c>
      <c r="AR313" s="6" t="s">
        <v>109</v>
      </c>
      <c r="AS313" s="6" t="s">
        <v>109</v>
      </c>
      <c r="AT313" s="6" t="s">
        <v>109</v>
      </c>
      <c r="AU313" s="6" t="s">
        <v>3153</v>
      </c>
      <c r="AV313" s="36" t="s">
        <v>109</v>
      </c>
    </row>
    <row r="314" spans="1:264" ht="55.5" hidden="1" customHeight="1" x14ac:dyDescent="0.3">
      <c r="A314" s="4" t="s">
        <v>25</v>
      </c>
      <c r="B314" s="4" t="s">
        <v>24</v>
      </c>
      <c r="C314" s="4" t="s">
        <v>1928</v>
      </c>
      <c r="D314" s="6" t="s">
        <v>32</v>
      </c>
      <c r="E314" s="6" t="s">
        <v>109</v>
      </c>
      <c r="F314" s="6" t="s">
        <v>109</v>
      </c>
      <c r="G314" s="6" t="s">
        <v>109</v>
      </c>
      <c r="H314" s="6" t="s">
        <v>109</v>
      </c>
      <c r="I314" s="6" t="s">
        <v>109</v>
      </c>
      <c r="J314" s="6" t="s">
        <v>109</v>
      </c>
      <c r="K314" s="6" t="s">
        <v>109</v>
      </c>
      <c r="L314" s="6" t="s">
        <v>109</v>
      </c>
      <c r="M314" s="15" t="s">
        <v>2939</v>
      </c>
      <c r="N314" s="4" t="s">
        <v>2057</v>
      </c>
      <c r="O314" s="4"/>
      <c r="P314" s="4" t="s">
        <v>2058</v>
      </c>
      <c r="S314" s="15" t="e" cm="1">
        <f t="array" aca="1" ref="S314" ca="1">COMMONMARKETCOUNT(H314:AV314)</f>
        <v>#NAME?</v>
      </c>
      <c r="T314" s="6" t="e" cm="1">
        <f t="array" aca="1" ref="T314" ca="1">AUTOMATEDCOUNT(H314:AV314)</f>
        <v>#NAME?</v>
      </c>
      <c r="V314" s="6" t="s">
        <v>109</v>
      </c>
      <c r="W314" s="6" t="s">
        <v>109</v>
      </c>
      <c r="X314" s="6" t="s">
        <v>109</v>
      </c>
      <c r="Y314" s="6" t="s">
        <v>109</v>
      </c>
      <c r="Z314" s="6" t="s">
        <v>109</v>
      </c>
      <c r="AA314" s="6" t="s">
        <v>109</v>
      </c>
      <c r="AB314" s="6" t="s">
        <v>109</v>
      </c>
      <c r="AC314" s="6" t="s">
        <v>109</v>
      </c>
      <c r="AD314" s="6" t="s">
        <v>109</v>
      </c>
      <c r="AE314" s="6" t="s">
        <v>109</v>
      </c>
      <c r="AF314" s="6" t="s">
        <v>109</v>
      </c>
      <c r="AG314" s="6" t="s">
        <v>109</v>
      </c>
      <c r="AH314" s="6" t="s">
        <v>109</v>
      </c>
      <c r="AI314" s="6" t="s">
        <v>109</v>
      </c>
      <c r="AJ314" s="6" t="s">
        <v>109</v>
      </c>
      <c r="AK314" s="6" t="s">
        <v>109</v>
      </c>
      <c r="AL314" s="6" t="s">
        <v>109</v>
      </c>
      <c r="AM314" s="6" t="s">
        <v>109</v>
      </c>
      <c r="AN314" s="6" t="s">
        <v>109</v>
      </c>
      <c r="AO314" s="6" t="s">
        <v>109</v>
      </c>
      <c r="AP314" s="6" t="s">
        <v>109</v>
      </c>
      <c r="AQ314" s="6" t="s">
        <v>109</v>
      </c>
      <c r="AR314" s="6" t="s">
        <v>109</v>
      </c>
      <c r="AS314" s="6" t="s">
        <v>109</v>
      </c>
      <c r="AT314" s="6" t="s">
        <v>109</v>
      </c>
      <c r="AU314" s="6" t="s">
        <v>3153</v>
      </c>
      <c r="AV314" s="36" t="s">
        <v>109</v>
      </c>
    </row>
    <row r="315" spans="1:264" ht="60.75" customHeight="1" x14ac:dyDescent="0.3">
      <c r="A315" s="15" t="s">
        <v>25</v>
      </c>
      <c r="B315" s="15" t="s">
        <v>1365</v>
      </c>
      <c r="C315" s="15" t="s">
        <v>548</v>
      </c>
      <c r="D315" s="15" t="s">
        <v>19</v>
      </c>
      <c r="E315" s="70" t="s">
        <v>19</v>
      </c>
      <c r="F315" s="70" t="s">
        <v>19</v>
      </c>
      <c r="G315" s="70" t="s">
        <v>19</v>
      </c>
      <c r="H315" s="70" t="s">
        <v>19</v>
      </c>
      <c r="I315" s="72" t="s">
        <v>19</v>
      </c>
      <c r="J315" s="72" t="s">
        <v>19</v>
      </c>
      <c r="K315" s="72" t="s">
        <v>19</v>
      </c>
      <c r="L315" s="72" t="s">
        <v>19</v>
      </c>
      <c r="M315" s="15" t="s">
        <v>549</v>
      </c>
      <c r="N315" s="4" t="s">
        <v>1549</v>
      </c>
      <c r="O315" s="15"/>
      <c r="P315" s="4" t="s">
        <v>1609</v>
      </c>
      <c r="S315" s="15" t="e" cm="1">
        <f t="array" aca="1" ref="S315" ca="1">COMMONMARKETCOUNT(H315:AV315)</f>
        <v>#NAME?</v>
      </c>
      <c r="T315" s="6" t="e" cm="1">
        <f t="array" aca="1" ref="T315" ca="1">AUTOMATEDCOUNT(H315:AV315)</f>
        <v>#NAME?</v>
      </c>
      <c r="V315" s="70" t="s">
        <v>19</v>
      </c>
      <c r="W315" s="70" t="s">
        <v>19</v>
      </c>
      <c r="X315" s="70" t="s">
        <v>19</v>
      </c>
      <c r="Y315" s="70" t="s">
        <v>19</v>
      </c>
      <c r="Z315" s="70" t="s">
        <v>19</v>
      </c>
      <c r="AA315" s="72" t="s">
        <v>19</v>
      </c>
      <c r="AB315" s="72" t="s">
        <v>19</v>
      </c>
      <c r="AC315" s="72" t="s">
        <v>19</v>
      </c>
      <c r="AD315" s="6" t="s">
        <v>109</v>
      </c>
      <c r="AE315" s="6" t="s">
        <v>109</v>
      </c>
      <c r="AF315" s="18" t="s">
        <v>19</v>
      </c>
      <c r="AG315" s="29" t="s">
        <v>19</v>
      </c>
      <c r="AH315" s="18" t="s">
        <v>19</v>
      </c>
      <c r="AI315" s="18" t="s">
        <v>19</v>
      </c>
      <c r="AJ315" s="18" t="s">
        <v>19</v>
      </c>
      <c r="AK315" s="18" t="s">
        <v>19</v>
      </c>
      <c r="AL315" s="18" t="s">
        <v>19</v>
      </c>
      <c r="AM315" s="18" t="s">
        <v>19</v>
      </c>
      <c r="AN315" s="18" t="s">
        <v>19</v>
      </c>
      <c r="AO315" s="18" t="s">
        <v>19</v>
      </c>
      <c r="AP315" s="18" t="s">
        <v>19</v>
      </c>
      <c r="AQ315" s="18" t="s">
        <v>19</v>
      </c>
      <c r="AR315" s="18" t="s">
        <v>19</v>
      </c>
      <c r="AS315" s="70" t="s">
        <v>19</v>
      </c>
      <c r="AT315" s="72" t="s">
        <v>19</v>
      </c>
      <c r="AU315" s="29" t="s">
        <v>3153</v>
      </c>
      <c r="AV315" s="36" t="s">
        <v>19</v>
      </c>
    </row>
    <row r="316" spans="1:264" ht="57.75" hidden="1" customHeight="1" x14ac:dyDescent="0.3">
      <c r="A316" s="4" t="s">
        <v>25</v>
      </c>
      <c r="B316" s="4" t="s">
        <v>24</v>
      </c>
      <c r="C316" s="4" t="s">
        <v>1929</v>
      </c>
      <c r="D316" s="6" t="s">
        <v>32</v>
      </c>
      <c r="E316" s="6" t="s">
        <v>109</v>
      </c>
      <c r="F316" s="6" t="s">
        <v>109</v>
      </c>
      <c r="G316" s="6" t="s">
        <v>109</v>
      </c>
      <c r="H316" s="6" t="s">
        <v>109</v>
      </c>
      <c r="I316" s="6" t="s">
        <v>109</v>
      </c>
      <c r="J316" s="6" t="s">
        <v>109</v>
      </c>
      <c r="K316" s="6" t="s">
        <v>109</v>
      </c>
      <c r="L316" s="6" t="s">
        <v>109</v>
      </c>
      <c r="M316" s="15" t="s">
        <v>2940</v>
      </c>
      <c r="N316" s="4" t="s">
        <v>2060</v>
      </c>
      <c r="O316" s="4"/>
      <c r="P316" s="4" t="s">
        <v>2070</v>
      </c>
      <c r="S316" s="15" t="e" cm="1">
        <f t="array" aca="1" ref="S316" ca="1">COMMONMARKETCOUNT(H316:AV316)</f>
        <v>#NAME?</v>
      </c>
      <c r="T316" s="6" t="e" cm="1">
        <f t="array" aca="1" ref="T316" ca="1">AUTOMATEDCOUNT(H316:AV316)</f>
        <v>#NAME?</v>
      </c>
      <c r="V316" s="6" t="s">
        <v>109</v>
      </c>
      <c r="W316" s="6" t="s">
        <v>109</v>
      </c>
      <c r="X316" s="6" t="s">
        <v>109</v>
      </c>
      <c r="Y316" s="6" t="s">
        <v>109</v>
      </c>
      <c r="Z316" s="6" t="s">
        <v>109</v>
      </c>
      <c r="AA316" s="6" t="s">
        <v>109</v>
      </c>
      <c r="AB316" s="6" t="s">
        <v>109</v>
      </c>
      <c r="AC316" s="6" t="s">
        <v>109</v>
      </c>
      <c r="AD316" s="18" t="s">
        <v>19</v>
      </c>
      <c r="AE316" s="18" t="s">
        <v>19</v>
      </c>
      <c r="AF316" s="6" t="s">
        <v>109</v>
      </c>
      <c r="AG316" s="6" t="s">
        <v>109</v>
      </c>
      <c r="AH316" s="6" t="s">
        <v>109</v>
      </c>
      <c r="AI316" s="6" t="s">
        <v>109</v>
      </c>
      <c r="AJ316" s="6" t="s">
        <v>109</v>
      </c>
      <c r="AK316" s="6" t="s">
        <v>109</v>
      </c>
      <c r="AL316" s="6" t="s">
        <v>109</v>
      </c>
      <c r="AM316" s="6" t="s">
        <v>109</v>
      </c>
      <c r="AN316" s="6" t="s">
        <v>109</v>
      </c>
      <c r="AO316" s="6" t="s">
        <v>109</v>
      </c>
      <c r="AP316" s="6" t="s">
        <v>109</v>
      </c>
      <c r="AQ316" s="6" t="s">
        <v>109</v>
      </c>
      <c r="AR316" s="6" t="s">
        <v>109</v>
      </c>
      <c r="AS316" s="6" t="s">
        <v>109</v>
      </c>
      <c r="AT316" s="6" t="s">
        <v>109</v>
      </c>
      <c r="AU316" s="18" t="s">
        <v>3153</v>
      </c>
      <c r="AV316" s="36" t="s">
        <v>109</v>
      </c>
    </row>
    <row r="317" spans="1:264" ht="40.5" hidden="1" customHeight="1" x14ac:dyDescent="0.3">
      <c r="A317" s="4" t="s">
        <v>705</v>
      </c>
      <c r="B317" s="4" t="s">
        <v>2243</v>
      </c>
      <c r="C317" s="4" t="s">
        <v>1930</v>
      </c>
      <c r="D317" s="6" t="s">
        <v>32</v>
      </c>
      <c r="E317" s="6" t="s">
        <v>109</v>
      </c>
      <c r="F317" s="6" t="s">
        <v>109</v>
      </c>
      <c r="G317" s="6" t="s">
        <v>109</v>
      </c>
      <c r="H317" s="6" t="s">
        <v>109</v>
      </c>
      <c r="I317" s="6" t="s">
        <v>109</v>
      </c>
      <c r="J317" s="6" t="s">
        <v>109</v>
      </c>
      <c r="K317" s="6" t="s">
        <v>109</v>
      </c>
      <c r="L317" s="6" t="s">
        <v>109</v>
      </c>
      <c r="M317" s="15" t="s">
        <v>2941</v>
      </c>
      <c r="N317" s="4" t="s">
        <v>2061</v>
      </c>
      <c r="O317" s="4"/>
      <c r="P317" s="4" t="s">
        <v>2071</v>
      </c>
      <c r="S317" s="15" t="e" cm="1">
        <f t="array" aca="1" ref="S317" ca="1">COMMONMARKETCOUNT(H317:AV317)</f>
        <v>#NAME?</v>
      </c>
      <c r="T317" s="6" t="e" cm="1">
        <f t="array" aca="1" ref="T317" ca="1">AUTOMATEDCOUNT(H317:AV317)</f>
        <v>#NAME?</v>
      </c>
      <c r="V317" s="6" t="s">
        <v>109</v>
      </c>
      <c r="W317" s="6" t="s">
        <v>109</v>
      </c>
      <c r="X317" s="6" t="s">
        <v>109</v>
      </c>
      <c r="Y317" s="6" t="s">
        <v>109</v>
      </c>
      <c r="Z317" s="6" t="s">
        <v>109</v>
      </c>
      <c r="AA317" s="6" t="s">
        <v>109</v>
      </c>
      <c r="AB317" s="6" t="s">
        <v>109</v>
      </c>
      <c r="AC317" s="6" t="s">
        <v>109</v>
      </c>
      <c r="AD317" s="6" t="s">
        <v>109</v>
      </c>
      <c r="AE317" s="6" t="s">
        <v>109</v>
      </c>
      <c r="AF317" s="6" t="s">
        <v>109</v>
      </c>
      <c r="AG317" s="6" t="s">
        <v>109</v>
      </c>
      <c r="AH317" s="6" t="s">
        <v>109</v>
      </c>
      <c r="AI317" s="6" t="s">
        <v>109</v>
      </c>
      <c r="AJ317" s="6" t="s">
        <v>109</v>
      </c>
      <c r="AK317" s="6" t="s">
        <v>109</v>
      </c>
      <c r="AL317" s="6" t="s">
        <v>109</v>
      </c>
      <c r="AM317" s="6" t="s">
        <v>109</v>
      </c>
      <c r="AN317" s="6" t="s">
        <v>109</v>
      </c>
      <c r="AO317" s="6" t="s">
        <v>109</v>
      </c>
      <c r="AP317" s="6" t="s">
        <v>109</v>
      </c>
      <c r="AQ317" s="6" t="s">
        <v>109</v>
      </c>
      <c r="AR317" s="6" t="s">
        <v>109</v>
      </c>
      <c r="AS317" s="6" t="s">
        <v>109</v>
      </c>
      <c r="AT317" s="6" t="s">
        <v>109</v>
      </c>
      <c r="AU317" s="18" t="s">
        <v>3153</v>
      </c>
      <c r="AV317" s="36" t="s">
        <v>109</v>
      </c>
    </row>
    <row r="318" spans="1:264" s="40" customFormat="1" ht="40.5" hidden="1" customHeight="1" x14ac:dyDescent="0.3">
      <c r="A318" s="4" t="s">
        <v>25</v>
      </c>
      <c r="B318" s="4" t="s">
        <v>1823</v>
      </c>
      <c r="C318" s="4" t="s">
        <v>1931</v>
      </c>
      <c r="D318" s="6" t="s">
        <v>32</v>
      </c>
      <c r="E318" s="6" t="s">
        <v>109</v>
      </c>
      <c r="F318" s="6" t="s">
        <v>109</v>
      </c>
      <c r="G318" s="6" t="s">
        <v>109</v>
      </c>
      <c r="H318" s="6" t="s">
        <v>109</v>
      </c>
      <c r="I318" s="6" t="s">
        <v>109</v>
      </c>
      <c r="J318" s="6" t="s">
        <v>109</v>
      </c>
      <c r="K318" s="6" t="s">
        <v>109</v>
      </c>
      <c r="L318" s="6" t="s">
        <v>109</v>
      </c>
      <c r="M318" s="15" t="s">
        <v>2942</v>
      </c>
      <c r="N318" s="4" t="s">
        <v>2062</v>
      </c>
      <c r="O318" s="4"/>
      <c r="P318" s="4" t="s">
        <v>2308</v>
      </c>
      <c r="S318" s="15" t="e" cm="1">
        <f t="array" aca="1" ref="S318" ca="1">COMMONMARKETCOUNT(H318:AV318)</f>
        <v>#NAME?</v>
      </c>
      <c r="T318" s="6" t="e" cm="1">
        <f t="array" aca="1" ref="T318" ca="1">AUTOMATEDCOUNT(H318:AV318)</f>
        <v>#NAME?</v>
      </c>
      <c r="V318" s="6" t="s">
        <v>109</v>
      </c>
      <c r="W318" s="6" t="s">
        <v>109</v>
      </c>
      <c r="X318" s="6" t="s">
        <v>109</v>
      </c>
      <c r="Y318" s="6" t="s">
        <v>109</v>
      </c>
      <c r="Z318" s="6" t="s">
        <v>109</v>
      </c>
      <c r="AA318" s="6" t="s">
        <v>109</v>
      </c>
      <c r="AB318" s="6" t="s">
        <v>109</v>
      </c>
      <c r="AC318" s="6" t="s">
        <v>109</v>
      </c>
      <c r="AD318" s="6" t="s">
        <v>109</v>
      </c>
      <c r="AE318" s="6" t="s">
        <v>109</v>
      </c>
      <c r="AF318" s="6" t="s">
        <v>109</v>
      </c>
      <c r="AG318" s="6" t="s">
        <v>109</v>
      </c>
      <c r="AH318" s="6" t="s">
        <v>109</v>
      </c>
      <c r="AI318" s="6" t="s">
        <v>109</v>
      </c>
      <c r="AJ318" s="6" t="s">
        <v>109</v>
      </c>
      <c r="AK318" s="6" t="s">
        <v>109</v>
      </c>
      <c r="AL318" s="6" t="s">
        <v>109</v>
      </c>
      <c r="AM318" s="6" t="s">
        <v>109</v>
      </c>
      <c r="AN318" s="6" t="s">
        <v>109</v>
      </c>
      <c r="AO318" s="6" t="s">
        <v>109</v>
      </c>
      <c r="AP318" s="6" t="s">
        <v>109</v>
      </c>
      <c r="AQ318" s="6" t="s">
        <v>109</v>
      </c>
      <c r="AR318" s="6" t="s">
        <v>109</v>
      </c>
      <c r="AS318" s="6" t="s">
        <v>109</v>
      </c>
      <c r="AT318" s="6" t="s">
        <v>109</v>
      </c>
      <c r="AU318" s="18" t="s">
        <v>3153</v>
      </c>
      <c r="AV318" s="36" t="s">
        <v>109</v>
      </c>
      <c r="AW318" s="16"/>
      <c r="AX318" s="16"/>
      <c r="AY318" s="16"/>
      <c r="AZ318" s="16"/>
      <c r="BA318" s="16"/>
      <c r="BB318" s="16"/>
      <c r="BC318" s="16"/>
      <c r="BD318" s="16"/>
      <c r="BE318" s="16"/>
      <c r="BF318" s="16"/>
      <c r="BG318" s="16"/>
      <c r="BH318" s="16"/>
      <c r="BI318" s="16"/>
      <c r="BJ318" s="16"/>
      <c r="BK318" s="16"/>
      <c r="BL318" s="16"/>
      <c r="BM318" s="16"/>
      <c r="BN318" s="16"/>
      <c r="BO318" s="16"/>
      <c r="BP318" s="16"/>
      <c r="BQ318" s="16"/>
      <c r="BR318" s="16"/>
      <c r="BS318" s="16"/>
      <c r="BT318" s="16"/>
      <c r="BU318" s="16"/>
      <c r="BV318" s="16"/>
      <c r="BW318" s="16"/>
      <c r="BX318" s="16"/>
      <c r="BY318" s="16"/>
      <c r="BZ318" s="16"/>
      <c r="CA318" s="16"/>
      <c r="CB318" s="16"/>
      <c r="CC318" s="16"/>
      <c r="CD318" s="16"/>
      <c r="CE318" s="16"/>
      <c r="CF318" s="16"/>
      <c r="CG318" s="16"/>
      <c r="CH318" s="16"/>
      <c r="CI318" s="16"/>
      <c r="CJ318" s="16"/>
      <c r="CK318" s="16"/>
      <c r="CL318" s="16"/>
      <c r="CM318" s="16"/>
      <c r="CN318" s="16"/>
      <c r="CO318" s="16"/>
      <c r="CP318" s="16"/>
      <c r="CQ318" s="16"/>
      <c r="CR318" s="16"/>
      <c r="CS318" s="16"/>
      <c r="CT318" s="16"/>
      <c r="CU318" s="16"/>
      <c r="CV318" s="16"/>
      <c r="CW318" s="16"/>
      <c r="CX318" s="16"/>
      <c r="CY318" s="16"/>
      <c r="CZ318" s="16"/>
      <c r="DA318" s="16"/>
      <c r="DB318" s="16"/>
      <c r="DC318" s="16"/>
      <c r="DD318" s="16"/>
      <c r="DE318" s="16"/>
      <c r="DF318" s="16"/>
      <c r="DG318" s="16"/>
      <c r="DH318" s="16"/>
      <c r="DI318" s="16"/>
      <c r="DJ318" s="16"/>
      <c r="DK318" s="16"/>
      <c r="DL318" s="16"/>
      <c r="DM318" s="16"/>
      <c r="DN318" s="16"/>
      <c r="DO318" s="16"/>
      <c r="DP318" s="16"/>
      <c r="DQ318" s="16"/>
      <c r="DR318" s="16"/>
      <c r="DS318" s="16"/>
      <c r="DT318" s="16"/>
      <c r="DU318" s="16"/>
      <c r="DV318" s="16"/>
      <c r="DW318" s="16"/>
      <c r="DX318" s="16"/>
      <c r="DY318" s="16"/>
      <c r="DZ318" s="16"/>
      <c r="EA318" s="16"/>
      <c r="EB318" s="16"/>
      <c r="EC318" s="16"/>
      <c r="ED318" s="16"/>
      <c r="EE318" s="16"/>
      <c r="EF318" s="16"/>
      <c r="EG318" s="16"/>
      <c r="EH318" s="16"/>
      <c r="EI318" s="16"/>
      <c r="EJ318" s="16"/>
      <c r="EK318" s="16"/>
      <c r="EL318" s="16"/>
      <c r="EM318" s="16"/>
      <c r="EN318" s="16"/>
      <c r="EO318" s="16"/>
      <c r="EP318" s="16"/>
      <c r="EQ318" s="16"/>
      <c r="ER318" s="16"/>
      <c r="ES318" s="16"/>
      <c r="ET318" s="16"/>
      <c r="EU318" s="16"/>
      <c r="EV318" s="16"/>
      <c r="EW318" s="16"/>
      <c r="EX318" s="16"/>
      <c r="EY318" s="16"/>
      <c r="EZ318" s="16"/>
      <c r="FA318" s="16"/>
      <c r="FB318" s="16"/>
      <c r="FC318" s="16"/>
      <c r="FD318" s="16"/>
      <c r="FE318" s="16"/>
      <c r="FF318" s="16"/>
      <c r="FG318" s="16"/>
      <c r="FH318" s="16"/>
      <c r="FI318" s="16"/>
      <c r="FJ318" s="16"/>
      <c r="FK318" s="16"/>
      <c r="FL318" s="16"/>
      <c r="FM318" s="16"/>
      <c r="FN318" s="16"/>
      <c r="FO318" s="16"/>
      <c r="FP318" s="16"/>
      <c r="FQ318" s="16"/>
      <c r="FR318" s="16"/>
      <c r="FS318" s="16"/>
      <c r="FT318" s="16"/>
      <c r="FU318" s="16"/>
      <c r="FV318" s="16"/>
      <c r="FW318" s="16"/>
      <c r="FX318" s="16"/>
      <c r="FY318" s="16"/>
      <c r="FZ318" s="16"/>
      <c r="GA318" s="16"/>
      <c r="GB318" s="16"/>
      <c r="GC318" s="16"/>
      <c r="GD318" s="16"/>
      <c r="GE318" s="16"/>
      <c r="GF318" s="16"/>
      <c r="GG318" s="16"/>
      <c r="GH318" s="16"/>
      <c r="GI318" s="16"/>
      <c r="GJ318" s="16"/>
      <c r="GK318" s="16"/>
      <c r="GL318" s="16"/>
      <c r="GM318" s="16"/>
      <c r="GN318" s="16"/>
      <c r="GO318" s="16"/>
      <c r="GP318" s="16"/>
      <c r="GQ318" s="16"/>
      <c r="GR318" s="16"/>
      <c r="GS318" s="16"/>
      <c r="GT318" s="16"/>
      <c r="GU318" s="16"/>
      <c r="GV318" s="16"/>
      <c r="GW318" s="16"/>
      <c r="GX318" s="16"/>
      <c r="GY318" s="16"/>
      <c r="GZ318" s="16"/>
      <c r="HA318" s="16"/>
      <c r="HB318" s="16"/>
      <c r="HC318" s="16"/>
      <c r="HD318" s="16"/>
      <c r="HE318" s="16"/>
      <c r="HF318" s="16"/>
      <c r="HG318" s="16"/>
      <c r="HH318" s="16"/>
      <c r="HI318" s="16"/>
      <c r="HJ318" s="16"/>
      <c r="HK318" s="16"/>
      <c r="HL318" s="16"/>
      <c r="HM318" s="16"/>
      <c r="HN318" s="16"/>
      <c r="HO318" s="16"/>
      <c r="HP318" s="16"/>
      <c r="HQ318" s="16"/>
      <c r="HR318" s="16"/>
      <c r="HS318" s="16"/>
      <c r="HT318" s="16"/>
      <c r="HU318" s="16"/>
      <c r="HV318" s="16"/>
      <c r="HW318" s="16"/>
      <c r="HX318" s="16"/>
      <c r="HY318" s="16"/>
      <c r="HZ318" s="16"/>
      <c r="IA318" s="16"/>
      <c r="IB318" s="16"/>
      <c r="IC318" s="16"/>
      <c r="ID318" s="16"/>
      <c r="IE318" s="16"/>
      <c r="IF318" s="16"/>
      <c r="IG318" s="16"/>
      <c r="IH318" s="16"/>
      <c r="II318" s="16"/>
      <c r="IJ318" s="16"/>
      <c r="IK318" s="16"/>
      <c r="IL318" s="16"/>
      <c r="IM318" s="16"/>
      <c r="IN318" s="16"/>
      <c r="IO318" s="16"/>
      <c r="IP318" s="16"/>
      <c r="IQ318" s="16"/>
      <c r="IR318" s="16"/>
      <c r="IS318" s="16"/>
      <c r="IT318" s="16"/>
      <c r="IU318" s="16"/>
      <c r="IV318" s="16"/>
      <c r="IW318" s="16"/>
      <c r="IX318" s="16"/>
      <c r="IY318" s="16"/>
      <c r="IZ318" s="16"/>
      <c r="JA318" s="16"/>
      <c r="JB318" s="16"/>
      <c r="JC318" s="16"/>
      <c r="JD318" s="16"/>
    </row>
    <row r="319" spans="1:264" ht="60" hidden="1" customHeight="1" x14ac:dyDescent="0.3">
      <c r="A319" s="4" t="s">
        <v>25</v>
      </c>
      <c r="B319" s="4" t="s">
        <v>2244</v>
      </c>
      <c r="C319" s="4" t="s">
        <v>1933</v>
      </c>
      <c r="D319" s="6" t="s">
        <v>32</v>
      </c>
      <c r="E319" s="6" t="s">
        <v>109</v>
      </c>
      <c r="F319" s="6" t="s">
        <v>109</v>
      </c>
      <c r="G319" s="6" t="s">
        <v>109</v>
      </c>
      <c r="H319" s="6" t="s">
        <v>109</v>
      </c>
      <c r="I319" s="6" t="s">
        <v>19</v>
      </c>
      <c r="J319" s="6" t="s">
        <v>19</v>
      </c>
      <c r="K319" s="6" t="s">
        <v>109</v>
      </c>
      <c r="L319" s="6" t="s">
        <v>109</v>
      </c>
      <c r="M319" s="15" t="s">
        <v>1932</v>
      </c>
      <c r="N319" s="4" t="s">
        <v>2063</v>
      </c>
      <c r="O319" s="4"/>
      <c r="P319" s="4">
        <v>0</v>
      </c>
      <c r="S319" s="15" t="e" cm="1">
        <f t="array" aca="1" ref="S319" ca="1">COMMONMARKETCOUNT(H319:AV319)</f>
        <v>#NAME?</v>
      </c>
      <c r="T319" s="6" t="e" cm="1">
        <f t="array" aca="1" ref="T319" ca="1">AUTOMATEDCOUNT(H319:AV319)</f>
        <v>#NAME?</v>
      </c>
      <c r="V319" s="6" t="s">
        <v>109</v>
      </c>
      <c r="W319" s="6" t="s">
        <v>109</v>
      </c>
      <c r="X319" s="6" t="s">
        <v>109</v>
      </c>
      <c r="Y319" s="6" t="s">
        <v>109</v>
      </c>
      <c r="Z319" s="6" t="s">
        <v>109</v>
      </c>
      <c r="AA319" s="6" t="s">
        <v>19</v>
      </c>
      <c r="AB319" s="6" t="s">
        <v>19</v>
      </c>
      <c r="AC319" s="6" t="s">
        <v>19</v>
      </c>
      <c r="AD319" s="6" t="s">
        <v>109</v>
      </c>
      <c r="AE319" s="6" t="s">
        <v>109</v>
      </c>
      <c r="AF319" s="6" t="s">
        <v>109</v>
      </c>
      <c r="AG319" s="6" t="s">
        <v>109</v>
      </c>
      <c r="AH319" s="6" t="s">
        <v>109</v>
      </c>
      <c r="AI319" s="6" t="s">
        <v>109</v>
      </c>
      <c r="AJ319" s="6" t="s">
        <v>109</v>
      </c>
      <c r="AK319" s="6" t="s">
        <v>109</v>
      </c>
      <c r="AL319" s="6" t="s">
        <v>109</v>
      </c>
      <c r="AM319" s="6" t="s">
        <v>109</v>
      </c>
      <c r="AN319" s="6" t="s">
        <v>109</v>
      </c>
      <c r="AO319" s="6" t="s">
        <v>109</v>
      </c>
      <c r="AP319" s="6" t="s">
        <v>109</v>
      </c>
      <c r="AQ319" s="6" t="s">
        <v>109</v>
      </c>
      <c r="AR319" s="6" t="s">
        <v>109</v>
      </c>
      <c r="AS319" s="6" t="s">
        <v>109</v>
      </c>
      <c r="AT319" s="6" t="s">
        <v>109</v>
      </c>
      <c r="AU319" s="6" t="s">
        <v>109</v>
      </c>
      <c r="AV319" s="36" t="s">
        <v>109</v>
      </c>
    </row>
    <row r="320" spans="1:264" ht="52.5" hidden="1" customHeight="1" x14ac:dyDescent="0.3">
      <c r="A320" s="4" t="s">
        <v>25</v>
      </c>
      <c r="B320" s="4" t="s">
        <v>2244</v>
      </c>
      <c r="C320" s="4" t="s">
        <v>1935</v>
      </c>
      <c r="D320" s="6" t="s">
        <v>32</v>
      </c>
      <c r="E320" s="6" t="s">
        <v>109</v>
      </c>
      <c r="F320" s="6" t="s">
        <v>109</v>
      </c>
      <c r="G320" s="6" t="s">
        <v>109</v>
      </c>
      <c r="H320" s="6" t="s">
        <v>109</v>
      </c>
      <c r="I320" s="6" t="s">
        <v>19</v>
      </c>
      <c r="J320" s="6" t="s">
        <v>19</v>
      </c>
      <c r="K320" s="6" t="s">
        <v>109</v>
      </c>
      <c r="L320" s="6" t="s">
        <v>109</v>
      </c>
      <c r="M320" s="15" t="s">
        <v>1934</v>
      </c>
      <c r="N320" s="4" t="s">
        <v>2064</v>
      </c>
      <c r="O320" s="4"/>
      <c r="P320" s="4">
        <v>0</v>
      </c>
      <c r="S320" s="15" t="e" cm="1">
        <f t="array" aca="1" ref="S320" ca="1">COMMONMARKETCOUNT(H320:AV320)</f>
        <v>#NAME?</v>
      </c>
      <c r="T320" s="6" t="e" cm="1">
        <f t="array" aca="1" ref="T320" ca="1">AUTOMATEDCOUNT(H320:AV320)</f>
        <v>#NAME?</v>
      </c>
      <c r="V320" s="6" t="s">
        <v>109</v>
      </c>
      <c r="W320" s="6" t="s">
        <v>109</v>
      </c>
      <c r="X320" s="6" t="s">
        <v>109</v>
      </c>
      <c r="Y320" s="6" t="s">
        <v>109</v>
      </c>
      <c r="Z320" s="6" t="s">
        <v>109</v>
      </c>
      <c r="AA320" s="6" t="s">
        <v>19</v>
      </c>
      <c r="AB320" s="6" t="s">
        <v>19</v>
      </c>
      <c r="AC320" s="6" t="s">
        <v>19</v>
      </c>
      <c r="AD320" s="6" t="s">
        <v>19</v>
      </c>
      <c r="AE320" s="6" t="s">
        <v>19</v>
      </c>
      <c r="AF320" s="6" t="s">
        <v>109</v>
      </c>
      <c r="AG320" s="6" t="s">
        <v>109</v>
      </c>
      <c r="AH320" s="6" t="s">
        <v>109</v>
      </c>
      <c r="AI320" s="6" t="s">
        <v>109</v>
      </c>
      <c r="AJ320" s="6" t="s">
        <v>109</v>
      </c>
      <c r="AK320" s="6" t="s">
        <v>109</v>
      </c>
      <c r="AL320" s="6" t="s">
        <v>109</v>
      </c>
      <c r="AM320" s="6" t="s">
        <v>109</v>
      </c>
      <c r="AN320" s="6" t="s">
        <v>109</v>
      </c>
      <c r="AO320" s="6" t="s">
        <v>109</v>
      </c>
      <c r="AP320" s="6" t="s">
        <v>109</v>
      </c>
      <c r="AQ320" s="6" t="s">
        <v>109</v>
      </c>
      <c r="AR320" s="6" t="s">
        <v>109</v>
      </c>
      <c r="AS320" s="6" t="s">
        <v>109</v>
      </c>
      <c r="AT320" s="6" t="s">
        <v>109</v>
      </c>
      <c r="AU320" s="6" t="s">
        <v>109</v>
      </c>
      <c r="AV320" s="36" t="s">
        <v>109</v>
      </c>
    </row>
    <row r="321" spans="1:264" ht="60" hidden="1" customHeight="1" x14ac:dyDescent="0.3">
      <c r="A321" s="4" t="s">
        <v>18</v>
      </c>
      <c r="B321" s="4" t="s">
        <v>180</v>
      </c>
      <c r="C321" s="4" t="s">
        <v>1936</v>
      </c>
      <c r="D321" s="6" t="s">
        <v>32</v>
      </c>
      <c r="E321" s="6" t="s">
        <v>109</v>
      </c>
      <c r="F321" s="6" t="s">
        <v>109</v>
      </c>
      <c r="G321" s="6" t="s">
        <v>109</v>
      </c>
      <c r="H321" s="6" t="s">
        <v>109</v>
      </c>
      <c r="I321" s="6" t="s">
        <v>109</v>
      </c>
      <c r="J321" s="6" t="s">
        <v>109</v>
      </c>
      <c r="K321" s="6" t="s">
        <v>109</v>
      </c>
      <c r="L321" s="6" t="s">
        <v>109</v>
      </c>
      <c r="M321" s="15" t="s">
        <v>2943</v>
      </c>
      <c r="N321" s="4" t="s">
        <v>2065</v>
      </c>
      <c r="O321" s="4"/>
      <c r="P321" s="4" t="s">
        <v>2072</v>
      </c>
      <c r="S321" s="15" t="e" cm="1">
        <f t="array" aca="1" ref="S321" ca="1">COMMONMARKETCOUNT(H321:AV321)</f>
        <v>#NAME?</v>
      </c>
      <c r="T321" s="6" t="e" cm="1">
        <f t="array" aca="1" ref="T321" ca="1">AUTOMATEDCOUNT(H321:AV321)</f>
        <v>#NAME?</v>
      </c>
      <c r="V321" s="6" t="s">
        <v>109</v>
      </c>
      <c r="W321" s="6" t="s">
        <v>109</v>
      </c>
      <c r="X321" s="6" t="s">
        <v>109</v>
      </c>
      <c r="Y321" s="6" t="s">
        <v>109</v>
      </c>
      <c r="Z321" s="6" t="s">
        <v>109</v>
      </c>
      <c r="AA321" s="6" t="s">
        <v>109</v>
      </c>
      <c r="AB321" s="6" t="s">
        <v>109</v>
      </c>
      <c r="AC321" s="6" t="s">
        <v>109</v>
      </c>
      <c r="AD321" s="6" t="s">
        <v>19</v>
      </c>
      <c r="AE321" s="6" t="s">
        <v>19</v>
      </c>
      <c r="AF321" s="6" t="s">
        <v>109</v>
      </c>
      <c r="AG321" s="6" t="s">
        <v>109</v>
      </c>
      <c r="AH321" s="6" t="s">
        <v>109</v>
      </c>
      <c r="AI321" s="6" t="s">
        <v>109</v>
      </c>
      <c r="AJ321" s="6" t="s">
        <v>109</v>
      </c>
      <c r="AK321" s="6" t="s">
        <v>109</v>
      </c>
      <c r="AL321" s="6" t="s">
        <v>109</v>
      </c>
      <c r="AM321" s="6" t="s">
        <v>109</v>
      </c>
      <c r="AN321" s="6" t="s">
        <v>109</v>
      </c>
      <c r="AO321" s="6" t="s">
        <v>109</v>
      </c>
      <c r="AP321" s="6" t="s">
        <v>109</v>
      </c>
      <c r="AQ321" s="6" t="s">
        <v>109</v>
      </c>
      <c r="AR321" s="6" t="s">
        <v>109</v>
      </c>
      <c r="AS321" s="6" t="s">
        <v>109</v>
      </c>
      <c r="AT321" s="6" t="s">
        <v>109</v>
      </c>
      <c r="AU321" s="6" t="s">
        <v>3153</v>
      </c>
      <c r="AV321" s="36" t="s">
        <v>109</v>
      </c>
    </row>
    <row r="322" spans="1:264" ht="51" hidden="1" customHeight="1" x14ac:dyDescent="0.3">
      <c r="A322" s="4" t="s">
        <v>18</v>
      </c>
      <c r="B322" s="4" t="s">
        <v>2245</v>
      </c>
      <c r="C322" s="4" t="s">
        <v>1937</v>
      </c>
      <c r="D322" s="6" t="s">
        <v>32</v>
      </c>
      <c r="E322" s="6" t="s">
        <v>109</v>
      </c>
      <c r="F322" s="6" t="s">
        <v>109</v>
      </c>
      <c r="G322" s="6" t="s">
        <v>109</v>
      </c>
      <c r="H322" s="6" t="s">
        <v>109</v>
      </c>
      <c r="I322" s="6" t="s">
        <v>109</v>
      </c>
      <c r="J322" s="6" t="s">
        <v>109</v>
      </c>
      <c r="K322" s="6" t="s">
        <v>109</v>
      </c>
      <c r="L322" s="6" t="s">
        <v>109</v>
      </c>
      <c r="M322" s="15" t="s">
        <v>2944</v>
      </c>
      <c r="N322" s="4" t="s">
        <v>2066</v>
      </c>
      <c r="O322" s="4"/>
      <c r="P322" s="4" t="s">
        <v>2139</v>
      </c>
      <c r="S322" s="15" t="e" cm="1">
        <f t="array" aca="1" ref="S322" ca="1">COMMONMARKETCOUNT(H322:AV322)</f>
        <v>#NAME?</v>
      </c>
      <c r="T322" s="6" t="e" cm="1">
        <f t="array" aca="1" ref="T322" ca="1">AUTOMATEDCOUNT(H322:AV322)</f>
        <v>#NAME?</v>
      </c>
      <c r="V322" s="6" t="s">
        <v>109</v>
      </c>
      <c r="W322" s="6" t="s">
        <v>109</v>
      </c>
      <c r="X322" s="6" t="s">
        <v>109</v>
      </c>
      <c r="Y322" s="6" t="s">
        <v>109</v>
      </c>
      <c r="Z322" s="6" t="s">
        <v>109</v>
      </c>
      <c r="AA322" s="6" t="s">
        <v>109</v>
      </c>
      <c r="AB322" s="6" t="s">
        <v>109</v>
      </c>
      <c r="AC322" s="6" t="s">
        <v>109</v>
      </c>
      <c r="AD322" s="6" t="s">
        <v>109</v>
      </c>
      <c r="AE322" s="6" t="s">
        <v>109</v>
      </c>
      <c r="AF322" s="6" t="s">
        <v>109</v>
      </c>
      <c r="AG322" s="6" t="s">
        <v>109</v>
      </c>
      <c r="AH322" s="6" t="s">
        <v>109</v>
      </c>
      <c r="AI322" s="6" t="s">
        <v>109</v>
      </c>
      <c r="AJ322" s="6" t="s">
        <v>109</v>
      </c>
      <c r="AK322" s="6" t="s">
        <v>109</v>
      </c>
      <c r="AL322" s="6" t="s">
        <v>109</v>
      </c>
      <c r="AM322" s="6" t="s">
        <v>109</v>
      </c>
      <c r="AN322" s="6" t="s">
        <v>109</v>
      </c>
      <c r="AO322" s="6" t="s">
        <v>109</v>
      </c>
      <c r="AP322" s="6" t="s">
        <v>109</v>
      </c>
      <c r="AQ322" s="6" t="s">
        <v>109</v>
      </c>
      <c r="AR322" s="6" t="s">
        <v>109</v>
      </c>
      <c r="AS322" s="6" t="s">
        <v>109</v>
      </c>
      <c r="AT322" s="6" t="s">
        <v>109</v>
      </c>
      <c r="AU322" s="6" t="s">
        <v>3153</v>
      </c>
      <c r="AV322" s="36" t="s">
        <v>109</v>
      </c>
    </row>
    <row r="323" spans="1:264" ht="101.25" hidden="1" customHeight="1" x14ac:dyDescent="0.3">
      <c r="A323" s="4" t="s">
        <v>18</v>
      </c>
      <c r="B323" s="4" t="s">
        <v>17</v>
      </c>
      <c r="C323" s="4" t="s">
        <v>1938</v>
      </c>
      <c r="D323" s="6" t="s">
        <v>32</v>
      </c>
      <c r="E323" s="6" t="s">
        <v>109</v>
      </c>
      <c r="F323" s="6" t="s">
        <v>109</v>
      </c>
      <c r="G323" s="6" t="s">
        <v>109</v>
      </c>
      <c r="H323" s="6" t="s">
        <v>109</v>
      </c>
      <c r="I323" s="6" t="s">
        <v>109</v>
      </c>
      <c r="J323" s="6" t="s">
        <v>109</v>
      </c>
      <c r="K323" s="6" t="s">
        <v>109</v>
      </c>
      <c r="L323" s="6" t="s">
        <v>109</v>
      </c>
      <c r="M323" s="15" t="s">
        <v>2945</v>
      </c>
      <c r="N323" s="4" t="s">
        <v>2067</v>
      </c>
      <c r="O323" s="4"/>
      <c r="P323" s="4" t="s">
        <v>2255</v>
      </c>
      <c r="S323" s="15" t="e" cm="1">
        <f t="array" aca="1" ref="S323" ca="1">COMMONMARKETCOUNT(H323:AV323)</f>
        <v>#NAME?</v>
      </c>
      <c r="T323" s="6" t="e" cm="1">
        <f t="array" aca="1" ref="T323" ca="1">AUTOMATEDCOUNT(H323:AV323)</f>
        <v>#NAME?</v>
      </c>
      <c r="V323" s="6" t="s">
        <v>109</v>
      </c>
      <c r="W323" s="6" t="s">
        <v>109</v>
      </c>
      <c r="X323" s="6" t="s">
        <v>109</v>
      </c>
      <c r="Y323" s="6" t="s">
        <v>109</v>
      </c>
      <c r="Z323" s="6" t="s">
        <v>109</v>
      </c>
      <c r="AA323" s="6" t="s">
        <v>109</v>
      </c>
      <c r="AB323" s="6" t="s">
        <v>109</v>
      </c>
      <c r="AC323" s="6" t="s">
        <v>109</v>
      </c>
      <c r="AD323" s="6" t="s">
        <v>109</v>
      </c>
      <c r="AE323" s="6" t="s">
        <v>109</v>
      </c>
      <c r="AF323" s="6" t="s">
        <v>109</v>
      </c>
      <c r="AG323" s="6" t="s">
        <v>109</v>
      </c>
      <c r="AH323" s="6" t="s">
        <v>109</v>
      </c>
      <c r="AI323" s="6" t="s">
        <v>109</v>
      </c>
      <c r="AJ323" s="6" t="s">
        <v>109</v>
      </c>
      <c r="AK323" s="6" t="s">
        <v>109</v>
      </c>
      <c r="AL323" s="6" t="s">
        <v>109</v>
      </c>
      <c r="AM323" s="6" t="s">
        <v>109</v>
      </c>
      <c r="AN323" s="6" t="s">
        <v>109</v>
      </c>
      <c r="AO323" s="6" t="s">
        <v>109</v>
      </c>
      <c r="AP323" s="6" t="s">
        <v>109</v>
      </c>
      <c r="AQ323" s="6" t="s">
        <v>109</v>
      </c>
      <c r="AR323" s="6" t="s">
        <v>109</v>
      </c>
      <c r="AS323" s="6" t="s">
        <v>109</v>
      </c>
      <c r="AT323" s="6" t="s">
        <v>109</v>
      </c>
      <c r="AU323" s="6" t="s">
        <v>3153</v>
      </c>
      <c r="AV323" s="36" t="s">
        <v>109</v>
      </c>
    </row>
    <row r="324" spans="1:264" ht="84.75" hidden="1" customHeight="1" x14ac:dyDescent="0.3">
      <c r="A324" s="4" t="s">
        <v>18</v>
      </c>
      <c r="B324" s="4" t="s">
        <v>17</v>
      </c>
      <c r="C324" s="4" t="s">
        <v>1939</v>
      </c>
      <c r="D324" s="6" t="s">
        <v>32</v>
      </c>
      <c r="E324" s="6" t="s">
        <v>109</v>
      </c>
      <c r="F324" s="6" t="s">
        <v>109</v>
      </c>
      <c r="G324" s="6" t="s">
        <v>109</v>
      </c>
      <c r="H324" s="6" t="s">
        <v>109</v>
      </c>
      <c r="I324" s="6" t="s">
        <v>109</v>
      </c>
      <c r="J324" s="6" t="s">
        <v>109</v>
      </c>
      <c r="K324" s="6" t="s">
        <v>109</v>
      </c>
      <c r="L324" s="6" t="s">
        <v>109</v>
      </c>
      <c r="M324" s="15" t="s">
        <v>2946</v>
      </c>
      <c r="N324" s="4" t="s">
        <v>2068</v>
      </c>
      <c r="O324" s="4"/>
      <c r="P324" s="4" t="s">
        <v>2140</v>
      </c>
      <c r="S324" s="15" t="e" cm="1">
        <f t="array" aca="1" ref="S324" ca="1">COMMONMARKETCOUNT(H324:AV324)</f>
        <v>#NAME?</v>
      </c>
      <c r="T324" s="6" t="e" cm="1">
        <f t="array" aca="1" ref="T324" ca="1">AUTOMATEDCOUNT(H324:AV324)</f>
        <v>#NAME?</v>
      </c>
      <c r="V324" s="6" t="s">
        <v>109</v>
      </c>
      <c r="W324" s="6" t="s">
        <v>109</v>
      </c>
      <c r="X324" s="6" t="s">
        <v>109</v>
      </c>
      <c r="Y324" s="6" t="s">
        <v>109</v>
      </c>
      <c r="Z324" s="6" t="s">
        <v>109</v>
      </c>
      <c r="AA324" s="6" t="s">
        <v>109</v>
      </c>
      <c r="AB324" s="6" t="s">
        <v>109</v>
      </c>
      <c r="AC324" s="6" t="s">
        <v>109</v>
      </c>
      <c r="AD324" s="6" t="s">
        <v>109</v>
      </c>
      <c r="AE324" s="6" t="s">
        <v>109</v>
      </c>
      <c r="AF324" s="6" t="s">
        <v>109</v>
      </c>
      <c r="AG324" s="6" t="s">
        <v>109</v>
      </c>
      <c r="AH324" s="6" t="s">
        <v>109</v>
      </c>
      <c r="AI324" s="6" t="s">
        <v>109</v>
      </c>
      <c r="AJ324" s="6" t="s">
        <v>109</v>
      </c>
      <c r="AK324" s="6" t="s">
        <v>109</v>
      </c>
      <c r="AL324" s="6" t="s">
        <v>109</v>
      </c>
      <c r="AM324" s="6" t="s">
        <v>109</v>
      </c>
      <c r="AN324" s="6" t="s">
        <v>109</v>
      </c>
      <c r="AO324" s="6" t="s">
        <v>109</v>
      </c>
      <c r="AP324" s="6" t="s">
        <v>109</v>
      </c>
      <c r="AQ324" s="6" t="s">
        <v>109</v>
      </c>
      <c r="AR324" s="6" t="s">
        <v>109</v>
      </c>
      <c r="AS324" s="6" t="s">
        <v>109</v>
      </c>
      <c r="AT324" s="6" t="s">
        <v>109</v>
      </c>
      <c r="AU324" s="6" t="s">
        <v>3153</v>
      </c>
      <c r="AV324" s="36" t="s">
        <v>109</v>
      </c>
    </row>
    <row r="325" spans="1:264" ht="61.5" hidden="1" customHeight="1" x14ac:dyDescent="0.3">
      <c r="A325" s="4" t="s">
        <v>18</v>
      </c>
      <c r="B325" s="4" t="s">
        <v>17</v>
      </c>
      <c r="C325" s="4" t="s">
        <v>1940</v>
      </c>
      <c r="D325" s="6" t="s">
        <v>32</v>
      </c>
      <c r="E325" s="6" t="s">
        <v>109</v>
      </c>
      <c r="F325" s="6" t="s">
        <v>109</v>
      </c>
      <c r="G325" s="6" t="s">
        <v>109</v>
      </c>
      <c r="H325" s="6" t="s">
        <v>109</v>
      </c>
      <c r="I325" s="6" t="s">
        <v>109</v>
      </c>
      <c r="J325" s="6" t="s">
        <v>109</v>
      </c>
      <c r="K325" s="6" t="s">
        <v>109</v>
      </c>
      <c r="L325" s="6" t="s">
        <v>109</v>
      </c>
      <c r="M325" s="15" t="s">
        <v>2947</v>
      </c>
      <c r="N325" s="4" t="s">
        <v>2069</v>
      </c>
      <c r="O325" s="4"/>
      <c r="P325" s="4" t="s">
        <v>2141</v>
      </c>
      <c r="S325" s="15" t="e" cm="1">
        <f t="array" aca="1" ref="S325" ca="1">COMMONMARKETCOUNT(H325:AV325)</f>
        <v>#NAME?</v>
      </c>
      <c r="T325" s="6" t="e" cm="1">
        <f t="array" aca="1" ref="T325" ca="1">AUTOMATEDCOUNT(H325:AV325)</f>
        <v>#NAME?</v>
      </c>
      <c r="V325" s="6" t="s">
        <v>109</v>
      </c>
      <c r="W325" s="6" t="s">
        <v>109</v>
      </c>
      <c r="X325" s="6" t="s">
        <v>109</v>
      </c>
      <c r="Y325" s="6" t="s">
        <v>109</v>
      </c>
      <c r="Z325" s="6" t="s">
        <v>109</v>
      </c>
      <c r="AA325" s="6" t="s">
        <v>109</v>
      </c>
      <c r="AB325" s="6" t="s">
        <v>109</v>
      </c>
      <c r="AC325" s="6" t="s">
        <v>109</v>
      </c>
      <c r="AD325" s="6" t="s">
        <v>109</v>
      </c>
      <c r="AE325" s="6" t="s">
        <v>109</v>
      </c>
      <c r="AF325" s="6" t="s">
        <v>109</v>
      </c>
      <c r="AG325" s="6" t="s">
        <v>109</v>
      </c>
      <c r="AH325" s="6" t="s">
        <v>109</v>
      </c>
      <c r="AI325" s="6" t="s">
        <v>109</v>
      </c>
      <c r="AJ325" s="6" t="s">
        <v>109</v>
      </c>
      <c r="AK325" s="6" t="s">
        <v>109</v>
      </c>
      <c r="AL325" s="6" t="s">
        <v>109</v>
      </c>
      <c r="AM325" s="6" t="s">
        <v>109</v>
      </c>
      <c r="AN325" s="6" t="s">
        <v>109</v>
      </c>
      <c r="AO325" s="6" t="s">
        <v>109</v>
      </c>
      <c r="AP325" s="6" t="s">
        <v>109</v>
      </c>
      <c r="AQ325" s="6" t="s">
        <v>109</v>
      </c>
      <c r="AR325" s="6" t="s">
        <v>109</v>
      </c>
      <c r="AS325" s="6" t="s">
        <v>109</v>
      </c>
      <c r="AT325" s="6" t="s">
        <v>109</v>
      </c>
      <c r="AU325" s="6" t="s">
        <v>3153</v>
      </c>
      <c r="AV325" s="36" t="s">
        <v>109</v>
      </c>
    </row>
    <row r="326" spans="1:264" ht="61.5" customHeight="1" x14ac:dyDescent="0.3">
      <c r="A326" s="15" t="s">
        <v>18</v>
      </c>
      <c r="B326" s="15" t="s">
        <v>1365</v>
      </c>
      <c r="C326" s="15" t="s">
        <v>550</v>
      </c>
      <c r="D326" s="15" t="s">
        <v>19</v>
      </c>
      <c r="E326" s="70" t="s">
        <v>19</v>
      </c>
      <c r="F326" s="70" t="s">
        <v>19</v>
      </c>
      <c r="G326" s="70" t="s">
        <v>19</v>
      </c>
      <c r="H326" s="70" t="s">
        <v>19</v>
      </c>
      <c r="I326" s="72" t="s">
        <v>19</v>
      </c>
      <c r="J326" s="72" t="s">
        <v>19</v>
      </c>
      <c r="K326" s="72" t="s">
        <v>19</v>
      </c>
      <c r="L326" s="72" t="s">
        <v>19</v>
      </c>
      <c r="M326" s="15" t="s">
        <v>551</v>
      </c>
      <c r="N326" s="4" t="s">
        <v>1249</v>
      </c>
      <c r="O326" s="15"/>
      <c r="P326" s="4" t="s">
        <v>1627</v>
      </c>
      <c r="S326" s="15" t="e" cm="1">
        <f t="array" aca="1" ref="S326" ca="1">COMMONMARKETCOUNT(H326:AV326)</f>
        <v>#NAME?</v>
      </c>
      <c r="T326" s="6" t="e" cm="1">
        <f t="array" aca="1" ref="T326" ca="1">AUTOMATEDCOUNT(H326:AV326)</f>
        <v>#NAME?</v>
      </c>
      <c r="V326" s="100" t="s">
        <v>19</v>
      </c>
      <c r="W326" s="70" t="s">
        <v>19</v>
      </c>
      <c r="X326" s="70" t="s">
        <v>19</v>
      </c>
      <c r="Y326" s="70" t="s">
        <v>19</v>
      </c>
      <c r="Z326" s="70" t="s">
        <v>19</v>
      </c>
      <c r="AA326" s="72" t="s">
        <v>19</v>
      </c>
      <c r="AB326" s="72" t="s">
        <v>19</v>
      </c>
      <c r="AC326" s="72" t="s">
        <v>19</v>
      </c>
      <c r="AD326" s="6" t="s">
        <v>109</v>
      </c>
      <c r="AE326" s="6" t="s">
        <v>109</v>
      </c>
      <c r="AF326" s="18" t="s">
        <v>19</v>
      </c>
      <c r="AG326" s="29" t="s">
        <v>19</v>
      </c>
      <c r="AH326" s="29" t="s">
        <v>19</v>
      </c>
      <c r="AI326" s="18" t="s">
        <v>19</v>
      </c>
      <c r="AJ326" s="18" t="s">
        <v>19</v>
      </c>
      <c r="AK326" s="18" t="s">
        <v>19</v>
      </c>
      <c r="AL326" s="18" t="s">
        <v>19</v>
      </c>
      <c r="AM326" s="18" t="s">
        <v>19</v>
      </c>
      <c r="AN326" s="18" t="s">
        <v>19</v>
      </c>
      <c r="AO326" s="18" t="s">
        <v>19</v>
      </c>
      <c r="AP326" s="18" t="s">
        <v>19</v>
      </c>
      <c r="AQ326" s="18" t="s">
        <v>19</v>
      </c>
      <c r="AR326" s="18" t="s">
        <v>19</v>
      </c>
      <c r="AS326" s="70" t="s">
        <v>19</v>
      </c>
      <c r="AT326" s="72" t="s">
        <v>19</v>
      </c>
      <c r="AU326" s="18" t="s">
        <v>3153</v>
      </c>
      <c r="AV326" s="36" t="s">
        <v>19</v>
      </c>
    </row>
    <row r="327" spans="1:264" ht="69.75" hidden="1" customHeight="1" x14ac:dyDescent="0.3">
      <c r="A327" s="4" t="s">
        <v>25</v>
      </c>
      <c r="B327" s="15" t="s">
        <v>1365</v>
      </c>
      <c r="C327" s="4" t="s">
        <v>1941</v>
      </c>
      <c r="D327" s="6" t="s">
        <v>32</v>
      </c>
      <c r="E327" s="6" t="s">
        <v>19</v>
      </c>
      <c r="F327" s="6" t="s">
        <v>19</v>
      </c>
      <c r="G327" s="6" t="s">
        <v>19</v>
      </c>
      <c r="H327" s="6" t="s">
        <v>19</v>
      </c>
      <c r="I327" s="6" t="s">
        <v>19</v>
      </c>
      <c r="J327" s="6" t="s">
        <v>19</v>
      </c>
      <c r="K327" s="6" t="s">
        <v>19</v>
      </c>
      <c r="L327" s="6" t="s">
        <v>19</v>
      </c>
      <c r="M327" s="15" t="s">
        <v>2948</v>
      </c>
      <c r="N327" s="4" t="s">
        <v>2073</v>
      </c>
      <c r="O327" s="4"/>
      <c r="P327" s="4" t="s">
        <v>3096</v>
      </c>
      <c r="S327" s="15" t="e" cm="1">
        <f t="array" aca="1" ref="S327" ca="1">COMMONMARKETCOUNT(H327:AV327)</f>
        <v>#NAME?</v>
      </c>
      <c r="T327" s="6" t="e" cm="1">
        <f t="array" aca="1" ref="T327" ca="1">AUTOMATEDCOUNT(H327:AV327)</f>
        <v>#NAME?</v>
      </c>
      <c r="V327" s="6" t="s">
        <v>19</v>
      </c>
      <c r="W327" s="6" t="s">
        <v>19</v>
      </c>
      <c r="X327" s="6" t="s">
        <v>19</v>
      </c>
      <c r="Y327" s="6" t="s">
        <v>19</v>
      </c>
      <c r="Z327" s="6" t="s">
        <v>19</v>
      </c>
      <c r="AA327" s="6" t="s">
        <v>19</v>
      </c>
      <c r="AB327" s="6" t="s">
        <v>19</v>
      </c>
      <c r="AC327" s="6" t="s">
        <v>19</v>
      </c>
      <c r="AD327" s="18" t="s">
        <v>19</v>
      </c>
      <c r="AE327" s="18" t="s">
        <v>19</v>
      </c>
      <c r="AF327" s="6" t="s">
        <v>19</v>
      </c>
      <c r="AG327" s="6" t="s">
        <v>19</v>
      </c>
      <c r="AH327" s="6" t="s">
        <v>19</v>
      </c>
      <c r="AI327" s="6" t="s">
        <v>19</v>
      </c>
      <c r="AJ327" s="6" t="s">
        <v>19</v>
      </c>
      <c r="AK327" s="6" t="s">
        <v>19</v>
      </c>
      <c r="AL327" s="6" t="s">
        <v>19</v>
      </c>
      <c r="AM327" s="6" t="s">
        <v>19</v>
      </c>
      <c r="AN327" s="6" t="s">
        <v>19</v>
      </c>
      <c r="AO327" s="6" t="s">
        <v>19</v>
      </c>
      <c r="AP327" s="6" t="s">
        <v>19</v>
      </c>
      <c r="AQ327" s="6" t="s">
        <v>19</v>
      </c>
      <c r="AR327" s="6" t="s">
        <v>19</v>
      </c>
      <c r="AS327" s="6" t="s">
        <v>19</v>
      </c>
      <c r="AT327" s="6" t="s">
        <v>19</v>
      </c>
      <c r="AU327" s="6" t="s">
        <v>109</v>
      </c>
      <c r="AV327" s="36" t="s">
        <v>19</v>
      </c>
    </row>
    <row r="328" spans="1:264" ht="93.75" hidden="1" customHeight="1" x14ac:dyDescent="0.3">
      <c r="A328" s="4" t="s">
        <v>25</v>
      </c>
      <c r="B328" s="4" t="s">
        <v>17</v>
      </c>
      <c r="C328" s="6" t="s">
        <v>1942</v>
      </c>
      <c r="D328" s="6" t="s">
        <v>32</v>
      </c>
      <c r="E328" s="6" t="s">
        <v>19</v>
      </c>
      <c r="F328" s="6" t="s">
        <v>19</v>
      </c>
      <c r="G328" s="6" t="s">
        <v>19</v>
      </c>
      <c r="H328" s="6" t="s">
        <v>19</v>
      </c>
      <c r="I328" s="6" t="s">
        <v>19</v>
      </c>
      <c r="J328" s="6" t="s">
        <v>19</v>
      </c>
      <c r="K328" s="6" t="s">
        <v>19</v>
      </c>
      <c r="L328" s="6" t="s">
        <v>19</v>
      </c>
      <c r="M328" s="15" t="s">
        <v>2241</v>
      </c>
      <c r="N328" s="4" t="s">
        <v>2074</v>
      </c>
      <c r="O328" s="4"/>
      <c r="P328" s="4">
        <v>0</v>
      </c>
      <c r="S328" s="15" t="e" cm="1">
        <f t="array" aca="1" ref="S328" ca="1">COMMONMARKETCOUNT(H328:AV328)</f>
        <v>#NAME?</v>
      </c>
      <c r="T328" s="6" t="e" cm="1">
        <f t="array" aca="1" ref="T328" ca="1">AUTOMATEDCOUNT(H328:AV328)</f>
        <v>#NAME?</v>
      </c>
      <c r="V328" s="6" t="s">
        <v>19</v>
      </c>
      <c r="W328" s="6" t="s">
        <v>19</v>
      </c>
      <c r="X328" s="6" t="s">
        <v>19</v>
      </c>
      <c r="Y328" s="6" t="s">
        <v>19</v>
      </c>
      <c r="Z328" s="6" t="s">
        <v>19</v>
      </c>
      <c r="AA328" s="6" t="s">
        <v>19</v>
      </c>
      <c r="AB328" s="6" t="s">
        <v>19</v>
      </c>
      <c r="AC328" s="6" t="s">
        <v>19</v>
      </c>
      <c r="AD328" s="6" t="s">
        <v>19</v>
      </c>
      <c r="AE328" s="6" t="s">
        <v>19</v>
      </c>
      <c r="AF328" s="6" t="s">
        <v>19</v>
      </c>
      <c r="AG328" s="6" t="s">
        <v>19</v>
      </c>
      <c r="AH328" s="6" t="s">
        <v>19</v>
      </c>
      <c r="AI328" s="6" t="s">
        <v>19</v>
      </c>
      <c r="AJ328" s="6" t="s">
        <v>19</v>
      </c>
      <c r="AK328" s="6" t="s">
        <v>19</v>
      </c>
      <c r="AL328" s="6" t="s">
        <v>19</v>
      </c>
      <c r="AM328" s="6" t="s">
        <v>19</v>
      </c>
      <c r="AN328" s="6" t="s">
        <v>19</v>
      </c>
      <c r="AO328" s="6" t="s">
        <v>19</v>
      </c>
      <c r="AP328" s="6" t="s">
        <v>19</v>
      </c>
      <c r="AQ328" s="6" t="s">
        <v>19</v>
      </c>
      <c r="AR328" s="6" t="s">
        <v>19</v>
      </c>
      <c r="AS328" s="6" t="s">
        <v>19</v>
      </c>
      <c r="AT328" s="6" t="s">
        <v>19</v>
      </c>
      <c r="AU328" s="6" t="s">
        <v>109</v>
      </c>
      <c r="AV328" s="36" t="s">
        <v>19</v>
      </c>
    </row>
    <row r="329" spans="1:264" ht="75" customHeight="1" x14ac:dyDescent="0.3">
      <c r="A329" s="4" t="s">
        <v>25</v>
      </c>
      <c r="B329" s="4" t="s">
        <v>17</v>
      </c>
      <c r="C329" s="6" t="s">
        <v>1943</v>
      </c>
      <c r="D329" s="6" t="s">
        <v>19</v>
      </c>
      <c r="E329" s="6" t="s">
        <v>19</v>
      </c>
      <c r="F329" s="6" t="s">
        <v>19</v>
      </c>
      <c r="G329" s="6" t="s">
        <v>19</v>
      </c>
      <c r="H329" s="6" t="s">
        <v>19</v>
      </c>
      <c r="I329" s="96" t="s">
        <v>19</v>
      </c>
      <c r="J329" s="96" t="s">
        <v>19</v>
      </c>
      <c r="K329" s="6" t="s">
        <v>19</v>
      </c>
      <c r="L329" s="6" t="s">
        <v>19</v>
      </c>
      <c r="M329" s="15" t="s">
        <v>1944</v>
      </c>
      <c r="N329" s="4" t="s">
        <v>2075</v>
      </c>
      <c r="O329" s="4"/>
      <c r="P329" s="4">
        <v>0</v>
      </c>
      <c r="S329" s="15" t="e" cm="1">
        <f t="array" aca="1" ref="S329" ca="1">COMMONMARKETCOUNT(H329:AV329)</f>
        <v>#NAME?</v>
      </c>
      <c r="T329" s="6" t="e" cm="1">
        <f t="array" aca="1" ref="T329" ca="1">AUTOMATEDCOUNT(H329:AV329)</f>
        <v>#NAME?</v>
      </c>
      <c r="V329" s="6" t="s">
        <v>19</v>
      </c>
      <c r="W329" s="6" t="s">
        <v>19</v>
      </c>
      <c r="X329" s="6" t="s">
        <v>19</v>
      </c>
      <c r="Y329" s="6" t="s">
        <v>19</v>
      </c>
      <c r="Z329" s="6" t="s">
        <v>19</v>
      </c>
      <c r="AA329" s="96" t="s">
        <v>19</v>
      </c>
      <c r="AB329" s="96" t="s">
        <v>19</v>
      </c>
      <c r="AC329" s="96" t="s">
        <v>19</v>
      </c>
      <c r="AD329" s="96" t="s">
        <v>19</v>
      </c>
      <c r="AE329" s="6" t="s">
        <v>19</v>
      </c>
      <c r="AF329" s="6" t="s">
        <v>19</v>
      </c>
      <c r="AG329" s="6" t="s">
        <v>19</v>
      </c>
      <c r="AH329" s="6" t="s">
        <v>19</v>
      </c>
      <c r="AI329" s="6" t="s">
        <v>19</v>
      </c>
      <c r="AJ329" s="6" t="s">
        <v>19</v>
      </c>
      <c r="AK329" s="6" t="s">
        <v>19</v>
      </c>
      <c r="AL329" s="6" t="s">
        <v>19</v>
      </c>
      <c r="AM329" s="6" t="s">
        <v>19</v>
      </c>
      <c r="AN329" s="6" t="s">
        <v>19</v>
      </c>
      <c r="AO329" s="6" t="s">
        <v>19</v>
      </c>
      <c r="AP329" s="6" t="s">
        <v>19</v>
      </c>
      <c r="AQ329" s="6" t="s">
        <v>19</v>
      </c>
      <c r="AR329" s="6" t="s">
        <v>19</v>
      </c>
      <c r="AS329" s="6" t="s">
        <v>19</v>
      </c>
      <c r="AT329" s="6" t="s">
        <v>19</v>
      </c>
      <c r="AU329" s="6" t="s">
        <v>3153</v>
      </c>
      <c r="AV329" s="36" t="s">
        <v>19</v>
      </c>
    </row>
    <row r="330" spans="1:264" ht="68.25" customHeight="1" x14ac:dyDescent="0.3">
      <c r="A330" s="15" t="s">
        <v>25</v>
      </c>
      <c r="B330" s="15" t="s">
        <v>1365</v>
      </c>
      <c r="C330" s="15" t="s">
        <v>552</v>
      </c>
      <c r="D330" s="15" t="s">
        <v>19</v>
      </c>
      <c r="E330" s="70" t="s">
        <v>19</v>
      </c>
      <c r="F330" s="70" t="s">
        <v>19</v>
      </c>
      <c r="G330" s="70" t="s">
        <v>19</v>
      </c>
      <c r="H330" s="70" t="s">
        <v>19</v>
      </c>
      <c r="I330" s="72" t="s">
        <v>19</v>
      </c>
      <c r="J330" s="72" t="s">
        <v>19</v>
      </c>
      <c r="K330" s="72" t="s">
        <v>19</v>
      </c>
      <c r="L330" s="72" t="s">
        <v>19</v>
      </c>
      <c r="M330" s="15" t="s">
        <v>553</v>
      </c>
      <c r="N330" s="4" t="s">
        <v>1550</v>
      </c>
      <c r="O330" s="15"/>
      <c r="P330" s="4" t="s">
        <v>1610</v>
      </c>
      <c r="S330" s="15" t="e" cm="1">
        <f t="array" aca="1" ref="S330" ca="1">COMMONMARKETCOUNT(H330:AV330)</f>
        <v>#NAME?</v>
      </c>
      <c r="T330" s="6" t="e" cm="1">
        <f t="array" aca="1" ref="T330" ca="1">AUTOMATEDCOUNT(H330:AV330)</f>
        <v>#NAME?</v>
      </c>
      <c r="V330" s="15" t="s">
        <v>19</v>
      </c>
      <c r="W330" s="70" t="s">
        <v>19</v>
      </c>
      <c r="X330" s="70" t="s">
        <v>19</v>
      </c>
      <c r="Y330" s="70" t="s">
        <v>19</v>
      </c>
      <c r="Z330" s="70" t="s">
        <v>19</v>
      </c>
      <c r="AA330" s="72" t="s">
        <v>19</v>
      </c>
      <c r="AB330" s="72" t="s">
        <v>19</v>
      </c>
      <c r="AC330" s="72" t="s">
        <v>19</v>
      </c>
      <c r="AD330" s="96" t="s">
        <v>19</v>
      </c>
      <c r="AE330" s="6" t="s">
        <v>19</v>
      </c>
      <c r="AF330" s="18" t="s">
        <v>19</v>
      </c>
      <c r="AG330" s="18" t="s">
        <v>19</v>
      </c>
      <c r="AH330" s="18" t="s">
        <v>19</v>
      </c>
      <c r="AI330" s="18" t="s">
        <v>19</v>
      </c>
      <c r="AJ330" s="18" t="s">
        <v>19</v>
      </c>
      <c r="AK330" s="18" t="s">
        <v>19</v>
      </c>
      <c r="AL330" s="18" t="s">
        <v>19</v>
      </c>
      <c r="AM330" s="18" t="s">
        <v>19</v>
      </c>
      <c r="AN330" s="18" t="s">
        <v>19</v>
      </c>
      <c r="AO330" s="18" t="s">
        <v>19</v>
      </c>
      <c r="AP330" s="18" t="s">
        <v>19</v>
      </c>
      <c r="AQ330" s="18" t="s">
        <v>19</v>
      </c>
      <c r="AR330" s="18" t="s">
        <v>19</v>
      </c>
      <c r="AS330" s="18" t="s">
        <v>19</v>
      </c>
      <c r="AT330" s="18" t="s">
        <v>19</v>
      </c>
      <c r="AU330" s="18" t="s">
        <v>3153</v>
      </c>
      <c r="AV330" s="36" t="s">
        <v>19</v>
      </c>
    </row>
    <row r="331" spans="1:264" ht="40.5" hidden="1" customHeight="1" x14ac:dyDescent="0.3">
      <c r="A331" s="4" t="s">
        <v>25</v>
      </c>
      <c r="B331" s="4" t="s">
        <v>783</v>
      </c>
      <c r="C331" s="4" t="s">
        <v>1945</v>
      </c>
      <c r="D331" s="6" t="s">
        <v>19</v>
      </c>
      <c r="E331" s="18" t="s">
        <v>109</v>
      </c>
      <c r="F331" s="18" t="s">
        <v>109</v>
      </c>
      <c r="G331" s="18" t="s">
        <v>109</v>
      </c>
      <c r="H331" s="18" t="s">
        <v>109</v>
      </c>
      <c r="I331" s="96" t="s">
        <v>19</v>
      </c>
      <c r="J331" s="96" t="s">
        <v>19</v>
      </c>
      <c r="K331" s="18" t="s">
        <v>109</v>
      </c>
      <c r="L331" s="18" t="s">
        <v>109</v>
      </c>
      <c r="M331" s="15" t="s">
        <v>2431</v>
      </c>
      <c r="N331" s="4" t="s">
        <v>2076</v>
      </c>
      <c r="O331" s="4"/>
      <c r="P331" s="4" t="s">
        <v>2087</v>
      </c>
      <c r="S331" s="15" t="e" cm="1">
        <f t="array" aca="1" ref="S331" ca="1">COMMONMARKETCOUNT(H331:AV331)</f>
        <v>#NAME?</v>
      </c>
      <c r="T331" s="6" t="e" cm="1">
        <f t="array" aca="1" ref="T331" ca="1">AUTOMATEDCOUNT(H331:AV331)</f>
        <v>#NAME?</v>
      </c>
      <c r="V331" s="18" t="s">
        <v>109</v>
      </c>
      <c r="W331" s="18" t="s">
        <v>109</v>
      </c>
      <c r="X331" s="18" t="s">
        <v>109</v>
      </c>
      <c r="Y331" s="18" t="s">
        <v>109</v>
      </c>
      <c r="Z331" s="18" t="s">
        <v>109</v>
      </c>
      <c r="AA331" s="96" t="s">
        <v>19</v>
      </c>
      <c r="AB331" s="96" t="s">
        <v>19</v>
      </c>
      <c r="AC331" s="96" t="s">
        <v>19</v>
      </c>
      <c r="AD331" s="72" t="s">
        <v>19</v>
      </c>
      <c r="AE331" s="18" t="s">
        <v>19</v>
      </c>
      <c r="AF331" s="18" t="s">
        <v>109</v>
      </c>
      <c r="AG331" s="18" t="s">
        <v>109</v>
      </c>
      <c r="AH331" s="18" t="s">
        <v>109</v>
      </c>
      <c r="AI331" s="18" t="s">
        <v>109</v>
      </c>
      <c r="AJ331" s="18" t="s">
        <v>109</v>
      </c>
      <c r="AK331" s="18" t="s">
        <v>109</v>
      </c>
      <c r="AL331" s="18" t="s">
        <v>109</v>
      </c>
      <c r="AM331" s="18" t="s">
        <v>109</v>
      </c>
      <c r="AN331" s="18" t="s">
        <v>109</v>
      </c>
      <c r="AO331" s="18" t="s">
        <v>109</v>
      </c>
      <c r="AP331" s="18" t="s">
        <v>109</v>
      </c>
      <c r="AQ331" s="18" t="s">
        <v>109</v>
      </c>
      <c r="AR331" s="18" t="s">
        <v>109</v>
      </c>
      <c r="AS331" s="18" t="s">
        <v>109</v>
      </c>
      <c r="AT331" s="18" t="s">
        <v>109</v>
      </c>
      <c r="AU331" s="18" t="s">
        <v>109</v>
      </c>
      <c r="AV331" s="36" t="s">
        <v>109</v>
      </c>
      <c r="AW331" s="37"/>
      <c r="AX331" s="37"/>
      <c r="AY331" s="37"/>
      <c r="AZ331" s="37"/>
      <c r="BA331" s="37"/>
      <c r="BB331" s="37"/>
      <c r="BC331" s="37"/>
      <c r="BD331" s="37"/>
      <c r="BE331" s="37"/>
      <c r="BF331" s="37"/>
      <c r="BG331" s="37"/>
      <c r="BH331" s="37"/>
      <c r="BI331" s="37"/>
      <c r="BJ331" s="37"/>
      <c r="BK331" s="37"/>
      <c r="BL331" s="37"/>
      <c r="BM331" s="37"/>
      <c r="BN331" s="37"/>
      <c r="BO331" s="37"/>
      <c r="BP331" s="37"/>
      <c r="BQ331" s="37"/>
      <c r="BR331" s="37"/>
      <c r="BS331" s="37"/>
      <c r="BT331" s="37"/>
      <c r="BU331" s="37"/>
      <c r="BV331" s="37"/>
      <c r="BW331" s="37"/>
      <c r="BX331" s="37"/>
      <c r="BY331" s="37"/>
      <c r="BZ331" s="37"/>
      <c r="CA331" s="37"/>
      <c r="CB331" s="37"/>
      <c r="CC331" s="37"/>
      <c r="CD331" s="37"/>
      <c r="CE331" s="37"/>
      <c r="CF331" s="37"/>
      <c r="CG331" s="37"/>
      <c r="CH331" s="37"/>
      <c r="CI331" s="37"/>
      <c r="CJ331" s="37"/>
      <c r="CK331" s="37"/>
      <c r="CL331" s="37"/>
      <c r="CM331" s="37"/>
      <c r="CN331" s="37"/>
      <c r="CO331" s="37"/>
      <c r="CP331" s="37"/>
      <c r="CQ331" s="37"/>
      <c r="CR331" s="37"/>
      <c r="CS331" s="37"/>
      <c r="CT331" s="37"/>
      <c r="CU331" s="37"/>
      <c r="CV331" s="37"/>
      <c r="CW331" s="37"/>
      <c r="CX331" s="37"/>
      <c r="CY331" s="37"/>
      <c r="CZ331" s="37"/>
      <c r="DA331" s="37"/>
      <c r="DB331" s="37"/>
      <c r="DC331" s="37"/>
      <c r="DD331" s="37"/>
      <c r="DE331" s="37"/>
      <c r="DF331" s="37"/>
      <c r="DG331" s="37"/>
      <c r="DH331" s="37"/>
      <c r="DI331" s="37"/>
      <c r="DJ331" s="37"/>
      <c r="DK331" s="37"/>
      <c r="DL331" s="37"/>
      <c r="DM331" s="37"/>
      <c r="DN331" s="37"/>
      <c r="DO331" s="37"/>
      <c r="DP331" s="37"/>
      <c r="DQ331" s="37"/>
      <c r="DR331" s="37"/>
      <c r="DS331" s="37"/>
      <c r="DT331" s="37"/>
      <c r="DU331" s="37"/>
      <c r="DV331" s="37"/>
      <c r="DW331" s="37"/>
      <c r="DX331" s="37"/>
      <c r="DY331" s="37"/>
      <c r="DZ331" s="37"/>
      <c r="EA331" s="37"/>
      <c r="EB331" s="37"/>
      <c r="EC331" s="37"/>
      <c r="ED331" s="37"/>
      <c r="EE331" s="37"/>
      <c r="EF331" s="37"/>
      <c r="EG331" s="37"/>
      <c r="EH331" s="37"/>
      <c r="EI331" s="37"/>
      <c r="EJ331" s="37"/>
      <c r="EK331" s="37"/>
      <c r="EL331" s="37"/>
      <c r="EM331" s="37"/>
      <c r="EN331" s="37"/>
      <c r="EO331" s="37"/>
      <c r="EP331" s="37"/>
      <c r="EQ331" s="37"/>
      <c r="ER331" s="37"/>
      <c r="ES331" s="37"/>
      <c r="ET331" s="37"/>
      <c r="EU331" s="37"/>
      <c r="EV331" s="37"/>
      <c r="EW331" s="37"/>
      <c r="EX331" s="37"/>
      <c r="EY331" s="37"/>
      <c r="EZ331" s="37"/>
      <c r="FA331" s="37"/>
      <c r="FB331" s="37"/>
      <c r="FC331" s="37"/>
      <c r="FD331" s="37"/>
      <c r="FE331" s="37"/>
      <c r="FF331" s="37"/>
      <c r="FG331" s="37"/>
      <c r="FH331" s="37"/>
      <c r="FI331" s="37"/>
      <c r="FJ331" s="37"/>
      <c r="FK331" s="37"/>
      <c r="FL331" s="37"/>
      <c r="FM331" s="37"/>
      <c r="FN331" s="37"/>
      <c r="FO331" s="37"/>
      <c r="FP331" s="37"/>
      <c r="FQ331" s="37"/>
      <c r="FR331" s="37"/>
      <c r="FS331" s="37"/>
      <c r="FT331" s="37"/>
      <c r="FU331" s="37"/>
      <c r="FV331" s="37"/>
      <c r="FW331" s="37"/>
      <c r="FX331" s="37"/>
      <c r="FY331" s="37"/>
      <c r="FZ331" s="37"/>
      <c r="GA331" s="37"/>
      <c r="GB331" s="37"/>
      <c r="GC331" s="37"/>
      <c r="GD331" s="37"/>
      <c r="GE331" s="37"/>
      <c r="GF331" s="37"/>
      <c r="GG331" s="37"/>
      <c r="GH331" s="37"/>
      <c r="GI331" s="37"/>
      <c r="GJ331" s="37"/>
      <c r="GK331" s="37"/>
      <c r="GL331" s="37"/>
      <c r="GM331" s="37"/>
      <c r="GN331" s="37"/>
      <c r="GO331" s="37"/>
      <c r="GP331" s="37"/>
      <c r="GQ331" s="37"/>
      <c r="GR331" s="37"/>
      <c r="GS331" s="37"/>
      <c r="GT331" s="37"/>
      <c r="GU331" s="37"/>
      <c r="GV331" s="37"/>
      <c r="GW331" s="37"/>
      <c r="GX331" s="37"/>
      <c r="GY331" s="37"/>
      <c r="GZ331" s="37"/>
      <c r="HA331" s="37"/>
      <c r="HB331" s="37"/>
      <c r="HC331" s="37"/>
      <c r="HD331" s="37"/>
      <c r="HE331" s="37"/>
      <c r="HF331" s="37"/>
      <c r="HG331" s="37"/>
      <c r="HH331" s="37"/>
      <c r="HI331" s="37"/>
      <c r="HJ331" s="37"/>
      <c r="HK331" s="37"/>
      <c r="HL331" s="37"/>
      <c r="HM331" s="37"/>
      <c r="HN331" s="37"/>
      <c r="HO331" s="37"/>
      <c r="HP331" s="37"/>
      <c r="HQ331" s="37"/>
      <c r="HR331" s="37"/>
      <c r="HS331" s="37"/>
      <c r="HT331" s="37"/>
      <c r="HU331" s="37"/>
      <c r="HV331" s="37"/>
      <c r="HW331" s="37"/>
      <c r="HX331" s="37"/>
      <c r="HY331" s="37"/>
      <c r="HZ331" s="37"/>
      <c r="IA331" s="37"/>
      <c r="IB331" s="37"/>
      <c r="IC331" s="37"/>
      <c r="ID331" s="37"/>
      <c r="IE331" s="37"/>
      <c r="IF331" s="37"/>
      <c r="IG331" s="37"/>
      <c r="IH331" s="37"/>
      <c r="II331" s="37"/>
      <c r="IJ331" s="37"/>
      <c r="IK331" s="37"/>
      <c r="IL331" s="37"/>
      <c r="IM331" s="37"/>
      <c r="IN331" s="37"/>
      <c r="IO331" s="37"/>
      <c r="IP331" s="37"/>
      <c r="IQ331" s="37"/>
      <c r="IR331" s="37"/>
      <c r="IS331" s="37"/>
      <c r="IT331" s="37"/>
      <c r="IU331" s="37"/>
      <c r="IV331" s="37"/>
      <c r="IW331" s="37"/>
      <c r="IX331" s="37"/>
      <c r="IY331" s="37"/>
      <c r="IZ331" s="37"/>
      <c r="JA331" s="37"/>
      <c r="JB331" s="37"/>
      <c r="JC331" s="37"/>
      <c r="JD331" s="37"/>
    </row>
    <row r="332" spans="1:264" ht="40.5" hidden="1" customHeight="1" x14ac:dyDescent="0.3">
      <c r="A332" s="4" t="s">
        <v>25</v>
      </c>
      <c r="B332" s="4" t="s">
        <v>783</v>
      </c>
      <c r="C332" s="4" t="s">
        <v>2430</v>
      </c>
      <c r="D332" s="6" t="s">
        <v>32</v>
      </c>
      <c r="E332" s="18" t="s">
        <v>109</v>
      </c>
      <c r="F332" s="18" t="s">
        <v>109</v>
      </c>
      <c r="G332" s="18" t="s">
        <v>109</v>
      </c>
      <c r="H332" s="18" t="s">
        <v>109</v>
      </c>
      <c r="I332" s="6" t="s">
        <v>19</v>
      </c>
      <c r="J332" s="6" t="s">
        <v>19</v>
      </c>
      <c r="K332" s="6" t="s">
        <v>19</v>
      </c>
      <c r="L332" s="6" t="s">
        <v>19</v>
      </c>
      <c r="M332" s="15" t="s">
        <v>2431</v>
      </c>
      <c r="N332" s="4" t="s">
        <v>2432</v>
      </c>
      <c r="O332" s="43"/>
      <c r="P332" s="4" t="s">
        <v>2433</v>
      </c>
      <c r="S332" s="15" t="e" cm="1">
        <f t="array" aca="1" ref="S332" ca="1">COMMONMARKETCOUNT(H332:AV332)</f>
        <v>#NAME?</v>
      </c>
      <c r="T332" s="6" t="e" cm="1">
        <f t="array" aca="1" ref="T332" ca="1">AUTOMATEDCOUNT(H332:AV332)</f>
        <v>#NAME?</v>
      </c>
      <c r="V332" s="18" t="s">
        <v>109</v>
      </c>
      <c r="W332" s="18" t="s">
        <v>109</v>
      </c>
      <c r="X332" s="18" t="s">
        <v>109</v>
      </c>
      <c r="Y332" s="18" t="s">
        <v>109</v>
      </c>
      <c r="Z332" s="18" t="s">
        <v>109</v>
      </c>
      <c r="AA332" s="6" t="s">
        <v>19</v>
      </c>
      <c r="AB332" s="6" t="s">
        <v>19</v>
      </c>
      <c r="AC332" s="6" t="s">
        <v>19</v>
      </c>
      <c r="AD332" s="18" t="s">
        <v>19</v>
      </c>
      <c r="AE332" s="18" t="s">
        <v>19</v>
      </c>
      <c r="AF332" s="6" t="s">
        <v>19</v>
      </c>
      <c r="AG332" s="6" t="s">
        <v>19</v>
      </c>
      <c r="AH332" s="6" t="s">
        <v>19</v>
      </c>
      <c r="AI332" s="18" t="s">
        <v>109</v>
      </c>
      <c r="AJ332" s="18" t="s">
        <v>109</v>
      </c>
      <c r="AK332" s="18" t="s">
        <v>109</v>
      </c>
      <c r="AL332" s="18" t="s">
        <v>109</v>
      </c>
      <c r="AM332" s="18" t="s">
        <v>109</v>
      </c>
      <c r="AN332" s="18" t="s">
        <v>109</v>
      </c>
      <c r="AO332" s="18" t="s">
        <v>109</v>
      </c>
      <c r="AP332" s="18" t="s">
        <v>109</v>
      </c>
      <c r="AQ332" s="18" t="s">
        <v>109</v>
      </c>
      <c r="AR332" s="18" t="s">
        <v>109</v>
      </c>
      <c r="AS332" s="18" t="s">
        <v>109</v>
      </c>
      <c r="AT332" s="18" t="s">
        <v>109</v>
      </c>
      <c r="AU332" s="18" t="s">
        <v>109</v>
      </c>
      <c r="AV332" s="36" t="s">
        <v>109</v>
      </c>
    </row>
    <row r="333" spans="1:264" ht="40.5" hidden="1" customHeight="1" x14ac:dyDescent="0.3">
      <c r="A333" s="4" t="s">
        <v>25</v>
      </c>
      <c r="B333" s="4" t="s">
        <v>783</v>
      </c>
      <c r="C333" s="4" t="s">
        <v>1946</v>
      </c>
      <c r="D333" s="6" t="s">
        <v>19</v>
      </c>
      <c r="E333" s="18" t="s">
        <v>109</v>
      </c>
      <c r="F333" s="18" t="s">
        <v>109</v>
      </c>
      <c r="G333" s="18" t="s">
        <v>109</v>
      </c>
      <c r="H333" s="18" t="s">
        <v>109</v>
      </c>
      <c r="I333" s="96" t="s">
        <v>19</v>
      </c>
      <c r="J333" s="96" t="s">
        <v>19</v>
      </c>
      <c r="K333" s="18" t="s">
        <v>109</v>
      </c>
      <c r="L333" s="18" t="s">
        <v>109</v>
      </c>
      <c r="M333" s="15" t="s">
        <v>2949</v>
      </c>
      <c r="N333" s="4" t="s">
        <v>2077</v>
      </c>
      <c r="O333" s="4"/>
      <c r="P333" s="4" t="s">
        <v>2088</v>
      </c>
      <c r="S333" s="15" t="e" cm="1">
        <f t="array" aca="1" ref="S333" ca="1">COMMONMARKETCOUNT(H333:AV333)</f>
        <v>#NAME?</v>
      </c>
      <c r="T333" s="6" t="e" cm="1">
        <f t="array" aca="1" ref="T333" ca="1">AUTOMATEDCOUNT(H333:AV333)</f>
        <v>#NAME?</v>
      </c>
      <c r="V333" s="18" t="s">
        <v>109</v>
      </c>
      <c r="W333" s="18" t="s">
        <v>109</v>
      </c>
      <c r="X333" s="18" t="s">
        <v>109</v>
      </c>
      <c r="Y333" s="18" t="s">
        <v>109</v>
      </c>
      <c r="Z333" s="18" t="s">
        <v>109</v>
      </c>
      <c r="AA333" s="96" t="s">
        <v>19</v>
      </c>
      <c r="AB333" s="96" t="s">
        <v>19</v>
      </c>
      <c r="AC333" s="96" t="s">
        <v>19</v>
      </c>
      <c r="AD333" s="96" t="s">
        <v>19</v>
      </c>
      <c r="AE333" s="6" t="s">
        <v>19</v>
      </c>
      <c r="AF333" s="18" t="s">
        <v>109</v>
      </c>
      <c r="AG333" s="18" t="s">
        <v>109</v>
      </c>
      <c r="AH333" s="18" t="s">
        <v>109</v>
      </c>
      <c r="AI333" s="18" t="s">
        <v>109</v>
      </c>
      <c r="AJ333" s="18" t="s">
        <v>109</v>
      </c>
      <c r="AK333" s="18" t="s">
        <v>109</v>
      </c>
      <c r="AL333" s="18" t="s">
        <v>109</v>
      </c>
      <c r="AM333" s="18" t="s">
        <v>109</v>
      </c>
      <c r="AN333" s="18" t="s">
        <v>109</v>
      </c>
      <c r="AO333" s="18" t="s">
        <v>109</v>
      </c>
      <c r="AP333" s="18" t="s">
        <v>109</v>
      </c>
      <c r="AQ333" s="18" t="s">
        <v>109</v>
      </c>
      <c r="AR333" s="18" t="s">
        <v>109</v>
      </c>
      <c r="AS333" s="18" t="s">
        <v>109</v>
      </c>
      <c r="AT333" s="18" t="s">
        <v>109</v>
      </c>
      <c r="AU333" s="18" t="s">
        <v>109</v>
      </c>
      <c r="AV333" s="36" t="s">
        <v>109</v>
      </c>
    </row>
    <row r="334" spans="1:264" ht="40.5" hidden="1" customHeight="1" x14ac:dyDescent="0.3">
      <c r="A334" s="4" t="s">
        <v>25</v>
      </c>
      <c r="B334" s="4" t="s">
        <v>783</v>
      </c>
      <c r="C334" s="4" t="s">
        <v>1947</v>
      </c>
      <c r="D334" s="6" t="s">
        <v>19</v>
      </c>
      <c r="E334" s="18" t="s">
        <v>109</v>
      </c>
      <c r="F334" s="18" t="s">
        <v>109</v>
      </c>
      <c r="G334" s="18" t="s">
        <v>109</v>
      </c>
      <c r="H334" s="18" t="s">
        <v>109</v>
      </c>
      <c r="I334" s="96" t="s">
        <v>19</v>
      </c>
      <c r="J334" s="96" t="s">
        <v>19</v>
      </c>
      <c r="K334" s="18" t="s">
        <v>109</v>
      </c>
      <c r="L334" s="18" t="s">
        <v>109</v>
      </c>
      <c r="M334" s="15" t="s">
        <v>2950</v>
      </c>
      <c r="N334" s="4" t="s">
        <v>2078</v>
      </c>
      <c r="O334" s="4"/>
      <c r="P334" s="4" t="s">
        <v>2089</v>
      </c>
      <c r="S334" s="15" t="e" cm="1">
        <f t="array" aca="1" ref="S334" ca="1">COMMONMARKETCOUNT(H334:AV334)</f>
        <v>#NAME?</v>
      </c>
      <c r="T334" s="6" t="e" cm="1">
        <f t="array" aca="1" ref="T334" ca="1">AUTOMATEDCOUNT(H334:AV334)</f>
        <v>#NAME?</v>
      </c>
      <c r="V334" s="18" t="s">
        <v>109</v>
      </c>
      <c r="W334" s="18" t="s">
        <v>109</v>
      </c>
      <c r="X334" s="18" t="s">
        <v>109</v>
      </c>
      <c r="Y334" s="18" t="s">
        <v>109</v>
      </c>
      <c r="Z334" s="18" t="s">
        <v>109</v>
      </c>
      <c r="AA334" s="96" t="s">
        <v>19</v>
      </c>
      <c r="AB334" s="96" t="s">
        <v>19</v>
      </c>
      <c r="AC334" s="96" t="s">
        <v>19</v>
      </c>
      <c r="AD334" s="96" t="s">
        <v>19</v>
      </c>
      <c r="AE334" s="6" t="s">
        <v>19</v>
      </c>
      <c r="AF334" s="18" t="s">
        <v>109</v>
      </c>
      <c r="AG334" s="18" t="s">
        <v>109</v>
      </c>
      <c r="AH334" s="18" t="s">
        <v>109</v>
      </c>
      <c r="AI334" s="18" t="s">
        <v>109</v>
      </c>
      <c r="AJ334" s="18" t="s">
        <v>109</v>
      </c>
      <c r="AK334" s="18" t="s">
        <v>109</v>
      </c>
      <c r="AL334" s="18" t="s">
        <v>109</v>
      </c>
      <c r="AM334" s="18" t="s">
        <v>109</v>
      </c>
      <c r="AN334" s="18" t="s">
        <v>109</v>
      </c>
      <c r="AO334" s="18" t="s">
        <v>109</v>
      </c>
      <c r="AP334" s="18" t="s">
        <v>109</v>
      </c>
      <c r="AQ334" s="18" t="s">
        <v>109</v>
      </c>
      <c r="AR334" s="18" t="s">
        <v>109</v>
      </c>
      <c r="AS334" s="18" t="s">
        <v>109</v>
      </c>
      <c r="AT334" s="18" t="s">
        <v>109</v>
      </c>
      <c r="AU334" s="18" t="s">
        <v>109</v>
      </c>
      <c r="AV334" s="36" t="s">
        <v>109</v>
      </c>
    </row>
    <row r="335" spans="1:264" ht="40.5" hidden="1" customHeight="1" x14ac:dyDescent="0.3">
      <c r="A335" s="4" t="s">
        <v>25</v>
      </c>
      <c r="B335" s="4" t="s">
        <v>783</v>
      </c>
      <c r="C335" s="4" t="s">
        <v>1948</v>
      </c>
      <c r="D335" s="6" t="s">
        <v>19</v>
      </c>
      <c r="E335" s="18" t="s">
        <v>109</v>
      </c>
      <c r="F335" s="18" t="s">
        <v>109</v>
      </c>
      <c r="G335" s="18" t="s">
        <v>109</v>
      </c>
      <c r="H335" s="18" t="s">
        <v>109</v>
      </c>
      <c r="I335" s="96" t="s">
        <v>19</v>
      </c>
      <c r="J335" s="96" t="s">
        <v>19</v>
      </c>
      <c r="K335" s="18" t="s">
        <v>109</v>
      </c>
      <c r="L335" s="18" t="s">
        <v>109</v>
      </c>
      <c r="M335" s="15" t="s">
        <v>2951</v>
      </c>
      <c r="N335" s="4" t="s">
        <v>2079</v>
      </c>
      <c r="O335" s="4"/>
      <c r="P335" s="4" t="s">
        <v>2090</v>
      </c>
      <c r="S335" s="15" t="e" cm="1">
        <f t="array" aca="1" ref="S335" ca="1">COMMONMARKETCOUNT(H335:AV335)</f>
        <v>#NAME?</v>
      </c>
      <c r="T335" s="6" t="e" cm="1">
        <f t="array" aca="1" ref="T335" ca="1">AUTOMATEDCOUNT(H335:AV335)</f>
        <v>#NAME?</v>
      </c>
      <c r="V335" s="18" t="s">
        <v>109</v>
      </c>
      <c r="W335" s="18" t="s">
        <v>109</v>
      </c>
      <c r="X335" s="18" t="s">
        <v>109</v>
      </c>
      <c r="Y335" s="18" t="s">
        <v>109</v>
      </c>
      <c r="Z335" s="18" t="s">
        <v>109</v>
      </c>
      <c r="AA335" s="96" t="s">
        <v>19</v>
      </c>
      <c r="AB335" s="96" t="s">
        <v>19</v>
      </c>
      <c r="AC335" s="96" t="s">
        <v>19</v>
      </c>
      <c r="AD335" s="96" t="s">
        <v>19</v>
      </c>
      <c r="AE335" s="6" t="s">
        <v>19</v>
      </c>
      <c r="AF335" s="18" t="s">
        <v>109</v>
      </c>
      <c r="AG335" s="18" t="s">
        <v>109</v>
      </c>
      <c r="AH335" s="18" t="s">
        <v>109</v>
      </c>
      <c r="AI335" s="18" t="s">
        <v>109</v>
      </c>
      <c r="AJ335" s="18" t="s">
        <v>109</v>
      </c>
      <c r="AK335" s="18" t="s">
        <v>109</v>
      </c>
      <c r="AL335" s="18" t="s">
        <v>109</v>
      </c>
      <c r="AM335" s="18" t="s">
        <v>109</v>
      </c>
      <c r="AN335" s="18" t="s">
        <v>109</v>
      </c>
      <c r="AO335" s="18" t="s">
        <v>109</v>
      </c>
      <c r="AP335" s="18" t="s">
        <v>109</v>
      </c>
      <c r="AQ335" s="18" t="s">
        <v>109</v>
      </c>
      <c r="AR335" s="18" t="s">
        <v>109</v>
      </c>
      <c r="AS335" s="18" t="s">
        <v>109</v>
      </c>
      <c r="AT335" s="18" t="s">
        <v>109</v>
      </c>
      <c r="AU335" s="18" t="s">
        <v>109</v>
      </c>
      <c r="AV335" s="36" t="s">
        <v>109</v>
      </c>
    </row>
    <row r="336" spans="1:264" ht="54" hidden="1" customHeight="1" x14ac:dyDescent="0.3">
      <c r="A336" s="4" t="s">
        <v>25</v>
      </c>
      <c r="B336" s="4" t="s">
        <v>783</v>
      </c>
      <c r="C336" s="4" t="s">
        <v>1949</v>
      </c>
      <c r="D336" s="6" t="s">
        <v>19</v>
      </c>
      <c r="E336" s="18" t="s">
        <v>109</v>
      </c>
      <c r="F336" s="18" t="s">
        <v>109</v>
      </c>
      <c r="G336" s="18" t="s">
        <v>109</v>
      </c>
      <c r="H336" s="18" t="s">
        <v>109</v>
      </c>
      <c r="I336" s="96" t="s">
        <v>19</v>
      </c>
      <c r="J336" s="96" t="s">
        <v>19</v>
      </c>
      <c r="K336" s="18" t="s">
        <v>109</v>
      </c>
      <c r="L336" s="18" t="s">
        <v>109</v>
      </c>
      <c r="M336" s="15" t="s">
        <v>2952</v>
      </c>
      <c r="N336" s="4" t="s">
        <v>2080</v>
      </c>
      <c r="O336" s="4"/>
      <c r="P336" s="4" t="s">
        <v>2091</v>
      </c>
      <c r="S336" s="15" t="e" cm="1">
        <f t="array" aca="1" ref="S336" ca="1">COMMONMARKETCOUNT(H336:AV336)</f>
        <v>#NAME?</v>
      </c>
      <c r="T336" s="6" t="e" cm="1">
        <f t="array" aca="1" ref="T336" ca="1">AUTOMATEDCOUNT(H336:AV336)</f>
        <v>#NAME?</v>
      </c>
      <c r="V336" s="18" t="s">
        <v>109</v>
      </c>
      <c r="W336" s="18" t="s">
        <v>109</v>
      </c>
      <c r="X336" s="18" t="s">
        <v>109</v>
      </c>
      <c r="Y336" s="18" t="s">
        <v>109</v>
      </c>
      <c r="Z336" s="18" t="s">
        <v>109</v>
      </c>
      <c r="AA336" s="96" t="s">
        <v>19</v>
      </c>
      <c r="AB336" s="96" t="s">
        <v>19</v>
      </c>
      <c r="AC336" s="96" t="s">
        <v>19</v>
      </c>
      <c r="AD336" s="96" t="s">
        <v>19</v>
      </c>
      <c r="AE336" s="6" t="s">
        <v>19</v>
      </c>
      <c r="AF336" s="18" t="s">
        <v>109</v>
      </c>
      <c r="AG336" s="18" t="s">
        <v>109</v>
      </c>
      <c r="AH336" s="18" t="s">
        <v>109</v>
      </c>
      <c r="AI336" s="18" t="s">
        <v>109</v>
      </c>
      <c r="AJ336" s="18" t="s">
        <v>109</v>
      </c>
      <c r="AK336" s="18" t="s">
        <v>109</v>
      </c>
      <c r="AL336" s="18" t="s">
        <v>109</v>
      </c>
      <c r="AM336" s="18" t="s">
        <v>109</v>
      </c>
      <c r="AN336" s="18" t="s">
        <v>109</v>
      </c>
      <c r="AO336" s="18" t="s">
        <v>109</v>
      </c>
      <c r="AP336" s="18" t="s">
        <v>109</v>
      </c>
      <c r="AQ336" s="18" t="s">
        <v>109</v>
      </c>
      <c r="AR336" s="18" t="s">
        <v>109</v>
      </c>
      <c r="AS336" s="18" t="s">
        <v>109</v>
      </c>
      <c r="AT336" s="18" t="s">
        <v>109</v>
      </c>
      <c r="AU336" s="18" t="s">
        <v>109</v>
      </c>
      <c r="AV336" s="36" t="s">
        <v>109</v>
      </c>
    </row>
    <row r="337" spans="1:48" ht="40.5" hidden="1" customHeight="1" x14ac:dyDescent="0.3">
      <c r="A337" s="4" t="s">
        <v>25</v>
      </c>
      <c r="B337" s="4" t="s">
        <v>783</v>
      </c>
      <c r="C337" s="4" t="s">
        <v>1950</v>
      </c>
      <c r="D337" s="6" t="s">
        <v>19</v>
      </c>
      <c r="E337" s="18" t="s">
        <v>109</v>
      </c>
      <c r="F337" s="18" t="s">
        <v>109</v>
      </c>
      <c r="G337" s="18" t="s">
        <v>109</v>
      </c>
      <c r="H337" s="18" t="s">
        <v>109</v>
      </c>
      <c r="I337" s="96" t="s">
        <v>19</v>
      </c>
      <c r="J337" s="96" t="s">
        <v>19</v>
      </c>
      <c r="K337" s="18" t="s">
        <v>109</v>
      </c>
      <c r="L337" s="18" t="s">
        <v>109</v>
      </c>
      <c r="M337" s="15" t="s">
        <v>2953</v>
      </c>
      <c r="N337" s="4" t="s">
        <v>2081</v>
      </c>
      <c r="O337" s="4"/>
      <c r="P337" s="4" t="s">
        <v>2092</v>
      </c>
      <c r="S337" s="15" t="e" cm="1">
        <f t="array" aca="1" ref="S337" ca="1">COMMONMARKETCOUNT(H337:AV337)</f>
        <v>#NAME?</v>
      </c>
      <c r="T337" s="6" t="e" cm="1">
        <f t="array" aca="1" ref="T337" ca="1">AUTOMATEDCOUNT(H337:AV337)</f>
        <v>#NAME?</v>
      </c>
      <c r="V337" s="18" t="s">
        <v>109</v>
      </c>
      <c r="W337" s="18" t="s">
        <v>109</v>
      </c>
      <c r="X337" s="18" t="s">
        <v>109</v>
      </c>
      <c r="Y337" s="18" t="s">
        <v>109</v>
      </c>
      <c r="Z337" s="18" t="s">
        <v>109</v>
      </c>
      <c r="AA337" s="96" t="s">
        <v>19</v>
      </c>
      <c r="AB337" s="96" t="s">
        <v>19</v>
      </c>
      <c r="AC337" s="96" t="s">
        <v>19</v>
      </c>
      <c r="AD337" s="96" t="s">
        <v>19</v>
      </c>
      <c r="AE337" s="6" t="s">
        <v>19</v>
      </c>
      <c r="AF337" s="18" t="s">
        <v>109</v>
      </c>
      <c r="AG337" s="18" t="s">
        <v>109</v>
      </c>
      <c r="AH337" s="18" t="s">
        <v>109</v>
      </c>
      <c r="AI337" s="18" t="s">
        <v>109</v>
      </c>
      <c r="AJ337" s="18" t="s">
        <v>109</v>
      </c>
      <c r="AK337" s="18" t="s">
        <v>109</v>
      </c>
      <c r="AL337" s="18" t="s">
        <v>109</v>
      </c>
      <c r="AM337" s="18" t="s">
        <v>109</v>
      </c>
      <c r="AN337" s="18" t="s">
        <v>109</v>
      </c>
      <c r="AO337" s="18" t="s">
        <v>109</v>
      </c>
      <c r="AP337" s="18" t="s">
        <v>109</v>
      </c>
      <c r="AQ337" s="18" t="s">
        <v>109</v>
      </c>
      <c r="AR337" s="18" t="s">
        <v>109</v>
      </c>
      <c r="AS337" s="18" t="s">
        <v>109</v>
      </c>
      <c r="AT337" s="18" t="s">
        <v>109</v>
      </c>
      <c r="AU337" s="18" t="s">
        <v>109</v>
      </c>
      <c r="AV337" s="36" t="s">
        <v>109</v>
      </c>
    </row>
    <row r="338" spans="1:48" ht="40.5" hidden="1" customHeight="1" x14ac:dyDescent="0.3">
      <c r="A338" s="4" t="s">
        <v>25</v>
      </c>
      <c r="B338" s="4" t="s">
        <v>1823</v>
      </c>
      <c r="C338" s="4" t="s">
        <v>1951</v>
      </c>
      <c r="D338" s="6" t="s">
        <v>32</v>
      </c>
      <c r="E338" s="6" t="s">
        <v>19</v>
      </c>
      <c r="F338" s="6" t="s">
        <v>19</v>
      </c>
      <c r="G338" s="6" t="s">
        <v>19</v>
      </c>
      <c r="H338" s="6" t="s">
        <v>19</v>
      </c>
      <c r="I338" s="6" t="s">
        <v>19</v>
      </c>
      <c r="J338" s="6" t="s">
        <v>19</v>
      </c>
      <c r="K338" s="15" t="s">
        <v>109</v>
      </c>
      <c r="L338" s="15" t="s">
        <v>109</v>
      </c>
      <c r="M338" s="15" t="s">
        <v>1952</v>
      </c>
      <c r="N338" s="4" t="s">
        <v>2082</v>
      </c>
      <c r="O338" s="4"/>
      <c r="P338" s="4" t="s">
        <v>2086</v>
      </c>
      <c r="S338" s="15" t="e" cm="1">
        <f t="array" aca="1" ref="S338" ca="1">COMMONMARKETCOUNT(H338:AV338)</f>
        <v>#NAME?</v>
      </c>
      <c r="T338" s="6" t="e" cm="1">
        <f t="array" aca="1" ref="T338" ca="1">AUTOMATEDCOUNT(H338:AV338)</f>
        <v>#NAME?</v>
      </c>
      <c r="V338" s="6" t="s">
        <v>19</v>
      </c>
      <c r="W338" s="6" t="s">
        <v>19</v>
      </c>
      <c r="X338" s="6" t="s">
        <v>19</v>
      </c>
      <c r="Y338" s="6" t="s">
        <v>19</v>
      </c>
      <c r="Z338" s="6" t="s">
        <v>19</v>
      </c>
      <c r="AA338" s="6" t="s">
        <v>19</v>
      </c>
      <c r="AB338" s="6" t="s">
        <v>19</v>
      </c>
      <c r="AC338" s="6" t="s">
        <v>19</v>
      </c>
      <c r="AD338" s="6" t="s">
        <v>19</v>
      </c>
      <c r="AE338" s="6" t="s">
        <v>19</v>
      </c>
      <c r="AF338" s="15" t="s">
        <v>109</v>
      </c>
      <c r="AG338" s="15" t="s">
        <v>109</v>
      </c>
      <c r="AH338" s="15" t="s">
        <v>109</v>
      </c>
      <c r="AI338" s="15" t="s">
        <v>109</v>
      </c>
      <c r="AJ338" s="15" t="s">
        <v>109</v>
      </c>
      <c r="AK338" s="15" t="s">
        <v>109</v>
      </c>
      <c r="AL338" s="15" t="s">
        <v>109</v>
      </c>
      <c r="AM338" s="15" t="s">
        <v>109</v>
      </c>
      <c r="AN338" s="15" t="s">
        <v>109</v>
      </c>
      <c r="AO338" s="15" t="s">
        <v>109</v>
      </c>
      <c r="AP338" s="15" t="s">
        <v>109</v>
      </c>
      <c r="AQ338" s="15" t="s">
        <v>109</v>
      </c>
      <c r="AR338" s="15" t="s">
        <v>109</v>
      </c>
      <c r="AS338" s="15" t="s">
        <v>109</v>
      </c>
      <c r="AT338" s="15" t="s">
        <v>109</v>
      </c>
      <c r="AU338" s="15" t="s">
        <v>109</v>
      </c>
      <c r="AV338" s="36" t="s">
        <v>109</v>
      </c>
    </row>
    <row r="339" spans="1:48" ht="40.5" hidden="1" customHeight="1" x14ac:dyDescent="0.3">
      <c r="A339" s="4" t="s">
        <v>25</v>
      </c>
      <c r="B339" s="4" t="s">
        <v>37</v>
      </c>
      <c r="C339" s="4" t="s">
        <v>1953</v>
      </c>
      <c r="D339" s="6" t="s">
        <v>32</v>
      </c>
      <c r="E339" s="6" t="s">
        <v>109</v>
      </c>
      <c r="F339" s="6" t="s">
        <v>109</v>
      </c>
      <c r="G339" s="6" t="s">
        <v>109</v>
      </c>
      <c r="H339" s="6" t="s">
        <v>109</v>
      </c>
      <c r="I339" s="6" t="s">
        <v>109</v>
      </c>
      <c r="J339" s="6" t="s">
        <v>109</v>
      </c>
      <c r="K339" s="6" t="s">
        <v>109</v>
      </c>
      <c r="L339" s="6" t="s">
        <v>109</v>
      </c>
      <c r="M339" s="15" t="s">
        <v>1954</v>
      </c>
      <c r="N339" s="4" t="s">
        <v>2083</v>
      </c>
      <c r="O339" s="4"/>
      <c r="P339" s="4" t="s">
        <v>3097</v>
      </c>
      <c r="S339" s="15" t="e" cm="1">
        <f t="array" aca="1" ref="S339" ca="1">COMMONMARKETCOUNT(H339:AV339)</f>
        <v>#NAME?</v>
      </c>
      <c r="T339" s="6" t="e" cm="1">
        <f t="array" aca="1" ref="T339" ca="1">AUTOMATEDCOUNT(H339:AV339)</f>
        <v>#NAME?</v>
      </c>
      <c r="V339" s="6" t="s">
        <v>109</v>
      </c>
      <c r="W339" s="6" t="s">
        <v>109</v>
      </c>
      <c r="X339" s="6" t="s">
        <v>109</v>
      </c>
      <c r="Y339" s="6" t="s">
        <v>109</v>
      </c>
      <c r="Z339" s="6" t="s">
        <v>109</v>
      </c>
      <c r="AA339" s="6" t="s">
        <v>109</v>
      </c>
      <c r="AB339" s="6" t="s">
        <v>19</v>
      </c>
      <c r="AC339" s="6" t="s">
        <v>19</v>
      </c>
      <c r="AD339" s="6" t="s">
        <v>19</v>
      </c>
      <c r="AE339" s="6" t="s">
        <v>19</v>
      </c>
      <c r="AF339" s="6" t="s">
        <v>109</v>
      </c>
      <c r="AG339" s="6" t="s">
        <v>109</v>
      </c>
      <c r="AH339" s="6" t="s">
        <v>109</v>
      </c>
      <c r="AI339" s="6" t="s">
        <v>109</v>
      </c>
      <c r="AJ339" s="6" t="s">
        <v>109</v>
      </c>
      <c r="AK339" s="6" t="s">
        <v>109</v>
      </c>
      <c r="AL339" s="6" t="s">
        <v>109</v>
      </c>
      <c r="AM339" s="6" t="s">
        <v>109</v>
      </c>
      <c r="AN339" s="6" t="s">
        <v>109</v>
      </c>
      <c r="AO339" s="6" t="s">
        <v>109</v>
      </c>
      <c r="AP339" s="6" t="s">
        <v>109</v>
      </c>
      <c r="AQ339" s="6" t="s">
        <v>109</v>
      </c>
      <c r="AR339" s="6" t="s">
        <v>109</v>
      </c>
      <c r="AS339" s="6" t="s">
        <v>109</v>
      </c>
      <c r="AT339" s="6" t="s">
        <v>109</v>
      </c>
      <c r="AU339" s="6" t="s">
        <v>109</v>
      </c>
      <c r="AV339" s="36" t="s">
        <v>109</v>
      </c>
    </row>
    <row r="340" spans="1:48" ht="40.5" hidden="1" customHeight="1" x14ac:dyDescent="0.3">
      <c r="A340" s="4" t="s">
        <v>25</v>
      </c>
      <c r="B340" s="4" t="s">
        <v>37</v>
      </c>
      <c r="C340" s="4" t="s">
        <v>1955</v>
      </c>
      <c r="D340" s="6" t="s">
        <v>32</v>
      </c>
      <c r="E340" s="6" t="s">
        <v>109</v>
      </c>
      <c r="F340" s="6" t="s">
        <v>109</v>
      </c>
      <c r="G340" s="6" t="s">
        <v>109</v>
      </c>
      <c r="H340" s="6" t="s">
        <v>109</v>
      </c>
      <c r="I340" s="6" t="s">
        <v>109</v>
      </c>
      <c r="J340" s="6" t="s">
        <v>109</v>
      </c>
      <c r="K340" s="6" t="s">
        <v>109</v>
      </c>
      <c r="L340" s="6" t="s">
        <v>109</v>
      </c>
      <c r="M340" s="15" t="s">
        <v>1956</v>
      </c>
      <c r="N340" s="4" t="s">
        <v>2084</v>
      </c>
      <c r="O340" s="4"/>
      <c r="P340" s="4" t="s">
        <v>2142</v>
      </c>
      <c r="S340" s="15" t="e" cm="1">
        <f t="array" aca="1" ref="S340" ca="1">COMMONMARKETCOUNT(H340:AV340)</f>
        <v>#NAME?</v>
      </c>
      <c r="T340" s="6" t="e" cm="1">
        <f t="array" aca="1" ref="T340" ca="1">AUTOMATEDCOUNT(H340:AV340)</f>
        <v>#NAME?</v>
      </c>
      <c r="V340" s="6" t="s">
        <v>109</v>
      </c>
      <c r="W340" s="6" t="s">
        <v>109</v>
      </c>
      <c r="X340" s="6" t="s">
        <v>109</v>
      </c>
      <c r="Y340" s="6" t="s">
        <v>109</v>
      </c>
      <c r="Z340" s="6" t="s">
        <v>109</v>
      </c>
      <c r="AA340" s="6" t="s">
        <v>109</v>
      </c>
      <c r="AB340" s="6" t="s">
        <v>19</v>
      </c>
      <c r="AC340" s="6" t="s">
        <v>19</v>
      </c>
      <c r="AD340" s="6" t="s">
        <v>19</v>
      </c>
      <c r="AE340" s="6" t="s">
        <v>109</v>
      </c>
      <c r="AF340" s="6" t="s">
        <v>109</v>
      </c>
      <c r="AG340" s="6" t="s">
        <v>109</v>
      </c>
      <c r="AH340" s="6" t="s">
        <v>109</v>
      </c>
      <c r="AI340" s="6" t="s">
        <v>109</v>
      </c>
      <c r="AJ340" s="6" t="s">
        <v>109</v>
      </c>
      <c r="AK340" s="6" t="s">
        <v>109</v>
      </c>
      <c r="AL340" s="6" t="s">
        <v>109</v>
      </c>
      <c r="AM340" s="6" t="s">
        <v>109</v>
      </c>
      <c r="AN340" s="6" t="s">
        <v>109</v>
      </c>
      <c r="AO340" s="6" t="s">
        <v>109</v>
      </c>
      <c r="AP340" s="6" t="s">
        <v>109</v>
      </c>
      <c r="AQ340" s="6" t="s">
        <v>109</v>
      </c>
      <c r="AR340" s="6" t="s">
        <v>109</v>
      </c>
      <c r="AS340" s="6" t="s">
        <v>109</v>
      </c>
      <c r="AT340" s="6" t="s">
        <v>109</v>
      </c>
      <c r="AU340" s="6" t="s">
        <v>109</v>
      </c>
      <c r="AV340" s="36" t="s">
        <v>109</v>
      </c>
    </row>
    <row r="341" spans="1:48" ht="78" hidden="1" customHeight="1" x14ac:dyDescent="0.3">
      <c r="A341" s="4" t="s">
        <v>25</v>
      </c>
      <c r="B341" s="4" t="s">
        <v>1823</v>
      </c>
      <c r="C341" s="4" t="s">
        <v>1957</v>
      </c>
      <c r="D341" s="6" t="s">
        <v>32</v>
      </c>
      <c r="E341" s="6" t="s">
        <v>109</v>
      </c>
      <c r="F341" s="6" t="s">
        <v>109</v>
      </c>
      <c r="G341" s="6" t="s">
        <v>109</v>
      </c>
      <c r="H341" s="6" t="s">
        <v>109</v>
      </c>
      <c r="I341" s="6" t="s">
        <v>109</v>
      </c>
      <c r="J341" s="6" t="s">
        <v>109</v>
      </c>
      <c r="K341" s="6" t="s">
        <v>109</v>
      </c>
      <c r="L341" s="6" t="s">
        <v>109</v>
      </c>
      <c r="M341" s="15" t="s">
        <v>1958</v>
      </c>
      <c r="N341" s="4" t="s">
        <v>2085</v>
      </c>
      <c r="O341" s="4"/>
      <c r="P341" s="4" t="s">
        <v>2143</v>
      </c>
      <c r="S341" s="15" t="e" cm="1">
        <f t="array" aca="1" ref="S341" ca="1">COMMONMARKETCOUNT(H341:AV341)</f>
        <v>#NAME?</v>
      </c>
      <c r="T341" s="6" t="e" cm="1">
        <f t="array" aca="1" ref="T341" ca="1">AUTOMATEDCOUNT(H341:AV341)</f>
        <v>#NAME?</v>
      </c>
      <c r="V341" s="6" t="s">
        <v>109</v>
      </c>
      <c r="W341" s="6" t="s">
        <v>109</v>
      </c>
      <c r="X341" s="6" t="s">
        <v>109</v>
      </c>
      <c r="Y341" s="6" t="s">
        <v>109</v>
      </c>
      <c r="Z341" s="6" t="s">
        <v>109</v>
      </c>
      <c r="AA341" s="6" t="s">
        <v>109</v>
      </c>
      <c r="AB341" s="6" t="s">
        <v>19</v>
      </c>
      <c r="AC341" s="6" t="s">
        <v>19</v>
      </c>
      <c r="AD341" s="6" t="s">
        <v>19</v>
      </c>
      <c r="AE341" s="6" t="s">
        <v>109</v>
      </c>
      <c r="AF341" s="6" t="s">
        <v>109</v>
      </c>
      <c r="AG341" s="6" t="s">
        <v>109</v>
      </c>
      <c r="AH341" s="6" t="s">
        <v>109</v>
      </c>
      <c r="AI341" s="6" t="s">
        <v>109</v>
      </c>
      <c r="AJ341" s="6" t="s">
        <v>109</v>
      </c>
      <c r="AK341" s="6" t="s">
        <v>109</v>
      </c>
      <c r="AL341" s="6" t="s">
        <v>109</v>
      </c>
      <c r="AM341" s="6" t="s">
        <v>109</v>
      </c>
      <c r="AN341" s="6" t="s">
        <v>109</v>
      </c>
      <c r="AO341" s="6" t="s">
        <v>109</v>
      </c>
      <c r="AP341" s="6" t="s">
        <v>109</v>
      </c>
      <c r="AQ341" s="6" t="s">
        <v>109</v>
      </c>
      <c r="AR341" s="6" t="s">
        <v>109</v>
      </c>
      <c r="AS341" s="6" t="s">
        <v>109</v>
      </c>
      <c r="AT341" s="6" t="s">
        <v>109</v>
      </c>
      <c r="AU341" s="6" t="s">
        <v>109</v>
      </c>
      <c r="AV341" s="36" t="s">
        <v>109</v>
      </c>
    </row>
    <row r="342" spans="1:48" ht="40.5" hidden="1" customHeight="1" x14ac:dyDescent="0.3">
      <c r="A342" s="4" t="s">
        <v>25</v>
      </c>
      <c r="B342" s="4" t="s">
        <v>37</v>
      </c>
      <c r="C342" s="4" t="s">
        <v>1959</v>
      </c>
      <c r="D342" s="6" t="s">
        <v>32</v>
      </c>
      <c r="E342" s="6" t="s">
        <v>109</v>
      </c>
      <c r="F342" s="6" t="s">
        <v>109</v>
      </c>
      <c r="G342" s="6" t="s">
        <v>109</v>
      </c>
      <c r="H342" s="6" t="s">
        <v>109</v>
      </c>
      <c r="I342" s="6" t="s">
        <v>109</v>
      </c>
      <c r="J342" s="6" t="s">
        <v>109</v>
      </c>
      <c r="K342" s="6" t="s">
        <v>109</v>
      </c>
      <c r="L342" s="6" t="s">
        <v>109</v>
      </c>
      <c r="M342" s="15" t="s">
        <v>1960</v>
      </c>
      <c r="N342" s="4" t="s">
        <v>2097</v>
      </c>
      <c r="O342" s="4"/>
      <c r="P342" s="4" t="s">
        <v>2144</v>
      </c>
      <c r="S342" s="15" t="e" cm="1">
        <f t="array" aca="1" ref="S342" ca="1">COMMONMARKETCOUNT(H342:AV342)</f>
        <v>#NAME?</v>
      </c>
      <c r="T342" s="6" t="e" cm="1">
        <f t="array" aca="1" ref="T342" ca="1">AUTOMATEDCOUNT(H342:AV342)</f>
        <v>#NAME?</v>
      </c>
      <c r="V342" s="6" t="s">
        <v>109</v>
      </c>
      <c r="W342" s="6" t="s">
        <v>109</v>
      </c>
      <c r="X342" s="6" t="s">
        <v>109</v>
      </c>
      <c r="Y342" s="6" t="s">
        <v>109</v>
      </c>
      <c r="Z342" s="6" t="s">
        <v>109</v>
      </c>
      <c r="AA342" s="6" t="s">
        <v>109</v>
      </c>
      <c r="AB342" s="6" t="s">
        <v>19</v>
      </c>
      <c r="AC342" s="6" t="s">
        <v>19</v>
      </c>
      <c r="AD342" s="6" t="s">
        <v>19</v>
      </c>
      <c r="AE342" s="6" t="s">
        <v>109</v>
      </c>
      <c r="AF342" s="6" t="s">
        <v>109</v>
      </c>
      <c r="AG342" s="6" t="s">
        <v>109</v>
      </c>
      <c r="AH342" s="6" t="s">
        <v>109</v>
      </c>
      <c r="AI342" s="6" t="s">
        <v>109</v>
      </c>
      <c r="AJ342" s="6" t="s">
        <v>109</v>
      </c>
      <c r="AK342" s="6" t="s">
        <v>109</v>
      </c>
      <c r="AL342" s="6" t="s">
        <v>109</v>
      </c>
      <c r="AM342" s="6" t="s">
        <v>109</v>
      </c>
      <c r="AN342" s="6" t="s">
        <v>109</v>
      </c>
      <c r="AO342" s="6" t="s">
        <v>109</v>
      </c>
      <c r="AP342" s="6" t="s">
        <v>109</v>
      </c>
      <c r="AQ342" s="6" t="s">
        <v>109</v>
      </c>
      <c r="AR342" s="6" t="s">
        <v>109</v>
      </c>
      <c r="AS342" s="6" t="s">
        <v>109</v>
      </c>
      <c r="AT342" s="6" t="s">
        <v>109</v>
      </c>
      <c r="AU342" s="6" t="s">
        <v>109</v>
      </c>
      <c r="AV342" s="36" t="s">
        <v>109</v>
      </c>
    </row>
    <row r="343" spans="1:48" ht="40.5" hidden="1" customHeight="1" x14ac:dyDescent="0.3">
      <c r="A343" s="4" t="s">
        <v>25</v>
      </c>
      <c r="B343" s="15" t="s">
        <v>1365</v>
      </c>
      <c r="C343" s="4" t="s">
        <v>1961</v>
      </c>
      <c r="D343" s="6" t="s">
        <v>32</v>
      </c>
      <c r="E343" s="6" t="s">
        <v>109</v>
      </c>
      <c r="F343" s="6" t="s">
        <v>109</v>
      </c>
      <c r="G343" s="6" t="s">
        <v>109</v>
      </c>
      <c r="H343" s="6" t="s">
        <v>109</v>
      </c>
      <c r="I343" s="6" t="s">
        <v>109</v>
      </c>
      <c r="J343" s="6" t="s">
        <v>109</v>
      </c>
      <c r="K343" s="6" t="s">
        <v>109</v>
      </c>
      <c r="L343" s="6" t="s">
        <v>109</v>
      </c>
      <c r="M343" s="15" t="s">
        <v>1962</v>
      </c>
      <c r="N343" s="4" t="s">
        <v>2098</v>
      </c>
      <c r="O343" s="4"/>
      <c r="P343" s="4" t="s">
        <v>3098</v>
      </c>
      <c r="S343" s="15" t="e" cm="1">
        <f t="array" aca="1" ref="S343" ca="1">COMMONMARKETCOUNT(H343:AV343)</f>
        <v>#NAME?</v>
      </c>
      <c r="T343" s="6" t="e" cm="1">
        <f t="array" aca="1" ref="T343" ca="1">AUTOMATEDCOUNT(H343:AV343)</f>
        <v>#NAME?</v>
      </c>
      <c r="V343" s="6" t="s">
        <v>109</v>
      </c>
      <c r="W343" s="6" t="s">
        <v>109</v>
      </c>
      <c r="X343" s="6" t="s">
        <v>109</v>
      </c>
      <c r="Y343" s="6" t="s">
        <v>109</v>
      </c>
      <c r="Z343" s="6" t="s">
        <v>109</v>
      </c>
      <c r="AA343" s="6" t="s">
        <v>109</v>
      </c>
      <c r="AB343" s="6" t="s">
        <v>19</v>
      </c>
      <c r="AC343" s="6" t="s">
        <v>19</v>
      </c>
      <c r="AD343" s="6" t="s">
        <v>19</v>
      </c>
      <c r="AE343" s="6" t="s">
        <v>109</v>
      </c>
      <c r="AF343" s="6" t="s">
        <v>109</v>
      </c>
      <c r="AG343" s="6" t="s">
        <v>109</v>
      </c>
      <c r="AH343" s="6" t="s">
        <v>109</v>
      </c>
      <c r="AI343" s="6" t="s">
        <v>109</v>
      </c>
      <c r="AJ343" s="6" t="s">
        <v>109</v>
      </c>
      <c r="AK343" s="6" t="s">
        <v>109</v>
      </c>
      <c r="AL343" s="6" t="s">
        <v>109</v>
      </c>
      <c r="AM343" s="6" t="s">
        <v>109</v>
      </c>
      <c r="AN343" s="6" t="s">
        <v>109</v>
      </c>
      <c r="AO343" s="6" t="s">
        <v>109</v>
      </c>
      <c r="AP343" s="6" t="s">
        <v>109</v>
      </c>
      <c r="AQ343" s="6" t="s">
        <v>109</v>
      </c>
      <c r="AR343" s="6" t="s">
        <v>109</v>
      </c>
      <c r="AS343" s="6" t="s">
        <v>109</v>
      </c>
      <c r="AT343" s="6" t="s">
        <v>109</v>
      </c>
      <c r="AU343" s="6" t="s">
        <v>109</v>
      </c>
      <c r="AV343" s="36" t="s">
        <v>109</v>
      </c>
    </row>
    <row r="344" spans="1:48" ht="54" hidden="1" customHeight="1" x14ac:dyDescent="0.3">
      <c r="A344" s="4" t="s">
        <v>25</v>
      </c>
      <c r="B344" s="15" t="s">
        <v>1365</v>
      </c>
      <c r="C344" s="4" t="s">
        <v>1963</v>
      </c>
      <c r="D344" s="6" t="s">
        <v>32</v>
      </c>
      <c r="E344" s="6" t="s">
        <v>109</v>
      </c>
      <c r="F344" s="6" t="s">
        <v>109</v>
      </c>
      <c r="G344" s="6" t="s">
        <v>109</v>
      </c>
      <c r="H344" s="6" t="s">
        <v>109</v>
      </c>
      <c r="I344" s="6" t="s">
        <v>109</v>
      </c>
      <c r="J344" s="6" t="s">
        <v>109</v>
      </c>
      <c r="K344" s="6" t="s">
        <v>109</v>
      </c>
      <c r="L344" s="6" t="s">
        <v>109</v>
      </c>
      <c r="M344" s="15" t="s">
        <v>1964</v>
      </c>
      <c r="N344" s="4" t="s">
        <v>2099</v>
      </c>
      <c r="O344" s="4"/>
      <c r="P344" s="4" t="s">
        <v>2145</v>
      </c>
      <c r="S344" s="15" t="e" cm="1">
        <f t="array" aca="1" ref="S344" ca="1">COMMONMARKETCOUNT(H344:AV344)</f>
        <v>#NAME?</v>
      </c>
      <c r="T344" s="6" t="e" cm="1">
        <f t="array" aca="1" ref="T344" ca="1">AUTOMATEDCOUNT(H344:AV344)</f>
        <v>#NAME?</v>
      </c>
      <c r="V344" s="6" t="s">
        <v>109</v>
      </c>
      <c r="W344" s="6" t="s">
        <v>109</v>
      </c>
      <c r="X344" s="6" t="s">
        <v>109</v>
      </c>
      <c r="Y344" s="6" t="s">
        <v>109</v>
      </c>
      <c r="Z344" s="6" t="s">
        <v>109</v>
      </c>
      <c r="AA344" s="6" t="s">
        <v>109</v>
      </c>
      <c r="AB344" s="6" t="s">
        <v>19</v>
      </c>
      <c r="AC344" s="6" t="s">
        <v>19</v>
      </c>
      <c r="AD344" s="6" t="s">
        <v>19</v>
      </c>
      <c r="AE344" s="6" t="s">
        <v>109</v>
      </c>
      <c r="AF344" s="6" t="s">
        <v>109</v>
      </c>
      <c r="AG344" s="6" t="s">
        <v>109</v>
      </c>
      <c r="AH344" s="6" t="s">
        <v>109</v>
      </c>
      <c r="AI344" s="6" t="s">
        <v>109</v>
      </c>
      <c r="AJ344" s="6" t="s">
        <v>109</v>
      </c>
      <c r="AK344" s="6" t="s">
        <v>109</v>
      </c>
      <c r="AL344" s="6" t="s">
        <v>109</v>
      </c>
      <c r="AM344" s="6" t="s">
        <v>109</v>
      </c>
      <c r="AN344" s="6" t="s">
        <v>109</v>
      </c>
      <c r="AO344" s="6" t="s">
        <v>109</v>
      </c>
      <c r="AP344" s="6" t="s">
        <v>109</v>
      </c>
      <c r="AQ344" s="6" t="s">
        <v>109</v>
      </c>
      <c r="AR344" s="6" t="s">
        <v>109</v>
      </c>
      <c r="AS344" s="6" t="s">
        <v>109</v>
      </c>
      <c r="AT344" s="6" t="s">
        <v>109</v>
      </c>
      <c r="AU344" s="6" t="s">
        <v>109</v>
      </c>
      <c r="AV344" s="36" t="s">
        <v>109</v>
      </c>
    </row>
    <row r="345" spans="1:48" ht="40.5" hidden="1" customHeight="1" x14ac:dyDescent="0.3">
      <c r="A345" s="4" t="s">
        <v>25</v>
      </c>
      <c r="B345" s="15" t="s">
        <v>1365</v>
      </c>
      <c r="C345" s="4" t="s">
        <v>1965</v>
      </c>
      <c r="D345" s="6" t="s">
        <v>32</v>
      </c>
      <c r="E345" s="6" t="s">
        <v>109</v>
      </c>
      <c r="F345" s="6" t="s">
        <v>109</v>
      </c>
      <c r="G345" s="6" t="s">
        <v>109</v>
      </c>
      <c r="H345" s="6" t="s">
        <v>109</v>
      </c>
      <c r="I345" s="6" t="s">
        <v>109</v>
      </c>
      <c r="J345" s="6" t="s">
        <v>109</v>
      </c>
      <c r="K345" s="6" t="s">
        <v>109</v>
      </c>
      <c r="L345" s="6" t="s">
        <v>109</v>
      </c>
      <c r="M345" s="15" t="s">
        <v>1966</v>
      </c>
      <c r="N345" s="4" t="s">
        <v>2100</v>
      </c>
      <c r="O345" s="4"/>
      <c r="P345" s="4" t="s">
        <v>2146</v>
      </c>
      <c r="S345" s="15" t="e" cm="1">
        <f t="array" aca="1" ref="S345" ca="1">COMMONMARKETCOUNT(H345:AV345)</f>
        <v>#NAME?</v>
      </c>
      <c r="T345" s="6" t="e" cm="1">
        <f t="array" aca="1" ref="T345" ca="1">AUTOMATEDCOUNT(H345:AV345)</f>
        <v>#NAME?</v>
      </c>
      <c r="V345" s="6" t="s">
        <v>109</v>
      </c>
      <c r="W345" s="6" t="s">
        <v>109</v>
      </c>
      <c r="X345" s="6" t="s">
        <v>109</v>
      </c>
      <c r="Y345" s="6" t="s">
        <v>109</v>
      </c>
      <c r="Z345" s="6" t="s">
        <v>109</v>
      </c>
      <c r="AA345" s="6" t="s">
        <v>109</v>
      </c>
      <c r="AB345" s="6" t="s">
        <v>19</v>
      </c>
      <c r="AC345" s="6" t="s">
        <v>19</v>
      </c>
      <c r="AD345" s="6" t="s">
        <v>19</v>
      </c>
      <c r="AE345" s="6" t="s">
        <v>109</v>
      </c>
      <c r="AF345" s="6" t="s">
        <v>109</v>
      </c>
      <c r="AG345" s="6" t="s">
        <v>109</v>
      </c>
      <c r="AH345" s="6" t="s">
        <v>109</v>
      </c>
      <c r="AI345" s="6" t="s">
        <v>109</v>
      </c>
      <c r="AJ345" s="6" t="s">
        <v>109</v>
      </c>
      <c r="AK345" s="6" t="s">
        <v>109</v>
      </c>
      <c r="AL345" s="6" t="s">
        <v>109</v>
      </c>
      <c r="AM345" s="6" t="s">
        <v>109</v>
      </c>
      <c r="AN345" s="6" t="s">
        <v>109</v>
      </c>
      <c r="AO345" s="6" t="s">
        <v>109</v>
      </c>
      <c r="AP345" s="6" t="s">
        <v>109</v>
      </c>
      <c r="AQ345" s="6" t="s">
        <v>109</v>
      </c>
      <c r="AR345" s="6" t="s">
        <v>109</v>
      </c>
      <c r="AS345" s="6" t="s">
        <v>109</v>
      </c>
      <c r="AT345" s="6" t="s">
        <v>109</v>
      </c>
      <c r="AU345" s="6" t="s">
        <v>109</v>
      </c>
      <c r="AV345" s="36" t="s">
        <v>109</v>
      </c>
    </row>
    <row r="346" spans="1:48" ht="40.5" hidden="1" customHeight="1" x14ac:dyDescent="0.3">
      <c r="A346" s="4" t="s">
        <v>25</v>
      </c>
      <c r="B346" s="15" t="s">
        <v>1365</v>
      </c>
      <c r="C346" s="4" t="s">
        <v>1967</v>
      </c>
      <c r="D346" s="6" t="s">
        <v>32</v>
      </c>
      <c r="E346" s="6" t="s">
        <v>109</v>
      </c>
      <c r="F346" s="6" t="s">
        <v>109</v>
      </c>
      <c r="G346" s="6" t="s">
        <v>109</v>
      </c>
      <c r="H346" s="6" t="s">
        <v>109</v>
      </c>
      <c r="I346" s="6" t="s">
        <v>109</v>
      </c>
      <c r="J346" s="6" t="s">
        <v>109</v>
      </c>
      <c r="K346" s="6" t="s">
        <v>109</v>
      </c>
      <c r="L346" s="6" t="s">
        <v>109</v>
      </c>
      <c r="M346" s="15" t="s">
        <v>1968</v>
      </c>
      <c r="N346" s="4" t="s">
        <v>2101</v>
      </c>
      <c r="O346" s="4"/>
      <c r="P346" s="4" t="s">
        <v>2147</v>
      </c>
      <c r="S346" s="15" t="e" cm="1">
        <f t="array" aca="1" ref="S346" ca="1">COMMONMARKETCOUNT(H346:AV346)</f>
        <v>#NAME?</v>
      </c>
      <c r="T346" s="6" t="e" cm="1">
        <f t="array" aca="1" ref="T346" ca="1">AUTOMATEDCOUNT(H346:AV346)</f>
        <v>#NAME?</v>
      </c>
      <c r="V346" s="6" t="s">
        <v>109</v>
      </c>
      <c r="W346" s="6" t="s">
        <v>109</v>
      </c>
      <c r="X346" s="6" t="s">
        <v>109</v>
      </c>
      <c r="Y346" s="6" t="s">
        <v>109</v>
      </c>
      <c r="Z346" s="6" t="s">
        <v>109</v>
      </c>
      <c r="AA346" s="6" t="s">
        <v>109</v>
      </c>
      <c r="AB346" s="6" t="s">
        <v>19</v>
      </c>
      <c r="AC346" s="6" t="s">
        <v>19</v>
      </c>
      <c r="AD346" s="6" t="s">
        <v>19</v>
      </c>
      <c r="AE346" s="6" t="s">
        <v>109</v>
      </c>
      <c r="AF346" s="6" t="s">
        <v>109</v>
      </c>
      <c r="AG346" s="6" t="s">
        <v>109</v>
      </c>
      <c r="AH346" s="6" t="s">
        <v>109</v>
      </c>
      <c r="AI346" s="6" t="s">
        <v>109</v>
      </c>
      <c r="AJ346" s="6" t="s">
        <v>109</v>
      </c>
      <c r="AK346" s="6" t="s">
        <v>109</v>
      </c>
      <c r="AL346" s="6" t="s">
        <v>109</v>
      </c>
      <c r="AM346" s="6" t="s">
        <v>109</v>
      </c>
      <c r="AN346" s="6" t="s">
        <v>109</v>
      </c>
      <c r="AO346" s="6" t="s">
        <v>109</v>
      </c>
      <c r="AP346" s="6" t="s">
        <v>109</v>
      </c>
      <c r="AQ346" s="6" t="s">
        <v>109</v>
      </c>
      <c r="AR346" s="6" t="s">
        <v>109</v>
      </c>
      <c r="AS346" s="6" t="s">
        <v>109</v>
      </c>
      <c r="AT346" s="6" t="s">
        <v>109</v>
      </c>
      <c r="AU346" s="6" t="s">
        <v>109</v>
      </c>
      <c r="AV346" s="36" t="s">
        <v>109</v>
      </c>
    </row>
    <row r="347" spans="1:48" ht="40.5" hidden="1" customHeight="1" x14ac:dyDescent="0.3">
      <c r="A347" s="4" t="s">
        <v>25</v>
      </c>
      <c r="B347" s="4" t="s">
        <v>1124</v>
      </c>
      <c r="C347" s="4" t="s">
        <v>1969</v>
      </c>
      <c r="D347" s="6" t="s">
        <v>32</v>
      </c>
      <c r="E347" s="4" t="s">
        <v>109</v>
      </c>
      <c r="F347" s="4" t="s">
        <v>109</v>
      </c>
      <c r="G347" s="6" t="s">
        <v>109</v>
      </c>
      <c r="H347" s="6" t="s">
        <v>109</v>
      </c>
      <c r="I347" s="6" t="s">
        <v>19</v>
      </c>
      <c r="J347" s="6" t="s">
        <v>19</v>
      </c>
      <c r="K347" s="6" t="s">
        <v>19</v>
      </c>
      <c r="L347" s="6" t="s">
        <v>19</v>
      </c>
      <c r="M347" s="15" t="s">
        <v>2102</v>
      </c>
      <c r="N347" s="4" t="s">
        <v>2102</v>
      </c>
      <c r="O347" s="4"/>
      <c r="P347" s="4">
        <v>0</v>
      </c>
      <c r="S347" s="15" t="e" cm="1">
        <f t="array" aca="1" ref="S347" ca="1">COMMONMARKETCOUNT(H347:AV347)</f>
        <v>#NAME?</v>
      </c>
      <c r="T347" s="6" t="e" cm="1">
        <f t="array" aca="1" ref="T347" ca="1">AUTOMATEDCOUNT(H347:AV347)</f>
        <v>#NAME?</v>
      </c>
      <c r="V347" s="4" t="s">
        <v>109</v>
      </c>
      <c r="W347" s="4" t="s">
        <v>109</v>
      </c>
      <c r="X347" s="4" t="s">
        <v>109</v>
      </c>
      <c r="Y347" s="4" t="s">
        <v>109</v>
      </c>
      <c r="Z347" s="4" t="s">
        <v>109</v>
      </c>
      <c r="AA347" s="6" t="s">
        <v>19</v>
      </c>
      <c r="AB347" s="6" t="s">
        <v>19</v>
      </c>
      <c r="AC347" s="6" t="s">
        <v>19</v>
      </c>
      <c r="AD347" s="6" t="s">
        <v>19</v>
      </c>
      <c r="AE347" s="6" t="s">
        <v>109</v>
      </c>
      <c r="AF347" s="6" t="s">
        <v>19</v>
      </c>
      <c r="AG347" s="4" t="s">
        <v>109</v>
      </c>
      <c r="AH347" s="4" t="s">
        <v>109</v>
      </c>
      <c r="AI347" s="4" t="s">
        <v>109</v>
      </c>
      <c r="AJ347" s="4" t="s">
        <v>109</v>
      </c>
      <c r="AK347" s="6" t="s">
        <v>109</v>
      </c>
      <c r="AL347" s="6" t="s">
        <v>109</v>
      </c>
      <c r="AM347" s="6" t="s">
        <v>109</v>
      </c>
      <c r="AN347" s="6" t="s">
        <v>109</v>
      </c>
      <c r="AO347" s="6" t="s">
        <v>109</v>
      </c>
      <c r="AP347" s="6" t="s">
        <v>109</v>
      </c>
      <c r="AQ347" s="6" t="s">
        <v>109</v>
      </c>
      <c r="AR347" s="6" t="s">
        <v>109</v>
      </c>
      <c r="AS347" s="6" t="s">
        <v>109</v>
      </c>
      <c r="AT347" s="6" t="s">
        <v>109</v>
      </c>
      <c r="AU347" s="6" t="s">
        <v>109</v>
      </c>
      <c r="AV347" s="36" t="s">
        <v>109</v>
      </c>
    </row>
    <row r="348" spans="1:48" ht="69" hidden="1" customHeight="1" x14ac:dyDescent="0.3">
      <c r="A348" s="4" t="s">
        <v>25</v>
      </c>
      <c r="B348" s="4" t="s">
        <v>783</v>
      </c>
      <c r="C348" s="4" t="s">
        <v>1970</v>
      </c>
      <c r="D348" s="6" t="s">
        <v>32</v>
      </c>
      <c r="E348" s="4" t="s">
        <v>109</v>
      </c>
      <c r="F348" s="4" t="s">
        <v>109</v>
      </c>
      <c r="G348" s="6" t="s">
        <v>109</v>
      </c>
      <c r="H348" s="6" t="s">
        <v>109</v>
      </c>
      <c r="I348" s="4" t="s">
        <v>109</v>
      </c>
      <c r="J348" s="4" t="s">
        <v>109</v>
      </c>
      <c r="K348" s="4" t="s">
        <v>109</v>
      </c>
      <c r="L348" s="4" t="s">
        <v>109</v>
      </c>
      <c r="M348" s="15" t="s">
        <v>2954</v>
      </c>
      <c r="N348" s="4" t="s">
        <v>2235</v>
      </c>
      <c r="O348" s="4"/>
      <c r="P348" s="4" t="s">
        <v>2103</v>
      </c>
      <c r="S348" s="15" t="e" cm="1">
        <f t="array" aca="1" ref="S348" ca="1">COMMONMARKETCOUNT(H348:AV348)</f>
        <v>#NAME?</v>
      </c>
      <c r="T348" s="6" t="e" cm="1">
        <f t="array" aca="1" ref="T348" ca="1">AUTOMATEDCOUNT(H348:AV348)</f>
        <v>#NAME?</v>
      </c>
      <c r="V348" s="4" t="s">
        <v>109</v>
      </c>
      <c r="W348" s="4" t="s">
        <v>109</v>
      </c>
      <c r="X348" s="4" t="s">
        <v>109</v>
      </c>
      <c r="Y348" s="4" t="s">
        <v>109</v>
      </c>
      <c r="Z348" s="4" t="s">
        <v>109</v>
      </c>
      <c r="AA348" s="4" t="s">
        <v>109</v>
      </c>
      <c r="AB348" s="4" t="s">
        <v>109</v>
      </c>
      <c r="AC348" s="4" t="s">
        <v>109</v>
      </c>
      <c r="AD348" s="6" t="s">
        <v>19</v>
      </c>
      <c r="AE348" s="6" t="s">
        <v>19</v>
      </c>
      <c r="AF348" s="4" t="s">
        <v>109</v>
      </c>
      <c r="AG348" s="4" t="s">
        <v>109</v>
      </c>
      <c r="AH348" s="4" t="s">
        <v>109</v>
      </c>
      <c r="AI348" s="4" t="s">
        <v>109</v>
      </c>
      <c r="AJ348" s="4" t="s">
        <v>109</v>
      </c>
      <c r="AK348" s="4" t="s">
        <v>19</v>
      </c>
      <c r="AL348" s="4" t="s">
        <v>19</v>
      </c>
      <c r="AM348" s="4" t="s">
        <v>109</v>
      </c>
      <c r="AN348" s="4" t="s">
        <v>109</v>
      </c>
      <c r="AO348" s="4" t="s">
        <v>109</v>
      </c>
      <c r="AP348" s="4" t="s">
        <v>109</v>
      </c>
      <c r="AQ348" s="4" t="s">
        <v>109</v>
      </c>
      <c r="AR348" s="4" t="s">
        <v>109</v>
      </c>
      <c r="AS348" s="4" t="s">
        <v>109</v>
      </c>
      <c r="AT348" s="4" t="s">
        <v>109</v>
      </c>
      <c r="AU348" s="4" t="s">
        <v>109</v>
      </c>
      <c r="AV348" s="36" t="s">
        <v>109</v>
      </c>
    </row>
    <row r="349" spans="1:48" ht="68.25" hidden="1" customHeight="1" x14ac:dyDescent="0.3">
      <c r="A349" s="4" t="s">
        <v>25</v>
      </c>
      <c r="B349" s="4" t="s">
        <v>1748</v>
      </c>
      <c r="C349" s="4" t="s">
        <v>1971</v>
      </c>
      <c r="D349" s="6" t="s">
        <v>32</v>
      </c>
      <c r="E349" s="4" t="s">
        <v>109</v>
      </c>
      <c r="F349" s="4" t="s">
        <v>109</v>
      </c>
      <c r="G349" s="6" t="s">
        <v>109</v>
      </c>
      <c r="H349" s="6" t="s">
        <v>109</v>
      </c>
      <c r="I349" s="4" t="s">
        <v>109</v>
      </c>
      <c r="J349" s="4" t="s">
        <v>109</v>
      </c>
      <c r="K349" s="4" t="s">
        <v>109</v>
      </c>
      <c r="L349" s="4" t="s">
        <v>109</v>
      </c>
      <c r="M349" s="15" t="s">
        <v>2955</v>
      </c>
      <c r="N349" s="4" t="s">
        <v>2104</v>
      </c>
      <c r="O349" s="4"/>
      <c r="P349" s="4" t="s">
        <v>2149</v>
      </c>
      <c r="S349" s="15" t="e" cm="1">
        <f t="array" aca="1" ref="S349" ca="1">COMMONMARKETCOUNT(H349:AV349)</f>
        <v>#NAME?</v>
      </c>
      <c r="T349" s="6" t="e" cm="1">
        <f t="array" aca="1" ref="T349" ca="1">AUTOMATEDCOUNT(H349:AV349)</f>
        <v>#NAME?</v>
      </c>
      <c r="V349" s="4" t="s">
        <v>109</v>
      </c>
      <c r="W349" s="4" t="s">
        <v>109</v>
      </c>
      <c r="X349" s="4" t="s">
        <v>109</v>
      </c>
      <c r="Y349" s="4" t="s">
        <v>109</v>
      </c>
      <c r="Z349" s="4" t="s">
        <v>109</v>
      </c>
      <c r="AA349" s="4" t="s">
        <v>109</v>
      </c>
      <c r="AB349" s="4" t="s">
        <v>109</v>
      </c>
      <c r="AC349" s="4" t="s">
        <v>109</v>
      </c>
      <c r="AD349" s="4" t="s">
        <v>109</v>
      </c>
      <c r="AE349" s="4" t="s">
        <v>109</v>
      </c>
      <c r="AF349" s="4" t="s">
        <v>109</v>
      </c>
      <c r="AG349" s="4" t="s">
        <v>109</v>
      </c>
      <c r="AH349" s="4" t="s">
        <v>109</v>
      </c>
      <c r="AI349" s="4" t="s">
        <v>109</v>
      </c>
      <c r="AJ349" s="4" t="s">
        <v>109</v>
      </c>
      <c r="AK349" s="4" t="s">
        <v>19</v>
      </c>
      <c r="AL349" s="4" t="s">
        <v>19</v>
      </c>
      <c r="AM349" s="4" t="s">
        <v>109</v>
      </c>
      <c r="AN349" s="4" t="s">
        <v>109</v>
      </c>
      <c r="AO349" s="4" t="s">
        <v>109</v>
      </c>
      <c r="AP349" s="4" t="s">
        <v>109</v>
      </c>
      <c r="AQ349" s="4" t="s">
        <v>109</v>
      </c>
      <c r="AR349" s="4" t="s">
        <v>109</v>
      </c>
      <c r="AS349" s="4" t="s">
        <v>109</v>
      </c>
      <c r="AT349" s="4" t="s">
        <v>109</v>
      </c>
      <c r="AU349" s="4" t="s">
        <v>109</v>
      </c>
      <c r="AV349" s="36" t="s">
        <v>109</v>
      </c>
    </row>
    <row r="350" spans="1:48" ht="60" hidden="1" customHeight="1" x14ac:dyDescent="0.3">
      <c r="A350" s="4" t="s">
        <v>25</v>
      </c>
      <c r="B350" s="4" t="s">
        <v>1124</v>
      </c>
      <c r="C350" s="4" t="s">
        <v>1972</v>
      </c>
      <c r="D350" s="6" t="s">
        <v>32</v>
      </c>
      <c r="E350" s="6" t="s">
        <v>109</v>
      </c>
      <c r="F350" s="6" t="s">
        <v>109</v>
      </c>
      <c r="G350" s="6" t="s">
        <v>109</v>
      </c>
      <c r="H350" s="6" t="s">
        <v>109</v>
      </c>
      <c r="I350" s="6" t="s">
        <v>19</v>
      </c>
      <c r="J350" s="6" t="s">
        <v>19</v>
      </c>
      <c r="K350" s="6" t="s">
        <v>19</v>
      </c>
      <c r="L350" s="6" t="s">
        <v>19</v>
      </c>
      <c r="M350" s="15" t="s">
        <v>2192</v>
      </c>
      <c r="N350" s="4" t="s">
        <v>2193</v>
      </c>
      <c r="O350" s="4"/>
      <c r="P350" s="4" t="s">
        <v>2150</v>
      </c>
      <c r="S350" s="15" t="e" cm="1">
        <f t="array" aca="1" ref="S350" ca="1">COMMONMARKETCOUNT(H350:AV350)</f>
        <v>#NAME?</v>
      </c>
      <c r="T350" s="6" t="e" cm="1">
        <f t="array" aca="1" ref="T350" ca="1">AUTOMATEDCOUNT(H350:AV350)</f>
        <v>#NAME?</v>
      </c>
      <c r="V350" s="6" t="s">
        <v>109</v>
      </c>
      <c r="W350" s="6" t="s">
        <v>109</v>
      </c>
      <c r="X350" s="6" t="s">
        <v>109</v>
      </c>
      <c r="Y350" s="6" t="s">
        <v>109</v>
      </c>
      <c r="Z350" s="6" t="s">
        <v>109</v>
      </c>
      <c r="AA350" s="6" t="s">
        <v>19</v>
      </c>
      <c r="AB350" s="6" t="s">
        <v>19</v>
      </c>
      <c r="AC350" s="6" t="s">
        <v>19</v>
      </c>
      <c r="AD350" s="4" t="s">
        <v>109</v>
      </c>
      <c r="AE350" s="4" t="s">
        <v>109</v>
      </c>
      <c r="AF350" s="6" t="s">
        <v>19</v>
      </c>
      <c r="AG350" s="4" t="s">
        <v>109</v>
      </c>
      <c r="AH350" s="4" t="s">
        <v>109</v>
      </c>
      <c r="AI350" s="4" t="s">
        <v>109</v>
      </c>
      <c r="AJ350" s="4" t="s">
        <v>109</v>
      </c>
      <c r="AK350" s="6" t="s">
        <v>109</v>
      </c>
      <c r="AL350" s="6" t="s">
        <v>109</v>
      </c>
      <c r="AM350" s="6" t="s">
        <v>109</v>
      </c>
      <c r="AN350" s="6" t="s">
        <v>109</v>
      </c>
      <c r="AO350" s="6" t="s">
        <v>109</v>
      </c>
      <c r="AP350" s="6" t="s">
        <v>109</v>
      </c>
      <c r="AQ350" s="6" t="s">
        <v>109</v>
      </c>
      <c r="AR350" s="6" t="s">
        <v>109</v>
      </c>
      <c r="AS350" s="6" t="s">
        <v>109</v>
      </c>
      <c r="AT350" s="6" t="s">
        <v>109</v>
      </c>
      <c r="AU350" s="6" t="s">
        <v>109</v>
      </c>
      <c r="AV350" s="36" t="s">
        <v>109</v>
      </c>
    </row>
    <row r="351" spans="1:48" ht="40.5" hidden="1" customHeight="1" x14ac:dyDescent="0.3">
      <c r="A351" s="4" t="s">
        <v>25</v>
      </c>
      <c r="B351" s="4" t="s">
        <v>783</v>
      </c>
      <c r="C351" s="15" t="s">
        <v>2434</v>
      </c>
      <c r="D351" s="6" t="s">
        <v>32</v>
      </c>
      <c r="E351" s="4" t="s">
        <v>109</v>
      </c>
      <c r="F351" s="4" t="s">
        <v>109</v>
      </c>
      <c r="G351" s="6" t="s">
        <v>109</v>
      </c>
      <c r="H351" s="6" t="s">
        <v>109</v>
      </c>
      <c r="I351" s="4" t="s">
        <v>109</v>
      </c>
      <c r="J351" s="4" t="s">
        <v>109</v>
      </c>
      <c r="K351" s="6" t="s">
        <v>19</v>
      </c>
      <c r="L351" s="6" t="s">
        <v>19</v>
      </c>
      <c r="M351" s="15" t="s">
        <v>2435</v>
      </c>
      <c r="N351" s="4" t="s">
        <v>2436</v>
      </c>
      <c r="O351" s="15"/>
      <c r="P351" s="4" t="s">
        <v>2437</v>
      </c>
      <c r="S351" s="15" t="e" cm="1">
        <f t="array" aca="1" ref="S351" ca="1">COMMONMARKETCOUNT(H351:AV351)</f>
        <v>#NAME?</v>
      </c>
      <c r="T351" s="6" t="e" cm="1">
        <f t="array" aca="1" ref="T351" ca="1">AUTOMATEDCOUNT(H351:AV351)</f>
        <v>#NAME?</v>
      </c>
      <c r="V351" s="4" t="s">
        <v>109</v>
      </c>
      <c r="W351" s="4" t="s">
        <v>109</v>
      </c>
      <c r="X351" s="4" t="s">
        <v>109</v>
      </c>
      <c r="Y351" s="4" t="s">
        <v>109</v>
      </c>
      <c r="Z351" s="4" t="s">
        <v>109</v>
      </c>
      <c r="AA351" s="4" t="s">
        <v>109</v>
      </c>
      <c r="AB351" s="4" t="s">
        <v>109</v>
      </c>
      <c r="AC351" s="4" t="s">
        <v>109</v>
      </c>
      <c r="AD351" s="4" t="s">
        <v>109</v>
      </c>
      <c r="AE351" s="4" t="s">
        <v>109</v>
      </c>
      <c r="AF351" s="6" t="s">
        <v>19</v>
      </c>
      <c r="AG351" s="4" t="s">
        <v>109</v>
      </c>
      <c r="AH351" s="4" t="s">
        <v>109</v>
      </c>
      <c r="AI351" s="4" t="s">
        <v>109</v>
      </c>
      <c r="AJ351" s="4" t="s">
        <v>109</v>
      </c>
      <c r="AK351" s="18" t="s">
        <v>109</v>
      </c>
      <c r="AL351" s="18" t="s">
        <v>109</v>
      </c>
      <c r="AM351" s="4" t="s">
        <v>109</v>
      </c>
      <c r="AN351" s="4" t="s">
        <v>109</v>
      </c>
      <c r="AO351" s="4" t="s">
        <v>109</v>
      </c>
      <c r="AP351" s="4" t="s">
        <v>109</v>
      </c>
      <c r="AQ351" s="4" t="s">
        <v>109</v>
      </c>
      <c r="AR351" s="4" t="s">
        <v>109</v>
      </c>
      <c r="AS351" s="4" t="s">
        <v>109</v>
      </c>
      <c r="AT351" s="4" t="s">
        <v>109</v>
      </c>
      <c r="AU351" s="4" t="s">
        <v>109</v>
      </c>
      <c r="AV351" s="36" t="s">
        <v>109</v>
      </c>
    </row>
    <row r="352" spans="1:48" ht="40.5" customHeight="1" x14ac:dyDescent="0.3">
      <c r="A352" s="15" t="s">
        <v>25</v>
      </c>
      <c r="B352" s="15" t="s">
        <v>1823</v>
      </c>
      <c r="C352" s="15" t="s">
        <v>554</v>
      </c>
      <c r="D352" s="15" t="s">
        <v>19</v>
      </c>
      <c r="E352" s="70" t="s">
        <v>19</v>
      </c>
      <c r="F352" s="70" t="s">
        <v>19</v>
      </c>
      <c r="G352" s="70" t="s">
        <v>19</v>
      </c>
      <c r="H352" s="70" t="s">
        <v>19</v>
      </c>
      <c r="I352" s="72" t="s">
        <v>19</v>
      </c>
      <c r="J352" s="72" t="s">
        <v>19</v>
      </c>
      <c r="K352" s="70" t="s">
        <v>19</v>
      </c>
      <c r="L352" s="70" t="s">
        <v>19</v>
      </c>
      <c r="M352" s="15" t="s">
        <v>555</v>
      </c>
      <c r="N352" s="4" t="s">
        <v>1551</v>
      </c>
      <c r="O352" s="15"/>
      <c r="P352" s="4" t="s">
        <v>1611</v>
      </c>
      <c r="S352" s="15" t="e" cm="1">
        <f t="array" aca="1" ref="S352" ca="1">COMMONMARKETCOUNT(H352:AV352)</f>
        <v>#NAME?</v>
      </c>
      <c r="T352" s="6" t="e" cm="1">
        <f t="array" aca="1" ref="T352" ca="1">AUTOMATEDCOUNT(H352:AV352)</f>
        <v>#NAME?</v>
      </c>
      <c r="V352" s="15" t="s">
        <v>109</v>
      </c>
      <c r="W352" s="15" t="s">
        <v>109</v>
      </c>
      <c r="X352" s="70" t="s">
        <v>19</v>
      </c>
      <c r="Y352" s="70" t="s">
        <v>19</v>
      </c>
      <c r="Z352" s="70" t="s">
        <v>19</v>
      </c>
      <c r="AA352" s="72" t="s">
        <v>19</v>
      </c>
      <c r="AB352" s="72" t="s">
        <v>19</v>
      </c>
      <c r="AC352" s="72" t="s">
        <v>19</v>
      </c>
      <c r="AD352" s="96" t="s">
        <v>19</v>
      </c>
      <c r="AE352" s="6" t="s">
        <v>19</v>
      </c>
      <c r="AF352" s="15" t="s">
        <v>19</v>
      </c>
      <c r="AG352" s="20" t="s">
        <v>19</v>
      </c>
      <c r="AH352" s="15" t="s">
        <v>19</v>
      </c>
      <c r="AI352" s="15" t="s">
        <v>19</v>
      </c>
      <c r="AJ352" s="15" t="s">
        <v>19</v>
      </c>
      <c r="AK352" s="15" t="s">
        <v>19</v>
      </c>
      <c r="AL352" s="15" t="s">
        <v>19</v>
      </c>
      <c r="AM352" s="18" t="s">
        <v>19</v>
      </c>
      <c r="AN352" s="18" t="s">
        <v>19</v>
      </c>
      <c r="AO352" s="18" t="s">
        <v>19</v>
      </c>
      <c r="AP352" s="15" t="s">
        <v>19</v>
      </c>
      <c r="AQ352" s="15" t="s">
        <v>19</v>
      </c>
      <c r="AR352" s="15" t="s">
        <v>19</v>
      </c>
      <c r="AS352" s="70" t="s">
        <v>19</v>
      </c>
      <c r="AT352" s="70" t="s">
        <v>19</v>
      </c>
      <c r="AU352" s="20" t="s">
        <v>3153</v>
      </c>
      <c r="AV352" s="36" t="s">
        <v>19</v>
      </c>
    </row>
    <row r="353" spans="1:196" ht="60.75" customHeight="1" x14ac:dyDescent="0.3">
      <c r="A353" s="15" t="s">
        <v>25</v>
      </c>
      <c r="B353" s="15" t="s">
        <v>1823</v>
      </c>
      <c r="C353" s="15" t="s">
        <v>556</v>
      </c>
      <c r="D353" s="15" t="s">
        <v>19</v>
      </c>
      <c r="E353" s="70" t="s">
        <v>19</v>
      </c>
      <c r="F353" s="70" t="s">
        <v>19</v>
      </c>
      <c r="G353" s="70" t="s">
        <v>19</v>
      </c>
      <c r="H353" s="70" t="s">
        <v>19</v>
      </c>
      <c r="I353" s="72" t="s">
        <v>19</v>
      </c>
      <c r="J353" s="72" t="s">
        <v>19</v>
      </c>
      <c r="K353" s="72" t="s">
        <v>19</v>
      </c>
      <c r="L353" s="72" t="s">
        <v>19</v>
      </c>
      <c r="M353" s="15" t="s">
        <v>557</v>
      </c>
      <c r="N353" s="4" t="s">
        <v>1552</v>
      </c>
      <c r="O353" s="15"/>
      <c r="P353" s="4" t="s">
        <v>1612</v>
      </c>
      <c r="S353" s="15" t="e" cm="1">
        <f t="array" aca="1" ref="S353" ca="1">COMMONMARKETCOUNT(H353:AV353)</f>
        <v>#NAME?</v>
      </c>
      <c r="T353" s="6" t="e" cm="1">
        <f t="array" aca="1" ref="T353" ca="1">AUTOMATEDCOUNT(H353:AV353)</f>
        <v>#NAME?</v>
      </c>
      <c r="V353" s="15" t="s">
        <v>109</v>
      </c>
      <c r="W353" s="15" t="s">
        <v>109</v>
      </c>
      <c r="X353" s="70" t="s">
        <v>19</v>
      </c>
      <c r="Y353" s="70" t="s">
        <v>19</v>
      </c>
      <c r="Z353" s="70" t="s">
        <v>19</v>
      </c>
      <c r="AA353" s="72" t="s">
        <v>19</v>
      </c>
      <c r="AB353" s="72" t="s">
        <v>19</v>
      </c>
      <c r="AC353" s="72" t="s">
        <v>19</v>
      </c>
      <c r="AD353" s="72" t="s">
        <v>19</v>
      </c>
      <c r="AE353" s="18" t="s">
        <v>19</v>
      </c>
      <c r="AF353" s="18" t="s">
        <v>19</v>
      </c>
      <c r="AG353" s="29" t="s">
        <v>19</v>
      </c>
      <c r="AH353" s="29" t="s">
        <v>19</v>
      </c>
      <c r="AI353" s="18" t="s">
        <v>19</v>
      </c>
      <c r="AJ353" s="18" t="s">
        <v>19</v>
      </c>
      <c r="AK353" s="18" t="s">
        <v>19</v>
      </c>
      <c r="AL353" s="18" t="s">
        <v>19</v>
      </c>
      <c r="AM353" s="18" t="s">
        <v>19</v>
      </c>
      <c r="AN353" s="18" t="s">
        <v>19</v>
      </c>
      <c r="AO353" s="18" t="s">
        <v>19</v>
      </c>
      <c r="AP353" s="18" t="s">
        <v>19</v>
      </c>
      <c r="AQ353" s="18" t="s">
        <v>19</v>
      </c>
      <c r="AR353" s="18" t="s">
        <v>19</v>
      </c>
      <c r="AS353" s="70" t="s">
        <v>19</v>
      </c>
      <c r="AT353" s="72" t="s">
        <v>19</v>
      </c>
      <c r="AU353" s="29" t="s">
        <v>3153</v>
      </c>
      <c r="AV353" s="36" t="s">
        <v>19</v>
      </c>
    </row>
    <row r="354" spans="1:196" ht="66" customHeight="1" x14ac:dyDescent="0.3">
      <c r="A354" s="15" t="s">
        <v>25</v>
      </c>
      <c r="B354" s="15" t="s">
        <v>1365</v>
      </c>
      <c r="C354" s="15" t="s">
        <v>558</v>
      </c>
      <c r="D354" s="15" t="s">
        <v>19</v>
      </c>
      <c r="E354" s="70" t="s">
        <v>19</v>
      </c>
      <c r="F354" s="70" t="s">
        <v>19</v>
      </c>
      <c r="G354" s="70" t="s">
        <v>19</v>
      </c>
      <c r="H354" s="70" t="s">
        <v>19</v>
      </c>
      <c r="I354" s="72" t="s">
        <v>19</v>
      </c>
      <c r="J354" s="72" t="s">
        <v>19</v>
      </c>
      <c r="K354" s="72" t="s">
        <v>19</v>
      </c>
      <c r="L354" s="72" t="s">
        <v>19</v>
      </c>
      <c r="M354" s="15" t="s">
        <v>559</v>
      </c>
      <c r="N354" s="4" t="s">
        <v>1553</v>
      </c>
      <c r="O354" s="15"/>
      <c r="P354" s="4" t="s">
        <v>1613</v>
      </c>
      <c r="S354" s="15" t="e" cm="1">
        <f t="array" aca="1" ref="S354" ca="1">COMMONMARKETCOUNT(H354:AV354)</f>
        <v>#NAME?</v>
      </c>
      <c r="T354" s="6" t="e" cm="1">
        <f t="array" aca="1" ref="T354" ca="1">AUTOMATEDCOUNT(H354:AV354)</f>
        <v>#NAME?</v>
      </c>
      <c r="V354" s="70" t="s">
        <v>19</v>
      </c>
      <c r="W354" s="15" t="s">
        <v>109</v>
      </c>
      <c r="X354" s="70" t="s">
        <v>19</v>
      </c>
      <c r="Y354" s="70" t="s">
        <v>19</v>
      </c>
      <c r="Z354" s="70" t="s">
        <v>19</v>
      </c>
      <c r="AA354" s="72" t="s">
        <v>19</v>
      </c>
      <c r="AB354" s="72" t="s">
        <v>19</v>
      </c>
      <c r="AC354" s="72" t="s">
        <v>19</v>
      </c>
      <c r="AD354" s="72" t="s">
        <v>19</v>
      </c>
      <c r="AE354" s="18" t="s">
        <v>19</v>
      </c>
      <c r="AF354" s="18" t="s">
        <v>19</v>
      </c>
      <c r="AG354" s="29" t="s">
        <v>19</v>
      </c>
      <c r="AH354" s="18" t="s">
        <v>19</v>
      </c>
      <c r="AI354" s="18" t="s">
        <v>19</v>
      </c>
      <c r="AJ354" s="18" t="s">
        <v>19</v>
      </c>
      <c r="AK354" s="18" t="s">
        <v>19</v>
      </c>
      <c r="AL354" s="18" t="s">
        <v>19</v>
      </c>
      <c r="AM354" s="18" t="s">
        <v>19</v>
      </c>
      <c r="AN354" s="18" t="s">
        <v>19</v>
      </c>
      <c r="AO354" s="18" t="s">
        <v>19</v>
      </c>
      <c r="AP354" s="18" t="s">
        <v>19</v>
      </c>
      <c r="AQ354" s="18" t="s">
        <v>19</v>
      </c>
      <c r="AR354" s="18" t="s">
        <v>19</v>
      </c>
      <c r="AS354" s="70" t="s">
        <v>19</v>
      </c>
      <c r="AT354" s="18" t="s">
        <v>19</v>
      </c>
      <c r="AU354" s="18" t="s">
        <v>109</v>
      </c>
      <c r="AV354" s="36" t="s">
        <v>19</v>
      </c>
    </row>
    <row r="355" spans="1:196" ht="56.25" hidden="1" customHeight="1" x14ac:dyDescent="0.3">
      <c r="A355" s="4" t="s">
        <v>25</v>
      </c>
      <c r="B355" s="4" t="s">
        <v>783</v>
      </c>
      <c r="C355" s="15" t="s">
        <v>2438</v>
      </c>
      <c r="D355" s="6" t="s">
        <v>32</v>
      </c>
      <c r="E355" s="4" t="s">
        <v>109</v>
      </c>
      <c r="F355" s="4" t="s">
        <v>109</v>
      </c>
      <c r="G355" s="6" t="s">
        <v>109</v>
      </c>
      <c r="H355" s="6" t="s">
        <v>109</v>
      </c>
      <c r="I355" s="4" t="s">
        <v>109</v>
      </c>
      <c r="J355" s="4" t="s">
        <v>109</v>
      </c>
      <c r="K355" s="6" t="s">
        <v>19</v>
      </c>
      <c r="L355" s="6" t="s">
        <v>19</v>
      </c>
      <c r="M355" s="15" t="s">
        <v>2439</v>
      </c>
      <c r="N355" s="4" t="s">
        <v>2440</v>
      </c>
      <c r="O355" s="15"/>
      <c r="P355" s="4" t="s">
        <v>2441</v>
      </c>
      <c r="S355" s="15" t="e" cm="1">
        <f t="array" aca="1" ref="S355" ca="1">COMMONMARKETCOUNT(H355:AV355)</f>
        <v>#NAME?</v>
      </c>
      <c r="T355" s="6" t="e" cm="1">
        <f t="array" aca="1" ref="T355" ca="1">AUTOMATEDCOUNT(H355:AV355)</f>
        <v>#NAME?</v>
      </c>
      <c r="V355" s="4" t="s">
        <v>109</v>
      </c>
      <c r="W355" s="4" t="s">
        <v>109</v>
      </c>
      <c r="X355" s="4" t="s">
        <v>109</v>
      </c>
      <c r="Y355" s="4" t="s">
        <v>109</v>
      </c>
      <c r="Z355" s="4" t="s">
        <v>109</v>
      </c>
      <c r="AA355" s="4" t="s">
        <v>109</v>
      </c>
      <c r="AB355" s="4" t="s">
        <v>109</v>
      </c>
      <c r="AC355" s="4" t="s">
        <v>109</v>
      </c>
      <c r="AD355" s="4" t="s">
        <v>109</v>
      </c>
      <c r="AE355" s="4" t="s">
        <v>109</v>
      </c>
      <c r="AF355" s="6" t="s">
        <v>19</v>
      </c>
      <c r="AG355" s="4" t="s">
        <v>109</v>
      </c>
      <c r="AH355" s="4" t="s">
        <v>109</v>
      </c>
      <c r="AI355" s="4" t="s">
        <v>109</v>
      </c>
      <c r="AJ355" s="4" t="s">
        <v>109</v>
      </c>
      <c r="AK355" s="18" t="s">
        <v>109</v>
      </c>
      <c r="AL355" s="18" t="s">
        <v>109</v>
      </c>
      <c r="AM355" s="4" t="s">
        <v>109</v>
      </c>
      <c r="AN355" s="4" t="s">
        <v>109</v>
      </c>
      <c r="AO355" s="4" t="s">
        <v>109</v>
      </c>
      <c r="AP355" s="4" t="s">
        <v>109</v>
      </c>
      <c r="AQ355" s="4" t="s">
        <v>109</v>
      </c>
      <c r="AR355" s="4" t="s">
        <v>109</v>
      </c>
      <c r="AS355" s="4" t="s">
        <v>109</v>
      </c>
      <c r="AT355" s="4" t="s">
        <v>109</v>
      </c>
      <c r="AU355" s="4" t="s">
        <v>109</v>
      </c>
      <c r="AV355" s="36" t="s">
        <v>109</v>
      </c>
      <c r="AW355"/>
      <c r="AX355"/>
      <c r="AY355"/>
      <c r="AZ355"/>
      <c r="BA355"/>
      <c r="BB355"/>
      <c r="BC355"/>
      <c r="BD355"/>
      <c r="BE355"/>
      <c r="BF355"/>
      <c r="BG355"/>
      <c r="BH355"/>
      <c r="BI355"/>
      <c r="BJ355"/>
      <c r="BK355"/>
      <c r="BL355"/>
      <c r="BM355"/>
      <c r="BN355"/>
      <c r="BO355"/>
      <c r="BP355"/>
      <c r="BQ355"/>
      <c r="BR355"/>
      <c r="BS355"/>
      <c r="BT355"/>
      <c r="BU355"/>
      <c r="BV355"/>
      <c r="BW355"/>
      <c r="BX355"/>
      <c r="BY355"/>
      <c r="BZ355"/>
      <c r="CA355"/>
      <c r="CB355"/>
      <c r="CC355"/>
      <c r="CD355"/>
      <c r="CE355"/>
      <c r="CF355"/>
      <c r="CG355"/>
      <c r="CH355"/>
      <c r="CI355"/>
      <c r="CJ355"/>
      <c r="CK355"/>
      <c r="CL355"/>
      <c r="CM355"/>
      <c r="CN355"/>
      <c r="CO355"/>
      <c r="CP355"/>
      <c r="CQ355"/>
      <c r="CR355"/>
      <c r="CS355"/>
      <c r="CT355"/>
      <c r="CU355"/>
      <c r="CV355"/>
      <c r="CW355"/>
      <c r="CX355"/>
      <c r="CY355"/>
      <c r="CZ355"/>
      <c r="DA355"/>
      <c r="DB355"/>
      <c r="DC355"/>
      <c r="DD355"/>
      <c r="DE355"/>
      <c r="DF355"/>
      <c r="DG355"/>
      <c r="DH355"/>
      <c r="DI355"/>
      <c r="DJ355"/>
      <c r="DK355"/>
      <c r="DL355"/>
      <c r="DM355"/>
      <c r="DN355"/>
      <c r="DO355"/>
      <c r="DP355"/>
      <c r="DQ355"/>
      <c r="DR355"/>
      <c r="DS355"/>
      <c r="DT355"/>
      <c r="DU355"/>
      <c r="DV355"/>
      <c r="DW355"/>
      <c r="DX355"/>
      <c r="DY355"/>
      <c r="DZ355"/>
      <c r="EA355"/>
      <c r="EB355"/>
      <c r="EC355"/>
      <c r="ED355"/>
      <c r="EE355"/>
      <c r="EF355"/>
      <c r="EG355"/>
      <c r="EH355"/>
      <c r="EI355"/>
      <c r="EJ355"/>
      <c r="EK355"/>
      <c r="EL355"/>
      <c r="EM355"/>
      <c r="EN355"/>
      <c r="EO355"/>
      <c r="EP355"/>
      <c r="EQ355"/>
      <c r="ER355"/>
      <c r="ES355"/>
      <c r="ET355"/>
      <c r="EU355"/>
      <c r="EV355"/>
      <c r="EW355"/>
      <c r="EX355"/>
      <c r="EY355"/>
      <c r="EZ355"/>
      <c r="FA355"/>
      <c r="FB355"/>
      <c r="FC355"/>
      <c r="FD355"/>
      <c r="FE355"/>
      <c r="FF355"/>
      <c r="FG355"/>
      <c r="FH355"/>
      <c r="FI355"/>
      <c r="FJ355"/>
      <c r="FK355"/>
      <c r="FL355"/>
      <c r="FM355"/>
      <c r="FN355"/>
      <c r="FO355"/>
      <c r="FP355"/>
      <c r="FQ355"/>
      <c r="FR355"/>
      <c r="FS355"/>
      <c r="FT355"/>
      <c r="FU355"/>
      <c r="FV355"/>
      <c r="FW355"/>
      <c r="FX355"/>
      <c r="FY355"/>
      <c r="FZ355"/>
      <c r="GA355"/>
      <c r="GB355"/>
      <c r="GC355"/>
      <c r="GD355"/>
      <c r="GE355"/>
      <c r="GF355"/>
      <c r="GG355"/>
      <c r="GH355"/>
      <c r="GI355"/>
      <c r="GJ355"/>
      <c r="GK355"/>
      <c r="GL355"/>
      <c r="GM355"/>
      <c r="GN355"/>
    </row>
    <row r="356" spans="1:196" ht="54" hidden="1" customHeight="1" x14ac:dyDescent="0.3">
      <c r="A356" s="4" t="s">
        <v>25</v>
      </c>
      <c r="B356" s="4" t="s">
        <v>783</v>
      </c>
      <c r="C356" s="15" t="s">
        <v>2442</v>
      </c>
      <c r="D356" s="6" t="s">
        <v>32</v>
      </c>
      <c r="E356" s="4" t="s">
        <v>109</v>
      </c>
      <c r="F356" s="4" t="s">
        <v>109</v>
      </c>
      <c r="G356" s="6" t="s">
        <v>109</v>
      </c>
      <c r="H356" s="6" t="s">
        <v>109</v>
      </c>
      <c r="I356" s="4" t="s">
        <v>109</v>
      </c>
      <c r="J356" s="4" t="s">
        <v>109</v>
      </c>
      <c r="K356" s="6" t="s">
        <v>19</v>
      </c>
      <c r="L356" s="6" t="s">
        <v>19</v>
      </c>
      <c r="M356" s="15" t="s">
        <v>2443</v>
      </c>
      <c r="N356" s="4" t="s">
        <v>2444</v>
      </c>
      <c r="O356" s="15"/>
      <c r="P356" s="4" t="s">
        <v>2445</v>
      </c>
      <c r="S356" s="15" t="e" cm="1">
        <f t="array" aca="1" ref="S356" ca="1">COMMONMARKETCOUNT(H356:AV356)</f>
        <v>#NAME?</v>
      </c>
      <c r="T356" s="6" t="e" cm="1">
        <f t="array" aca="1" ref="T356" ca="1">AUTOMATEDCOUNT(H356:AV356)</f>
        <v>#NAME?</v>
      </c>
      <c r="V356" s="4" t="s">
        <v>109</v>
      </c>
      <c r="W356" s="4" t="s">
        <v>109</v>
      </c>
      <c r="X356" s="4" t="s">
        <v>109</v>
      </c>
      <c r="Y356" s="4" t="s">
        <v>109</v>
      </c>
      <c r="Z356" s="4" t="s">
        <v>109</v>
      </c>
      <c r="AA356" s="4" t="s">
        <v>109</v>
      </c>
      <c r="AB356" s="4" t="s">
        <v>109</v>
      </c>
      <c r="AC356" s="4" t="s">
        <v>109</v>
      </c>
      <c r="AD356" s="4" t="s">
        <v>109</v>
      </c>
      <c r="AE356" s="4" t="s">
        <v>109</v>
      </c>
      <c r="AF356" s="6" t="s">
        <v>19</v>
      </c>
      <c r="AG356" s="4" t="s">
        <v>109</v>
      </c>
      <c r="AH356" s="4" t="s">
        <v>109</v>
      </c>
      <c r="AI356" s="4" t="s">
        <v>109</v>
      </c>
      <c r="AJ356" s="4" t="s">
        <v>109</v>
      </c>
      <c r="AK356" s="18" t="s">
        <v>109</v>
      </c>
      <c r="AL356" s="18" t="s">
        <v>109</v>
      </c>
      <c r="AM356" s="4" t="s">
        <v>109</v>
      </c>
      <c r="AN356" s="4" t="s">
        <v>109</v>
      </c>
      <c r="AO356" s="4" t="s">
        <v>109</v>
      </c>
      <c r="AP356" s="4" t="s">
        <v>109</v>
      </c>
      <c r="AQ356" s="4" t="s">
        <v>109</v>
      </c>
      <c r="AR356" s="4" t="s">
        <v>109</v>
      </c>
      <c r="AS356" s="4" t="s">
        <v>109</v>
      </c>
      <c r="AT356" s="4" t="s">
        <v>109</v>
      </c>
      <c r="AU356" s="4" t="s">
        <v>109</v>
      </c>
      <c r="AV356" s="36" t="s">
        <v>109</v>
      </c>
      <c r="AW356"/>
      <c r="AX356"/>
      <c r="AY356"/>
      <c r="AZ356"/>
      <c r="BA356"/>
      <c r="BB356"/>
      <c r="BC356"/>
      <c r="BD356"/>
      <c r="BE356"/>
      <c r="BF356"/>
      <c r="BG356"/>
      <c r="BH356"/>
      <c r="BI356"/>
      <c r="BJ356"/>
      <c r="BK356"/>
      <c r="BL356"/>
      <c r="BM356"/>
      <c r="BN356"/>
      <c r="BO356"/>
      <c r="BP356"/>
      <c r="BQ356"/>
      <c r="BR356"/>
      <c r="BS356"/>
      <c r="BT356"/>
      <c r="BU356"/>
      <c r="BV356"/>
      <c r="BW356"/>
      <c r="BX356"/>
      <c r="BY356"/>
      <c r="BZ356"/>
      <c r="CA356"/>
      <c r="CB356"/>
      <c r="CC356"/>
      <c r="CD356"/>
      <c r="CE356"/>
      <c r="CF356"/>
      <c r="CG356"/>
      <c r="CH356"/>
      <c r="CI356"/>
      <c r="CJ356"/>
      <c r="CK356"/>
      <c r="CL356"/>
      <c r="CM356"/>
      <c r="CN356"/>
      <c r="CO356"/>
      <c r="CP356"/>
      <c r="CQ356"/>
      <c r="CR356"/>
      <c r="CS356"/>
      <c r="CT356"/>
      <c r="CU356"/>
      <c r="CV356"/>
      <c r="CW356"/>
      <c r="CX356"/>
      <c r="CY356"/>
      <c r="CZ356"/>
      <c r="DA356"/>
      <c r="DB356"/>
      <c r="DC356"/>
      <c r="DD356"/>
      <c r="DE356"/>
      <c r="DF356"/>
      <c r="DG356"/>
      <c r="DH356"/>
      <c r="DI356"/>
      <c r="DJ356"/>
      <c r="DK356"/>
      <c r="DL356"/>
      <c r="DM356"/>
      <c r="DN356"/>
      <c r="DO356"/>
      <c r="DP356"/>
      <c r="DQ356"/>
      <c r="DR356"/>
      <c r="DS356"/>
      <c r="DT356"/>
      <c r="DU356"/>
      <c r="DV356"/>
      <c r="DW356"/>
      <c r="DX356"/>
      <c r="DY356"/>
      <c r="DZ356"/>
      <c r="EA356"/>
      <c r="EB356"/>
      <c r="EC356"/>
      <c r="ED356"/>
      <c r="EE356"/>
      <c r="EF356"/>
      <c r="EG356"/>
      <c r="EH356"/>
      <c r="EI356"/>
      <c r="EJ356"/>
      <c r="EK356"/>
      <c r="EL356"/>
      <c r="EM356"/>
      <c r="EN356"/>
      <c r="EO356"/>
      <c r="EP356"/>
      <c r="EQ356"/>
      <c r="ER356"/>
      <c r="ES356"/>
      <c r="ET356"/>
      <c r="EU356"/>
      <c r="EV356"/>
      <c r="EW356"/>
      <c r="EX356"/>
      <c r="EY356"/>
      <c r="EZ356"/>
      <c r="FA356"/>
      <c r="FB356"/>
      <c r="FC356"/>
      <c r="FD356"/>
      <c r="FE356"/>
      <c r="FF356"/>
      <c r="FG356"/>
      <c r="FH356"/>
      <c r="FI356"/>
      <c r="FJ356"/>
      <c r="FK356"/>
      <c r="FL356"/>
      <c r="FM356"/>
      <c r="FN356"/>
      <c r="FO356"/>
      <c r="FP356"/>
      <c r="FQ356"/>
      <c r="FR356"/>
      <c r="FS356"/>
      <c r="FT356"/>
      <c r="FU356"/>
      <c r="FV356"/>
      <c r="FW356"/>
      <c r="FX356"/>
      <c r="FY356"/>
      <c r="FZ356"/>
      <c r="GA356"/>
      <c r="GB356"/>
      <c r="GC356"/>
      <c r="GD356"/>
      <c r="GE356"/>
      <c r="GF356"/>
      <c r="GG356"/>
      <c r="GH356"/>
      <c r="GI356"/>
      <c r="GJ356"/>
      <c r="GK356"/>
      <c r="GL356"/>
      <c r="GM356"/>
      <c r="GN356"/>
    </row>
    <row r="357" spans="1:196" ht="87.75" hidden="1" customHeight="1" x14ac:dyDescent="0.3">
      <c r="A357" s="4" t="s">
        <v>25</v>
      </c>
      <c r="B357" s="4" t="s">
        <v>783</v>
      </c>
      <c r="C357" s="15" t="s">
        <v>2446</v>
      </c>
      <c r="D357" s="6" t="s">
        <v>32</v>
      </c>
      <c r="E357" s="4" t="s">
        <v>109</v>
      </c>
      <c r="F357" s="4" t="s">
        <v>109</v>
      </c>
      <c r="G357" s="6" t="s">
        <v>109</v>
      </c>
      <c r="H357" s="6" t="s">
        <v>109</v>
      </c>
      <c r="I357" s="4" t="s">
        <v>109</v>
      </c>
      <c r="J357" s="4" t="s">
        <v>109</v>
      </c>
      <c r="K357" s="6" t="s">
        <v>19</v>
      </c>
      <c r="L357" s="6" t="s">
        <v>19</v>
      </c>
      <c r="M357" s="15" t="s">
        <v>2447</v>
      </c>
      <c r="N357" s="4" t="s">
        <v>2448</v>
      </c>
      <c r="O357" s="15"/>
      <c r="P357" s="4" t="s">
        <v>2449</v>
      </c>
      <c r="S357" s="15" t="e" cm="1">
        <f t="array" aca="1" ref="S357" ca="1">COMMONMARKETCOUNT(H357:AV357)</f>
        <v>#NAME?</v>
      </c>
      <c r="T357" s="6" t="e" cm="1">
        <f t="array" aca="1" ref="T357" ca="1">AUTOMATEDCOUNT(H357:AV357)</f>
        <v>#NAME?</v>
      </c>
      <c r="V357" s="4" t="s">
        <v>109</v>
      </c>
      <c r="W357" s="4" t="s">
        <v>109</v>
      </c>
      <c r="X357" s="4" t="s">
        <v>109</v>
      </c>
      <c r="Y357" s="4" t="s">
        <v>109</v>
      </c>
      <c r="Z357" s="4" t="s">
        <v>109</v>
      </c>
      <c r="AA357" s="4" t="s">
        <v>109</v>
      </c>
      <c r="AB357" s="4" t="s">
        <v>109</v>
      </c>
      <c r="AC357" s="4" t="s">
        <v>109</v>
      </c>
      <c r="AD357" s="4" t="s">
        <v>109</v>
      </c>
      <c r="AE357" s="4" t="s">
        <v>109</v>
      </c>
      <c r="AF357" s="6" t="s">
        <v>19</v>
      </c>
      <c r="AG357" s="4" t="s">
        <v>109</v>
      </c>
      <c r="AH357" s="4" t="s">
        <v>109</v>
      </c>
      <c r="AI357" s="4" t="s">
        <v>109</v>
      </c>
      <c r="AJ357" s="4" t="s">
        <v>109</v>
      </c>
      <c r="AK357" s="18" t="s">
        <v>109</v>
      </c>
      <c r="AL357" s="18" t="s">
        <v>109</v>
      </c>
      <c r="AM357" s="4" t="s">
        <v>109</v>
      </c>
      <c r="AN357" s="4" t="s">
        <v>109</v>
      </c>
      <c r="AO357" s="4" t="s">
        <v>109</v>
      </c>
      <c r="AP357" s="4" t="s">
        <v>109</v>
      </c>
      <c r="AQ357" s="4" t="s">
        <v>109</v>
      </c>
      <c r="AR357" s="4" t="s">
        <v>109</v>
      </c>
      <c r="AS357" s="4" t="s">
        <v>109</v>
      </c>
      <c r="AT357" s="4" t="s">
        <v>109</v>
      </c>
      <c r="AU357" s="4" t="s">
        <v>109</v>
      </c>
      <c r="AV357" s="36" t="s">
        <v>109</v>
      </c>
      <c r="AW357"/>
      <c r="AX357"/>
      <c r="AY357"/>
      <c r="AZ357"/>
      <c r="BA357"/>
      <c r="BB357"/>
      <c r="BC357"/>
      <c r="BD357"/>
      <c r="BE357"/>
      <c r="BF357"/>
      <c r="BG357"/>
      <c r="BH357"/>
      <c r="BI357"/>
      <c r="BJ357"/>
      <c r="BK357"/>
      <c r="BL357"/>
      <c r="BM357"/>
      <c r="BN357"/>
      <c r="BO357"/>
      <c r="BP357"/>
      <c r="BQ357"/>
      <c r="BR357"/>
      <c r="BS357"/>
      <c r="BT357"/>
      <c r="BU357"/>
      <c r="BV357"/>
      <c r="BW357"/>
      <c r="BX357"/>
      <c r="BY357"/>
      <c r="BZ357"/>
      <c r="CA357"/>
      <c r="CB357"/>
      <c r="CC357"/>
      <c r="CD357"/>
      <c r="CE357"/>
      <c r="CF357"/>
      <c r="CG357"/>
      <c r="CH357"/>
      <c r="CI357"/>
      <c r="CJ357"/>
      <c r="CK357"/>
      <c r="CL357"/>
      <c r="CM357"/>
      <c r="CN357"/>
      <c r="CO357"/>
      <c r="CP357"/>
      <c r="CQ357"/>
      <c r="CR357"/>
      <c r="CS357"/>
      <c r="CT357"/>
      <c r="CU357"/>
      <c r="CV357"/>
      <c r="CW357"/>
      <c r="CX357"/>
      <c r="CY357"/>
      <c r="CZ357"/>
      <c r="DA357"/>
      <c r="DB357"/>
      <c r="DC357"/>
      <c r="DD357"/>
      <c r="DE357"/>
      <c r="DF357"/>
      <c r="DG357"/>
      <c r="DH357"/>
      <c r="DI357"/>
      <c r="DJ357"/>
      <c r="DK357"/>
      <c r="DL357"/>
      <c r="DM357"/>
      <c r="DN357"/>
      <c r="DO357"/>
      <c r="DP357"/>
      <c r="DQ357"/>
      <c r="DR357"/>
      <c r="DS357"/>
      <c r="DT357"/>
      <c r="DU357"/>
      <c r="DV357"/>
      <c r="DW357"/>
      <c r="DX357"/>
      <c r="DY357"/>
      <c r="DZ357"/>
      <c r="EA357"/>
      <c r="EB357"/>
      <c r="EC357"/>
      <c r="ED357"/>
      <c r="EE357"/>
      <c r="EF357"/>
      <c r="EG357"/>
      <c r="EH357"/>
      <c r="EI357"/>
      <c r="EJ357"/>
      <c r="EK357"/>
      <c r="EL357"/>
      <c r="EM357"/>
      <c r="EN357"/>
      <c r="EO357"/>
      <c r="EP357"/>
      <c r="EQ357"/>
      <c r="ER357"/>
      <c r="ES357"/>
      <c r="ET357"/>
      <c r="EU357"/>
      <c r="EV357"/>
      <c r="EW357"/>
      <c r="EX357"/>
      <c r="EY357"/>
      <c r="EZ357"/>
      <c r="FA357"/>
      <c r="FB357"/>
      <c r="FC357"/>
      <c r="FD357"/>
      <c r="FE357"/>
      <c r="FF357"/>
      <c r="FG357"/>
      <c r="FH357"/>
      <c r="FI357"/>
      <c r="FJ357"/>
      <c r="FK357"/>
      <c r="FL357"/>
      <c r="FM357"/>
      <c r="FN357"/>
      <c r="FO357"/>
      <c r="FP357"/>
      <c r="FQ357"/>
      <c r="FR357"/>
      <c r="FS357"/>
      <c r="FT357"/>
      <c r="FU357"/>
      <c r="FV357"/>
      <c r="FW357"/>
      <c r="FX357"/>
      <c r="FY357"/>
      <c r="FZ357"/>
      <c r="GA357"/>
      <c r="GB357"/>
      <c r="GC357"/>
      <c r="GD357"/>
      <c r="GE357"/>
      <c r="GF357"/>
      <c r="GG357"/>
      <c r="GH357"/>
      <c r="GI357"/>
      <c r="GJ357"/>
      <c r="GK357"/>
      <c r="GL357"/>
      <c r="GM357"/>
      <c r="GN357"/>
    </row>
    <row r="358" spans="1:196" ht="64.5" hidden="1" customHeight="1" x14ac:dyDescent="0.3">
      <c r="A358" s="4" t="s">
        <v>25</v>
      </c>
      <c r="B358" s="4" t="s">
        <v>783</v>
      </c>
      <c r="C358" s="15" t="s">
        <v>2450</v>
      </c>
      <c r="D358" s="6" t="s">
        <v>32</v>
      </c>
      <c r="E358" s="4" t="s">
        <v>109</v>
      </c>
      <c r="F358" s="4" t="s">
        <v>109</v>
      </c>
      <c r="G358" s="6" t="s">
        <v>109</v>
      </c>
      <c r="H358" s="6" t="s">
        <v>109</v>
      </c>
      <c r="I358" s="4" t="s">
        <v>109</v>
      </c>
      <c r="J358" s="4" t="s">
        <v>109</v>
      </c>
      <c r="K358" s="6" t="s">
        <v>19</v>
      </c>
      <c r="L358" s="6" t="s">
        <v>19</v>
      </c>
      <c r="M358" s="15" t="s">
        <v>2451</v>
      </c>
      <c r="N358" s="4" t="s">
        <v>2452</v>
      </c>
      <c r="O358" s="15"/>
      <c r="P358" s="4" t="s">
        <v>2453</v>
      </c>
      <c r="S358" s="15" t="e" cm="1">
        <f t="array" aca="1" ref="S358" ca="1">COMMONMARKETCOUNT(H358:AV358)</f>
        <v>#NAME?</v>
      </c>
      <c r="T358" s="6" t="e" cm="1">
        <f t="array" aca="1" ref="T358" ca="1">AUTOMATEDCOUNT(H358:AV358)</f>
        <v>#NAME?</v>
      </c>
      <c r="V358" s="4" t="s">
        <v>109</v>
      </c>
      <c r="W358" s="4" t="s">
        <v>109</v>
      </c>
      <c r="X358" s="4" t="s">
        <v>109</v>
      </c>
      <c r="Y358" s="4" t="s">
        <v>109</v>
      </c>
      <c r="Z358" s="4" t="s">
        <v>109</v>
      </c>
      <c r="AA358" s="4" t="s">
        <v>109</v>
      </c>
      <c r="AB358" s="4" t="s">
        <v>109</v>
      </c>
      <c r="AC358" s="4" t="s">
        <v>109</v>
      </c>
      <c r="AD358" s="4" t="s">
        <v>109</v>
      </c>
      <c r="AE358" s="4" t="s">
        <v>109</v>
      </c>
      <c r="AF358" s="6" t="s">
        <v>19</v>
      </c>
      <c r="AG358" s="4" t="s">
        <v>109</v>
      </c>
      <c r="AH358" s="4" t="s">
        <v>109</v>
      </c>
      <c r="AI358" s="4" t="s">
        <v>109</v>
      </c>
      <c r="AJ358" s="4" t="s">
        <v>109</v>
      </c>
      <c r="AK358" s="18" t="s">
        <v>109</v>
      </c>
      <c r="AL358" s="18" t="s">
        <v>109</v>
      </c>
      <c r="AM358" s="4" t="s">
        <v>109</v>
      </c>
      <c r="AN358" s="4" t="s">
        <v>109</v>
      </c>
      <c r="AO358" s="4" t="s">
        <v>109</v>
      </c>
      <c r="AP358" s="4" t="s">
        <v>109</v>
      </c>
      <c r="AQ358" s="4" t="s">
        <v>109</v>
      </c>
      <c r="AR358" s="4" t="s">
        <v>109</v>
      </c>
      <c r="AS358" s="4" t="s">
        <v>109</v>
      </c>
      <c r="AT358" s="4" t="s">
        <v>109</v>
      </c>
      <c r="AU358" s="4" t="s">
        <v>109</v>
      </c>
      <c r="AV358" s="36" t="s">
        <v>109</v>
      </c>
      <c r="AW358"/>
      <c r="AX358"/>
      <c r="AY358"/>
      <c r="AZ358"/>
      <c r="BA358"/>
      <c r="BB358"/>
      <c r="BC358"/>
      <c r="BD358"/>
      <c r="BE358"/>
      <c r="BF358"/>
      <c r="BG358"/>
      <c r="BH358"/>
      <c r="BI358"/>
      <c r="BJ358"/>
      <c r="BK358"/>
      <c r="BL358"/>
      <c r="BM358"/>
      <c r="BN358"/>
      <c r="BO358"/>
      <c r="BP358"/>
      <c r="BQ358"/>
      <c r="BR358"/>
      <c r="BS358"/>
      <c r="BT358"/>
      <c r="BU358"/>
      <c r="BV358"/>
      <c r="BW358"/>
      <c r="BX358"/>
      <c r="BY358"/>
      <c r="BZ358"/>
      <c r="CA358"/>
      <c r="CB358"/>
      <c r="CC358"/>
      <c r="CD358"/>
      <c r="CE358"/>
      <c r="CF358"/>
      <c r="CG358"/>
      <c r="CH358"/>
      <c r="CI358"/>
      <c r="CJ358"/>
      <c r="CK358"/>
      <c r="CL358"/>
      <c r="CM358"/>
      <c r="CN358"/>
      <c r="CO358"/>
      <c r="CP358"/>
      <c r="CQ358"/>
      <c r="CR358"/>
      <c r="CS358"/>
      <c r="CT358"/>
      <c r="CU358"/>
      <c r="CV358"/>
      <c r="CW358"/>
      <c r="CX358"/>
      <c r="CY358"/>
      <c r="CZ358"/>
      <c r="DA358"/>
      <c r="DB358"/>
      <c r="DC358"/>
      <c r="DD358"/>
      <c r="DE358"/>
      <c r="DF358"/>
      <c r="DG358"/>
      <c r="DH358"/>
      <c r="DI358"/>
      <c r="DJ358"/>
      <c r="DK358"/>
      <c r="DL358"/>
      <c r="DM358"/>
      <c r="DN358"/>
      <c r="DO358"/>
      <c r="DP358"/>
      <c r="DQ358"/>
      <c r="DR358"/>
      <c r="DS358"/>
      <c r="DT358"/>
      <c r="DU358"/>
      <c r="DV358"/>
      <c r="DW358"/>
      <c r="DX358"/>
      <c r="DY358"/>
      <c r="DZ358"/>
      <c r="EA358"/>
      <c r="EB358"/>
      <c r="EC358"/>
      <c r="ED358"/>
      <c r="EE358"/>
      <c r="EF358"/>
      <c r="EG358"/>
      <c r="EH358"/>
      <c r="EI358"/>
      <c r="EJ358"/>
      <c r="EK358"/>
      <c r="EL358"/>
      <c r="EM358"/>
      <c r="EN358"/>
      <c r="EO358"/>
      <c r="EP358"/>
      <c r="EQ358"/>
      <c r="ER358"/>
      <c r="ES358"/>
      <c r="ET358"/>
      <c r="EU358"/>
      <c r="EV358"/>
      <c r="EW358"/>
      <c r="EX358"/>
      <c r="EY358"/>
      <c r="EZ358"/>
      <c r="FA358"/>
      <c r="FB358"/>
      <c r="FC358"/>
      <c r="FD358"/>
      <c r="FE358"/>
      <c r="FF358"/>
      <c r="FG358"/>
      <c r="FH358"/>
      <c r="FI358"/>
      <c r="FJ358"/>
      <c r="FK358"/>
      <c r="FL358"/>
      <c r="FM358"/>
      <c r="FN358"/>
      <c r="FO358"/>
      <c r="FP358"/>
      <c r="FQ358"/>
      <c r="FR358"/>
      <c r="FS358"/>
      <c r="FT358"/>
      <c r="FU358"/>
      <c r="FV358"/>
      <c r="FW358"/>
      <c r="FX358"/>
      <c r="FY358"/>
      <c r="FZ358"/>
      <c r="GA358"/>
      <c r="GB358"/>
      <c r="GC358"/>
      <c r="GD358"/>
      <c r="GE358"/>
      <c r="GF358"/>
      <c r="GG358"/>
      <c r="GH358"/>
      <c r="GI358"/>
      <c r="GJ358"/>
      <c r="GK358"/>
      <c r="GL358"/>
      <c r="GM358"/>
      <c r="GN358"/>
    </row>
    <row r="359" spans="1:196" ht="63" hidden="1" customHeight="1" x14ac:dyDescent="0.3">
      <c r="A359" s="4" t="s">
        <v>25</v>
      </c>
      <c r="B359" s="104" t="s">
        <v>1124</v>
      </c>
      <c r="C359" s="15" t="s">
        <v>2454</v>
      </c>
      <c r="D359" s="6" t="s">
        <v>32</v>
      </c>
      <c r="E359" s="4" t="s">
        <v>109</v>
      </c>
      <c r="F359" s="4" t="s">
        <v>109</v>
      </c>
      <c r="G359" s="6" t="s">
        <v>109</v>
      </c>
      <c r="H359" s="6" t="s">
        <v>109</v>
      </c>
      <c r="I359" s="1" t="s">
        <v>19</v>
      </c>
      <c r="J359" s="1" t="s">
        <v>19</v>
      </c>
      <c r="K359" s="1" t="s">
        <v>19</v>
      </c>
      <c r="L359" s="1" t="s">
        <v>19</v>
      </c>
      <c r="M359" s="15" t="s">
        <v>2455</v>
      </c>
      <c r="N359" s="4" t="s">
        <v>2456</v>
      </c>
      <c r="O359" s="15"/>
      <c r="P359" s="4">
        <v>0</v>
      </c>
      <c r="S359" s="15" t="e" cm="1">
        <f t="array" aca="1" ref="S359" ca="1">COMMONMARKETCOUNT(H359:AV359)</f>
        <v>#NAME?</v>
      </c>
      <c r="T359" s="6" t="e" cm="1">
        <f t="array" aca="1" ref="T359" ca="1">AUTOMATEDCOUNT(H359:AV359)</f>
        <v>#NAME?</v>
      </c>
      <c r="V359" s="4" t="s">
        <v>109</v>
      </c>
      <c r="W359" s="4" t="s">
        <v>109</v>
      </c>
      <c r="X359" s="4" t="s">
        <v>109</v>
      </c>
      <c r="Y359" s="4" t="s">
        <v>109</v>
      </c>
      <c r="Z359" s="4" t="s">
        <v>109</v>
      </c>
      <c r="AA359" s="1" t="s">
        <v>19</v>
      </c>
      <c r="AB359" s="1" t="s">
        <v>19</v>
      </c>
      <c r="AC359" s="1" t="s">
        <v>19</v>
      </c>
      <c r="AD359" s="1" t="s">
        <v>19</v>
      </c>
      <c r="AE359" s="1" t="s">
        <v>19</v>
      </c>
      <c r="AF359" s="1" t="s">
        <v>19</v>
      </c>
      <c r="AG359" s="1" t="s">
        <v>109</v>
      </c>
      <c r="AH359" s="1" t="s">
        <v>109</v>
      </c>
      <c r="AI359" s="1" t="s">
        <v>109</v>
      </c>
      <c r="AJ359" s="1" t="s">
        <v>109</v>
      </c>
      <c r="AK359" s="1" t="s">
        <v>109</v>
      </c>
      <c r="AL359" s="1" t="s">
        <v>109</v>
      </c>
      <c r="AM359" s="1" t="s">
        <v>109</v>
      </c>
      <c r="AN359" s="1" t="s">
        <v>109</v>
      </c>
      <c r="AO359" s="1" t="s">
        <v>109</v>
      </c>
      <c r="AP359" s="1" t="s">
        <v>109</v>
      </c>
      <c r="AQ359" s="1" t="s">
        <v>109</v>
      </c>
      <c r="AR359" s="1" t="s">
        <v>109</v>
      </c>
      <c r="AS359" s="1" t="s">
        <v>109</v>
      </c>
      <c r="AT359" s="1" t="s">
        <v>109</v>
      </c>
      <c r="AU359" s="1" t="s">
        <v>109</v>
      </c>
      <c r="AV359" s="36" t="s">
        <v>109</v>
      </c>
      <c r="AW359"/>
      <c r="AX359"/>
      <c r="AY359"/>
      <c r="AZ359"/>
      <c r="BA359"/>
      <c r="BB359"/>
      <c r="BC359"/>
      <c r="BD359"/>
      <c r="BE359"/>
      <c r="BF359"/>
      <c r="BG359"/>
      <c r="BH359"/>
      <c r="BI359"/>
      <c r="BJ359"/>
      <c r="BK359"/>
      <c r="BL359"/>
      <c r="BM359"/>
      <c r="BN359"/>
      <c r="BO359"/>
      <c r="BP359"/>
      <c r="BQ359"/>
      <c r="BR359"/>
      <c r="BS359"/>
      <c r="BT359"/>
      <c r="BU359"/>
      <c r="BV359"/>
      <c r="BW359"/>
      <c r="BX359"/>
      <c r="BY359"/>
      <c r="BZ359"/>
      <c r="CA359"/>
      <c r="CB359"/>
      <c r="CC359"/>
      <c r="CD359"/>
      <c r="CE359"/>
      <c r="CF359"/>
      <c r="CG359"/>
      <c r="CH359"/>
      <c r="CI359"/>
      <c r="CJ359"/>
      <c r="CK359"/>
      <c r="CL359"/>
      <c r="CM359"/>
      <c r="CN359"/>
      <c r="CO359"/>
      <c r="CP359"/>
      <c r="CQ359"/>
      <c r="CR359"/>
      <c r="CS359"/>
      <c r="CT359"/>
      <c r="CU359"/>
      <c r="CV359"/>
      <c r="CW359"/>
      <c r="CX359"/>
      <c r="CY359"/>
      <c r="CZ359"/>
      <c r="DA359"/>
      <c r="DB359"/>
      <c r="DC359"/>
      <c r="DD359"/>
      <c r="DE359"/>
      <c r="DF359"/>
      <c r="DG359"/>
      <c r="DH359"/>
      <c r="DI359"/>
      <c r="DJ359"/>
      <c r="DK359"/>
      <c r="DL359"/>
      <c r="DM359"/>
      <c r="DN359"/>
      <c r="DO359"/>
      <c r="DP359"/>
      <c r="DQ359"/>
      <c r="DR359"/>
      <c r="DS359"/>
      <c r="DT359"/>
      <c r="DU359"/>
      <c r="DV359"/>
      <c r="DW359"/>
      <c r="DX359"/>
      <c r="DY359"/>
      <c r="DZ359"/>
      <c r="EA359"/>
      <c r="EB359"/>
      <c r="EC359"/>
      <c r="ED359"/>
      <c r="EE359"/>
      <c r="EF359"/>
      <c r="EG359"/>
      <c r="EH359"/>
      <c r="EI359"/>
      <c r="EJ359"/>
      <c r="EK359"/>
      <c r="EL359"/>
      <c r="EM359"/>
      <c r="EN359"/>
      <c r="EO359"/>
      <c r="EP359"/>
      <c r="EQ359"/>
      <c r="ER359"/>
      <c r="ES359"/>
      <c r="ET359"/>
      <c r="EU359"/>
      <c r="EV359"/>
      <c r="EW359"/>
      <c r="EX359"/>
      <c r="EY359"/>
      <c r="EZ359"/>
      <c r="FA359"/>
      <c r="FB359"/>
      <c r="FC359"/>
      <c r="FD359"/>
      <c r="FE359"/>
      <c r="FF359"/>
      <c r="FG359"/>
      <c r="FH359"/>
      <c r="FI359"/>
      <c r="FJ359"/>
      <c r="FK359"/>
      <c r="FL359"/>
      <c r="FM359"/>
      <c r="FN359"/>
      <c r="FO359"/>
      <c r="FP359"/>
      <c r="FQ359"/>
      <c r="FR359"/>
      <c r="FS359"/>
      <c r="FT359"/>
      <c r="FU359"/>
      <c r="FV359"/>
      <c r="FW359"/>
      <c r="FX359"/>
      <c r="FY359"/>
      <c r="FZ359"/>
      <c r="GA359"/>
      <c r="GB359"/>
      <c r="GC359"/>
      <c r="GD359"/>
      <c r="GE359"/>
      <c r="GF359"/>
      <c r="GG359"/>
      <c r="GH359"/>
      <c r="GI359"/>
      <c r="GJ359"/>
      <c r="GK359"/>
      <c r="GL359"/>
      <c r="GM359"/>
      <c r="GN359"/>
    </row>
    <row r="360" spans="1:196" ht="75.75" hidden="1" customHeight="1" x14ac:dyDescent="0.3">
      <c r="A360" s="4" t="s">
        <v>25</v>
      </c>
      <c r="B360" s="4" t="s">
        <v>783</v>
      </c>
      <c r="C360" s="15" t="s">
        <v>2457</v>
      </c>
      <c r="D360" s="6" t="s">
        <v>32</v>
      </c>
      <c r="E360" s="4" t="s">
        <v>109</v>
      </c>
      <c r="F360" s="4" t="s">
        <v>109</v>
      </c>
      <c r="G360" s="6" t="s">
        <v>109</v>
      </c>
      <c r="H360" s="6" t="s">
        <v>109</v>
      </c>
      <c r="I360" s="4" t="s">
        <v>109</v>
      </c>
      <c r="J360" s="4" t="s">
        <v>109</v>
      </c>
      <c r="K360" s="4" t="s">
        <v>109</v>
      </c>
      <c r="L360" s="4" t="s">
        <v>109</v>
      </c>
      <c r="M360" s="15" t="s">
        <v>2458</v>
      </c>
      <c r="N360" s="4" t="s">
        <v>2459</v>
      </c>
      <c r="O360" s="15"/>
      <c r="P360" s="4" t="s">
        <v>2460</v>
      </c>
      <c r="S360" s="15" t="e" cm="1">
        <f t="array" aca="1" ref="S360" ca="1">COMMONMARKETCOUNT(H360:AV360)</f>
        <v>#NAME?</v>
      </c>
      <c r="T360" s="6" t="e" cm="1">
        <f t="array" aca="1" ref="T360" ca="1">AUTOMATEDCOUNT(H360:AV360)</f>
        <v>#NAME?</v>
      </c>
      <c r="V360" s="4" t="s">
        <v>109</v>
      </c>
      <c r="W360" s="4" t="s">
        <v>109</v>
      </c>
      <c r="X360" s="4" t="s">
        <v>109</v>
      </c>
      <c r="Y360" s="4" t="s">
        <v>109</v>
      </c>
      <c r="Z360" s="4" t="s">
        <v>109</v>
      </c>
      <c r="AA360" s="4" t="s">
        <v>109</v>
      </c>
      <c r="AB360" s="4" t="s">
        <v>109</v>
      </c>
      <c r="AC360" s="4" t="s">
        <v>109</v>
      </c>
      <c r="AD360" s="4" t="s">
        <v>109</v>
      </c>
      <c r="AE360" s="4" t="s">
        <v>109</v>
      </c>
      <c r="AF360" s="4" t="s">
        <v>109</v>
      </c>
      <c r="AG360" s="4" t="s">
        <v>19</v>
      </c>
      <c r="AH360" s="4" t="s">
        <v>19</v>
      </c>
      <c r="AI360" s="4" t="s">
        <v>109</v>
      </c>
      <c r="AJ360" s="4" t="s">
        <v>109</v>
      </c>
      <c r="AK360" s="18" t="s">
        <v>109</v>
      </c>
      <c r="AL360" s="18" t="s">
        <v>109</v>
      </c>
      <c r="AM360" s="4" t="s">
        <v>109</v>
      </c>
      <c r="AN360" s="4" t="s">
        <v>109</v>
      </c>
      <c r="AO360" s="4" t="s">
        <v>109</v>
      </c>
      <c r="AP360" s="4" t="s">
        <v>109</v>
      </c>
      <c r="AQ360" s="4" t="s">
        <v>109</v>
      </c>
      <c r="AR360" s="4" t="s">
        <v>109</v>
      </c>
      <c r="AS360" s="4" t="s">
        <v>109</v>
      </c>
      <c r="AT360" s="4" t="s">
        <v>109</v>
      </c>
      <c r="AU360" s="4" t="s">
        <v>109</v>
      </c>
      <c r="AV360" s="36"/>
      <c r="AW360"/>
      <c r="AX360"/>
      <c r="AY360"/>
      <c r="AZ360"/>
      <c r="BA360"/>
      <c r="BB360"/>
      <c r="BC360"/>
      <c r="BD360"/>
      <c r="BE360"/>
      <c r="BF360"/>
      <c r="BG360"/>
      <c r="BH360"/>
      <c r="BI360"/>
      <c r="BJ360"/>
      <c r="BK360"/>
      <c r="BL360"/>
      <c r="BM360"/>
      <c r="BN360"/>
      <c r="BO360"/>
      <c r="BP360"/>
      <c r="BQ360"/>
      <c r="BR360"/>
      <c r="BS360"/>
      <c r="BT360"/>
      <c r="BU360"/>
      <c r="BV360"/>
      <c r="BW360"/>
      <c r="BX360"/>
      <c r="BY360"/>
      <c r="BZ360"/>
      <c r="CA360"/>
      <c r="CB360"/>
      <c r="CC360"/>
      <c r="CD360"/>
      <c r="CE360"/>
      <c r="CF360"/>
      <c r="CG360"/>
      <c r="CH360"/>
      <c r="CI360"/>
      <c r="CJ360"/>
      <c r="CK360"/>
      <c r="CL360"/>
      <c r="CM360"/>
      <c r="CN360"/>
      <c r="CO360"/>
      <c r="CP360"/>
      <c r="CQ360"/>
      <c r="CR360"/>
      <c r="CS360"/>
      <c r="CT360"/>
      <c r="CU360"/>
      <c r="CV360"/>
      <c r="CW360"/>
      <c r="CX360"/>
      <c r="CY360"/>
      <c r="CZ360"/>
      <c r="DA360"/>
      <c r="DB360"/>
      <c r="DC360"/>
      <c r="DD360"/>
      <c r="DE360"/>
      <c r="DF360"/>
      <c r="DG360"/>
      <c r="DH360"/>
      <c r="DI360"/>
      <c r="DJ360"/>
      <c r="DK360"/>
      <c r="DL360"/>
      <c r="DM360"/>
      <c r="DN360"/>
      <c r="DO360"/>
      <c r="DP360"/>
      <c r="DQ360"/>
      <c r="DR360"/>
      <c r="DS360"/>
      <c r="DT360"/>
      <c r="DU360"/>
      <c r="DV360"/>
      <c r="DW360"/>
      <c r="DX360"/>
      <c r="DY360"/>
      <c r="DZ360"/>
      <c r="EA360"/>
      <c r="EB360"/>
      <c r="EC360"/>
      <c r="ED360"/>
      <c r="EE360"/>
      <c r="EF360"/>
      <c r="EG360"/>
      <c r="EH360"/>
      <c r="EI360"/>
      <c r="EJ360"/>
      <c r="EK360"/>
      <c r="EL360"/>
      <c r="EM360"/>
      <c r="EN360"/>
      <c r="EO360"/>
      <c r="EP360"/>
      <c r="EQ360"/>
      <c r="ER360"/>
      <c r="ES360"/>
      <c r="ET360"/>
      <c r="EU360"/>
      <c r="EV360"/>
      <c r="EW360"/>
      <c r="EX360"/>
      <c r="EY360"/>
      <c r="EZ360"/>
      <c r="FA360"/>
      <c r="FB360"/>
      <c r="FC360"/>
      <c r="FD360"/>
      <c r="FE360"/>
      <c r="FF360"/>
      <c r="FG360"/>
      <c r="FH360"/>
      <c r="FI360"/>
      <c r="FJ360"/>
      <c r="FK360"/>
      <c r="FL360"/>
      <c r="FM360"/>
      <c r="FN360"/>
      <c r="FO360"/>
      <c r="FP360"/>
      <c r="FQ360"/>
      <c r="FR360"/>
      <c r="FS360"/>
      <c r="FT360"/>
      <c r="FU360"/>
      <c r="FV360"/>
      <c r="FW360"/>
      <c r="FX360"/>
      <c r="FY360"/>
      <c r="FZ360"/>
      <c r="GA360"/>
      <c r="GB360"/>
      <c r="GC360"/>
      <c r="GD360"/>
      <c r="GE360"/>
      <c r="GF360"/>
      <c r="GG360"/>
      <c r="GH360"/>
      <c r="GI360"/>
      <c r="GJ360"/>
      <c r="GK360"/>
      <c r="GL360"/>
      <c r="GM360"/>
      <c r="GN360"/>
    </row>
    <row r="361" spans="1:196" ht="40.5" hidden="1" customHeight="1" x14ac:dyDescent="0.3">
      <c r="A361" s="4" t="s">
        <v>25</v>
      </c>
      <c r="B361" s="4" t="s">
        <v>783</v>
      </c>
      <c r="C361" s="15" t="s">
        <v>2461</v>
      </c>
      <c r="D361" s="6" t="s">
        <v>32</v>
      </c>
      <c r="E361" s="4" t="s">
        <v>109</v>
      </c>
      <c r="F361" s="4" t="s">
        <v>109</v>
      </c>
      <c r="G361" s="6" t="s">
        <v>109</v>
      </c>
      <c r="H361" s="6" t="s">
        <v>109</v>
      </c>
      <c r="I361" s="4" t="s">
        <v>109</v>
      </c>
      <c r="J361" s="4" t="s">
        <v>109</v>
      </c>
      <c r="K361" s="4" t="s">
        <v>109</v>
      </c>
      <c r="L361" s="4" t="s">
        <v>109</v>
      </c>
      <c r="M361" s="15" t="s">
        <v>2462</v>
      </c>
      <c r="N361" s="4" t="s">
        <v>2463</v>
      </c>
      <c r="O361" s="15"/>
      <c r="P361" s="4" t="s">
        <v>2464</v>
      </c>
      <c r="S361" s="15" t="e" cm="1">
        <f t="array" aca="1" ref="S361" ca="1">COMMONMARKETCOUNT(H361:AV361)</f>
        <v>#NAME?</v>
      </c>
      <c r="T361" s="6" t="e" cm="1">
        <f t="array" aca="1" ref="T361" ca="1">AUTOMATEDCOUNT(H361:AV361)</f>
        <v>#NAME?</v>
      </c>
      <c r="V361" s="4" t="s">
        <v>109</v>
      </c>
      <c r="W361" s="4" t="s">
        <v>109</v>
      </c>
      <c r="X361" s="4" t="s">
        <v>109</v>
      </c>
      <c r="Y361" s="4" t="s">
        <v>109</v>
      </c>
      <c r="Z361" s="4" t="s">
        <v>109</v>
      </c>
      <c r="AA361" s="4" t="s">
        <v>109</v>
      </c>
      <c r="AB361" s="4" t="s">
        <v>109</v>
      </c>
      <c r="AC361" s="4" t="s">
        <v>109</v>
      </c>
      <c r="AD361" s="4" t="s">
        <v>109</v>
      </c>
      <c r="AE361" s="4" t="s">
        <v>109</v>
      </c>
      <c r="AF361" s="4" t="s">
        <v>109</v>
      </c>
      <c r="AG361" s="4" t="s">
        <v>19</v>
      </c>
      <c r="AH361" s="4" t="s">
        <v>19</v>
      </c>
      <c r="AI361" s="4" t="s">
        <v>109</v>
      </c>
      <c r="AJ361" s="4" t="s">
        <v>109</v>
      </c>
      <c r="AK361" s="18" t="s">
        <v>109</v>
      </c>
      <c r="AL361" s="18" t="s">
        <v>109</v>
      </c>
      <c r="AM361" s="4" t="s">
        <v>109</v>
      </c>
      <c r="AN361" s="4" t="s">
        <v>109</v>
      </c>
      <c r="AO361" s="4" t="s">
        <v>109</v>
      </c>
      <c r="AP361" s="4" t="s">
        <v>109</v>
      </c>
      <c r="AQ361" s="4" t="s">
        <v>109</v>
      </c>
      <c r="AR361" s="4" t="s">
        <v>109</v>
      </c>
      <c r="AS361" s="4" t="s">
        <v>109</v>
      </c>
      <c r="AT361" s="4" t="s">
        <v>109</v>
      </c>
      <c r="AU361" s="4" t="s">
        <v>109</v>
      </c>
      <c r="AV361" s="36"/>
      <c r="AW361"/>
      <c r="AX361"/>
      <c r="AY361"/>
      <c r="AZ361"/>
      <c r="BA361"/>
      <c r="BB361"/>
      <c r="BC361"/>
      <c r="BD361"/>
      <c r="BE361"/>
      <c r="BF361"/>
      <c r="BG361"/>
      <c r="BH361"/>
      <c r="BI361"/>
      <c r="BJ361"/>
      <c r="BK361"/>
      <c r="BL361"/>
      <c r="BM361"/>
      <c r="BN361"/>
      <c r="BO361"/>
      <c r="BP361"/>
      <c r="BQ361"/>
      <c r="BR361"/>
      <c r="BS361"/>
      <c r="BT361"/>
      <c r="BU361"/>
      <c r="BV361"/>
      <c r="BW361"/>
      <c r="BX361"/>
      <c r="BY361"/>
      <c r="BZ361"/>
      <c r="CA361"/>
      <c r="CB361"/>
      <c r="CC361"/>
      <c r="CD361"/>
      <c r="CE361"/>
      <c r="CF361"/>
      <c r="CG361"/>
      <c r="CH361"/>
      <c r="CI361"/>
      <c r="CJ361"/>
      <c r="CK361"/>
      <c r="CL361"/>
      <c r="CM361"/>
      <c r="CN361"/>
      <c r="CO361"/>
      <c r="CP361"/>
      <c r="CQ361"/>
      <c r="CR361"/>
      <c r="CS361"/>
      <c r="CT361"/>
      <c r="CU361"/>
      <c r="CV361"/>
      <c r="CW361"/>
      <c r="CX361"/>
      <c r="CY361"/>
      <c r="CZ361"/>
      <c r="DA361"/>
      <c r="DB361"/>
      <c r="DC361"/>
      <c r="DD361"/>
      <c r="DE361"/>
      <c r="DF361"/>
      <c r="DG361"/>
      <c r="DH361"/>
      <c r="DI361"/>
      <c r="DJ361"/>
      <c r="DK361"/>
      <c r="DL361"/>
      <c r="DM361"/>
      <c r="DN361"/>
      <c r="DO361"/>
      <c r="DP361"/>
      <c r="DQ361"/>
      <c r="DR361"/>
      <c r="DS361"/>
      <c r="DT361"/>
      <c r="DU361"/>
      <c r="DV361"/>
      <c r="DW361"/>
      <c r="DX361"/>
      <c r="DY361"/>
      <c r="DZ361"/>
      <c r="EA361"/>
      <c r="EB361"/>
      <c r="EC361"/>
      <c r="ED361"/>
      <c r="EE361"/>
      <c r="EF361"/>
      <c r="EG361"/>
      <c r="EH361"/>
      <c r="EI361"/>
      <c r="EJ361"/>
      <c r="EK361"/>
      <c r="EL361"/>
      <c r="EM361"/>
      <c r="EN361"/>
      <c r="EO361"/>
      <c r="EP361"/>
      <c r="EQ361"/>
      <c r="ER361"/>
      <c r="ES361"/>
      <c r="ET361"/>
      <c r="EU361"/>
      <c r="EV361"/>
      <c r="EW361"/>
      <c r="EX361"/>
      <c r="EY361"/>
      <c r="EZ361"/>
      <c r="FA361"/>
      <c r="FB361"/>
      <c r="FC361"/>
      <c r="FD361"/>
      <c r="FE361"/>
      <c r="FF361"/>
      <c r="FG361"/>
      <c r="FH361"/>
      <c r="FI361"/>
      <c r="FJ361"/>
      <c r="FK361"/>
      <c r="FL361"/>
      <c r="FM361"/>
      <c r="FN361"/>
      <c r="FO361"/>
      <c r="FP361"/>
      <c r="FQ361"/>
      <c r="FR361"/>
      <c r="FS361"/>
      <c r="FT361"/>
      <c r="FU361"/>
      <c r="FV361"/>
      <c r="FW361"/>
      <c r="FX361"/>
      <c r="FY361"/>
      <c r="FZ361"/>
      <c r="GA361"/>
      <c r="GB361"/>
      <c r="GC361"/>
      <c r="GD361"/>
      <c r="GE361"/>
      <c r="GF361"/>
      <c r="GG361"/>
      <c r="GH361"/>
      <c r="GI361"/>
      <c r="GJ361"/>
      <c r="GK361"/>
      <c r="GL361"/>
      <c r="GM361"/>
      <c r="GN361"/>
    </row>
    <row r="362" spans="1:196" ht="114" hidden="1" customHeight="1" x14ac:dyDescent="0.3">
      <c r="A362" s="4" t="s">
        <v>25</v>
      </c>
      <c r="B362" s="4" t="s">
        <v>783</v>
      </c>
      <c r="C362" s="15" t="s">
        <v>2465</v>
      </c>
      <c r="D362" s="6" t="s">
        <v>32</v>
      </c>
      <c r="E362" s="4" t="s">
        <v>109</v>
      </c>
      <c r="F362" s="4" t="s">
        <v>109</v>
      </c>
      <c r="G362" s="6" t="s">
        <v>109</v>
      </c>
      <c r="H362" s="6" t="s">
        <v>109</v>
      </c>
      <c r="I362" s="4" t="s">
        <v>109</v>
      </c>
      <c r="J362" s="4" t="s">
        <v>109</v>
      </c>
      <c r="K362" s="4" t="s">
        <v>109</v>
      </c>
      <c r="L362" s="4" t="s">
        <v>109</v>
      </c>
      <c r="M362" s="15" t="s">
        <v>2466</v>
      </c>
      <c r="N362" s="4" t="s">
        <v>2467</v>
      </c>
      <c r="O362" s="15"/>
      <c r="P362" s="4" t="s">
        <v>2468</v>
      </c>
      <c r="S362" s="15" t="e" cm="1">
        <f t="array" aca="1" ref="S362" ca="1">COMMONMARKETCOUNT(H362:AV362)</f>
        <v>#NAME?</v>
      </c>
      <c r="T362" s="6" t="e" cm="1">
        <f t="array" aca="1" ref="T362" ca="1">AUTOMATEDCOUNT(H362:AV362)</f>
        <v>#NAME?</v>
      </c>
      <c r="V362" s="4" t="s">
        <v>109</v>
      </c>
      <c r="W362" s="4" t="s">
        <v>109</v>
      </c>
      <c r="X362" s="4" t="s">
        <v>109</v>
      </c>
      <c r="Y362" s="4" t="s">
        <v>109</v>
      </c>
      <c r="Z362" s="4" t="s">
        <v>109</v>
      </c>
      <c r="AA362" s="4" t="s">
        <v>109</v>
      </c>
      <c r="AB362" s="4" t="s">
        <v>109</v>
      </c>
      <c r="AC362" s="4" t="s">
        <v>109</v>
      </c>
      <c r="AD362" s="4" t="s">
        <v>109</v>
      </c>
      <c r="AE362" s="4" t="s">
        <v>109</v>
      </c>
      <c r="AF362" s="4" t="s">
        <v>109</v>
      </c>
      <c r="AG362" s="4" t="s">
        <v>19</v>
      </c>
      <c r="AH362" s="4" t="s">
        <v>19</v>
      </c>
      <c r="AI362" s="4" t="s">
        <v>109</v>
      </c>
      <c r="AJ362" s="4" t="s">
        <v>109</v>
      </c>
      <c r="AK362" s="18" t="s">
        <v>109</v>
      </c>
      <c r="AL362" s="18" t="s">
        <v>109</v>
      </c>
      <c r="AM362" s="4" t="s">
        <v>109</v>
      </c>
      <c r="AN362" s="4" t="s">
        <v>109</v>
      </c>
      <c r="AO362" s="4" t="s">
        <v>109</v>
      </c>
      <c r="AP362" s="4" t="s">
        <v>109</v>
      </c>
      <c r="AQ362" s="4" t="s">
        <v>109</v>
      </c>
      <c r="AR362" s="4" t="s">
        <v>109</v>
      </c>
      <c r="AS362" s="4" t="s">
        <v>109</v>
      </c>
      <c r="AT362" s="4" t="s">
        <v>109</v>
      </c>
      <c r="AU362" s="4" t="s">
        <v>109</v>
      </c>
      <c r="AV362" s="36"/>
      <c r="AW362"/>
      <c r="AX362"/>
      <c r="AY362"/>
      <c r="AZ362"/>
      <c r="BA362"/>
      <c r="BB362"/>
      <c r="BC362"/>
      <c r="BD362"/>
      <c r="BE362"/>
      <c r="BF362"/>
      <c r="BG362"/>
      <c r="BH362"/>
      <c r="BI362"/>
      <c r="BJ362"/>
      <c r="BK362"/>
      <c r="BL362"/>
      <c r="BM362"/>
      <c r="BN362"/>
      <c r="BO362"/>
      <c r="BP362"/>
      <c r="BQ362"/>
      <c r="BR362"/>
      <c r="BS362"/>
      <c r="BT362"/>
      <c r="BU362"/>
      <c r="BV362"/>
      <c r="BW362"/>
      <c r="BX362"/>
      <c r="BY362"/>
      <c r="BZ362"/>
      <c r="CA362"/>
      <c r="CB362"/>
      <c r="CC362"/>
      <c r="CD362"/>
      <c r="CE362"/>
      <c r="CF362"/>
      <c r="CG362"/>
      <c r="CH362"/>
      <c r="CI362"/>
      <c r="CJ362"/>
      <c r="CK362"/>
      <c r="CL362"/>
      <c r="CM362"/>
      <c r="CN362"/>
      <c r="CO362"/>
      <c r="CP362"/>
      <c r="CQ362"/>
      <c r="CR362"/>
      <c r="CS362"/>
      <c r="CT362"/>
      <c r="CU362"/>
      <c r="CV362"/>
      <c r="CW362"/>
      <c r="CX362"/>
      <c r="CY362"/>
      <c r="CZ362"/>
      <c r="DA362"/>
      <c r="DB362"/>
      <c r="DC362"/>
      <c r="DD362"/>
      <c r="DE362"/>
      <c r="DF362"/>
      <c r="DG362"/>
      <c r="DH362"/>
      <c r="DI362"/>
      <c r="DJ362"/>
      <c r="DK362"/>
      <c r="DL362"/>
      <c r="DM362"/>
      <c r="DN362"/>
      <c r="DO362"/>
      <c r="DP362"/>
      <c r="DQ362"/>
      <c r="DR362"/>
      <c r="DS362"/>
      <c r="DT362"/>
      <c r="DU362"/>
      <c r="DV362"/>
      <c r="DW362"/>
      <c r="DX362"/>
      <c r="DY362"/>
      <c r="DZ362"/>
      <c r="EA362"/>
      <c r="EB362"/>
      <c r="EC362"/>
      <c r="ED362"/>
      <c r="EE362"/>
      <c r="EF362"/>
      <c r="EG362"/>
      <c r="EH362"/>
      <c r="EI362"/>
      <c r="EJ362"/>
      <c r="EK362"/>
      <c r="EL362"/>
      <c r="EM362"/>
      <c r="EN362"/>
      <c r="EO362"/>
      <c r="EP362"/>
      <c r="EQ362"/>
      <c r="ER362"/>
      <c r="ES362"/>
      <c r="ET362"/>
      <c r="EU362"/>
      <c r="EV362"/>
      <c r="EW362"/>
      <c r="EX362"/>
      <c r="EY362"/>
      <c r="EZ362"/>
      <c r="FA362"/>
      <c r="FB362"/>
      <c r="FC362"/>
      <c r="FD362"/>
      <c r="FE362"/>
      <c r="FF362"/>
      <c r="FG362"/>
      <c r="FH362"/>
      <c r="FI362"/>
      <c r="FJ362"/>
      <c r="FK362"/>
      <c r="FL362"/>
      <c r="FM362"/>
      <c r="FN362"/>
      <c r="FO362"/>
      <c r="FP362"/>
      <c r="FQ362"/>
      <c r="FR362"/>
      <c r="FS362"/>
      <c r="FT362"/>
      <c r="FU362"/>
      <c r="FV362"/>
      <c r="FW362"/>
      <c r="FX362"/>
      <c r="FY362"/>
      <c r="FZ362"/>
      <c r="GA362"/>
      <c r="GB362"/>
      <c r="GC362"/>
      <c r="GD362"/>
      <c r="GE362"/>
      <c r="GF362"/>
      <c r="GG362"/>
      <c r="GH362"/>
      <c r="GI362"/>
      <c r="GJ362"/>
      <c r="GK362"/>
      <c r="GL362"/>
      <c r="GM362"/>
      <c r="GN362"/>
    </row>
    <row r="363" spans="1:196" ht="96.75" hidden="1" customHeight="1" x14ac:dyDescent="0.3">
      <c r="A363" s="4" t="s">
        <v>25</v>
      </c>
      <c r="B363" s="4" t="s">
        <v>783</v>
      </c>
      <c r="C363" s="15" t="s">
        <v>2469</v>
      </c>
      <c r="D363" s="6" t="s">
        <v>32</v>
      </c>
      <c r="E363" s="4" t="s">
        <v>109</v>
      </c>
      <c r="F363" s="4" t="s">
        <v>109</v>
      </c>
      <c r="G363" s="6" t="s">
        <v>109</v>
      </c>
      <c r="H363" s="6" t="s">
        <v>109</v>
      </c>
      <c r="I363" s="4" t="s">
        <v>109</v>
      </c>
      <c r="J363" s="4" t="s">
        <v>109</v>
      </c>
      <c r="K363" s="4" t="s">
        <v>109</v>
      </c>
      <c r="L363" s="4" t="s">
        <v>109</v>
      </c>
      <c r="M363" s="15" t="s">
        <v>2470</v>
      </c>
      <c r="N363" s="4" t="s">
        <v>2471</v>
      </c>
      <c r="O363" s="15"/>
      <c r="P363" s="4" t="s">
        <v>2472</v>
      </c>
      <c r="S363" s="15" t="e" cm="1">
        <f t="array" aca="1" ref="S363" ca="1">COMMONMARKETCOUNT(H363:AV363)</f>
        <v>#NAME?</v>
      </c>
      <c r="T363" s="6" t="e" cm="1">
        <f t="array" aca="1" ref="T363" ca="1">AUTOMATEDCOUNT(H363:AV363)</f>
        <v>#NAME?</v>
      </c>
      <c r="V363" s="4" t="s">
        <v>109</v>
      </c>
      <c r="W363" s="4" t="s">
        <v>109</v>
      </c>
      <c r="X363" s="4" t="s">
        <v>109</v>
      </c>
      <c r="Y363" s="4" t="s">
        <v>109</v>
      </c>
      <c r="Z363" s="4" t="s">
        <v>109</v>
      </c>
      <c r="AA363" s="4" t="s">
        <v>109</v>
      </c>
      <c r="AB363" s="4" t="s">
        <v>109</v>
      </c>
      <c r="AC363" s="4" t="s">
        <v>109</v>
      </c>
      <c r="AD363" s="4" t="s">
        <v>109</v>
      </c>
      <c r="AE363" s="4" t="s">
        <v>109</v>
      </c>
      <c r="AF363" s="4" t="s">
        <v>109</v>
      </c>
      <c r="AG363" s="4" t="s">
        <v>19</v>
      </c>
      <c r="AH363" s="4" t="s">
        <v>19</v>
      </c>
      <c r="AI363" s="4" t="s">
        <v>109</v>
      </c>
      <c r="AJ363" s="4" t="s">
        <v>109</v>
      </c>
      <c r="AK363" s="18" t="s">
        <v>109</v>
      </c>
      <c r="AL363" s="18" t="s">
        <v>109</v>
      </c>
      <c r="AM363" s="4" t="s">
        <v>109</v>
      </c>
      <c r="AN363" s="4" t="s">
        <v>109</v>
      </c>
      <c r="AO363" s="4" t="s">
        <v>109</v>
      </c>
      <c r="AP363" s="4" t="s">
        <v>109</v>
      </c>
      <c r="AQ363" s="4" t="s">
        <v>109</v>
      </c>
      <c r="AR363" s="4" t="s">
        <v>109</v>
      </c>
      <c r="AS363" s="4" t="s">
        <v>109</v>
      </c>
      <c r="AT363" s="4" t="s">
        <v>109</v>
      </c>
      <c r="AU363" s="4" t="s">
        <v>109</v>
      </c>
      <c r="AV363" s="36"/>
      <c r="AW363"/>
      <c r="AX363"/>
      <c r="AY363"/>
      <c r="AZ363"/>
      <c r="BA363"/>
      <c r="BB363"/>
      <c r="BC363"/>
      <c r="BD363"/>
      <c r="BE363"/>
      <c r="BF363"/>
      <c r="BG363"/>
      <c r="BH363"/>
      <c r="BI363"/>
      <c r="BJ363"/>
      <c r="BK363"/>
      <c r="BL363"/>
      <c r="BM363"/>
      <c r="BN363"/>
      <c r="BO363"/>
      <c r="BP363"/>
      <c r="BQ363"/>
      <c r="BR363"/>
      <c r="BS363"/>
      <c r="BT363"/>
      <c r="BU363"/>
      <c r="BV363"/>
      <c r="BW363"/>
      <c r="BX363"/>
      <c r="BY363"/>
      <c r="BZ363"/>
      <c r="CA363"/>
      <c r="CB363"/>
      <c r="CC363"/>
      <c r="CD363"/>
      <c r="CE363"/>
      <c r="CF363"/>
      <c r="CG363"/>
      <c r="CH363"/>
      <c r="CI363"/>
      <c r="CJ363"/>
      <c r="CK363"/>
      <c r="CL363"/>
      <c r="CM363"/>
      <c r="CN363"/>
      <c r="CO363"/>
      <c r="CP363"/>
      <c r="CQ363"/>
      <c r="CR363"/>
      <c r="CS363"/>
      <c r="CT363"/>
      <c r="CU363"/>
      <c r="CV363"/>
      <c r="CW363"/>
      <c r="CX363"/>
      <c r="CY363"/>
      <c r="CZ363"/>
      <c r="DA363"/>
      <c r="DB363"/>
      <c r="DC363"/>
      <c r="DD363"/>
      <c r="DE363"/>
      <c r="DF363"/>
      <c r="DG363"/>
      <c r="DH363"/>
      <c r="DI363"/>
      <c r="DJ363"/>
      <c r="DK363"/>
      <c r="DL363"/>
      <c r="DM363"/>
      <c r="DN363"/>
      <c r="DO363"/>
      <c r="DP363"/>
      <c r="DQ363"/>
      <c r="DR363"/>
      <c r="DS363"/>
      <c r="DT363"/>
      <c r="DU363"/>
      <c r="DV363"/>
      <c r="DW363"/>
      <c r="DX363"/>
      <c r="DY363"/>
      <c r="DZ363"/>
      <c r="EA363"/>
      <c r="EB363"/>
      <c r="EC363"/>
      <c r="ED363"/>
      <c r="EE363"/>
      <c r="EF363"/>
      <c r="EG363"/>
      <c r="EH363"/>
      <c r="EI363"/>
      <c r="EJ363"/>
      <c r="EK363"/>
      <c r="EL363"/>
      <c r="EM363"/>
      <c r="EN363"/>
      <c r="EO363"/>
      <c r="EP363"/>
      <c r="EQ363"/>
      <c r="ER363"/>
      <c r="ES363"/>
      <c r="ET363"/>
      <c r="EU363"/>
      <c r="EV363"/>
      <c r="EW363"/>
      <c r="EX363"/>
      <c r="EY363"/>
      <c r="EZ363"/>
      <c r="FA363"/>
      <c r="FB363"/>
      <c r="FC363"/>
      <c r="FD363"/>
      <c r="FE363"/>
      <c r="FF363"/>
      <c r="FG363"/>
      <c r="FH363"/>
      <c r="FI363"/>
      <c r="FJ363"/>
      <c r="FK363"/>
      <c r="FL363"/>
      <c r="FM363"/>
      <c r="FN363"/>
      <c r="FO363"/>
      <c r="FP363"/>
      <c r="FQ363"/>
      <c r="FR363"/>
      <c r="FS363"/>
      <c r="FT363"/>
      <c r="FU363"/>
      <c r="FV363"/>
      <c r="FW363"/>
      <c r="FX363"/>
      <c r="FY363"/>
      <c r="FZ363"/>
      <c r="GA363"/>
      <c r="GB363"/>
      <c r="GC363"/>
      <c r="GD363"/>
      <c r="GE363"/>
      <c r="GF363"/>
      <c r="GG363"/>
      <c r="GH363"/>
      <c r="GI363"/>
      <c r="GJ363"/>
      <c r="GK363"/>
      <c r="GL363"/>
      <c r="GM363"/>
      <c r="GN363"/>
    </row>
    <row r="364" spans="1:196" ht="40.5" hidden="1" customHeight="1" x14ac:dyDescent="0.3">
      <c r="A364" s="15" t="s">
        <v>962</v>
      </c>
      <c r="B364" s="15" t="s">
        <v>1159</v>
      </c>
      <c r="C364" s="15" t="s">
        <v>2473</v>
      </c>
      <c r="D364" s="15" t="s">
        <v>32</v>
      </c>
      <c r="E364" s="18" t="s">
        <v>19</v>
      </c>
      <c r="F364" s="18" t="s">
        <v>19</v>
      </c>
      <c r="G364" s="18" t="s">
        <v>19</v>
      </c>
      <c r="H364" s="18" t="s">
        <v>19</v>
      </c>
      <c r="I364" s="18" t="s">
        <v>19</v>
      </c>
      <c r="J364" s="18" t="s">
        <v>19</v>
      </c>
      <c r="K364" s="18" t="s">
        <v>19</v>
      </c>
      <c r="L364" s="18" t="s">
        <v>19</v>
      </c>
      <c r="M364" s="15" t="s">
        <v>2474</v>
      </c>
      <c r="N364" s="4" t="s">
        <v>2475</v>
      </c>
      <c r="O364" s="15"/>
      <c r="P364" s="4" t="s">
        <v>2476</v>
      </c>
      <c r="S364" s="15" t="e" cm="1">
        <f t="array" aca="1" ref="S364" ca="1">COMMONMARKETCOUNT(H364:AV364)</f>
        <v>#NAME?</v>
      </c>
      <c r="T364" s="6" t="e" cm="1">
        <f t="array" aca="1" ref="T364" ca="1">AUTOMATEDCOUNT(H364:AV364)</f>
        <v>#NAME?</v>
      </c>
      <c r="V364" s="18" t="s">
        <v>19</v>
      </c>
      <c r="W364" s="18" t="s">
        <v>19</v>
      </c>
      <c r="X364" s="18" t="s">
        <v>19</v>
      </c>
      <c r="Y364" s="18" t="s">
        <v>19</v>
      </c>
      <c r="Z364" s="18" t="s">
        <v>19</v>
      </c>
      <c r="AA364" s="18" t="s">
        <v>19</v>
      </c>
      <c r="AB364" s="18" t="s">
        <v>19</v>
      </c>
      <c r="AC364" s="18" t="s">
        <v>19</v>
      </c>
      <c r="AD364" s="18" t="s">
        <v>19</v>
      </c>
      <c r="AE364" s="18" t="s">
        <v>19</v>
      </c>
      <c r="AF364" s="18" t="s">
        <v>19</v>
      </c>
      <c r="AG364" s="18" t="s">
        <v>19</v>
      </c>
      <c r="AH364" s="18" t="s">
        <v>19</v>
      </c>
      <c r="AI364" s="18" t="s">
        <v>19</v>
      </c>
      <c r="AJ364" s="18" t="s">
        <v>19</v>
      </c>
      <c r="AK364" s="18" t="s">
        <v>19</v>
      </c>
      <c r="AL364" s="18" t="s">
        <v>19</v>
      </c>
      <c r="AM364" s="18" t="s">
        <v>19</v>
      </c>
      <c r="AN364" s="18" t="s">
        <v>19</v>
      </c>
      <c r="AO364" s="18" t="s">
        <v>19</v>
      </c>
      <c r="AP364" s="18" t="s">
        <v>19</v>
      </c>
      <c r="AQ364" s="18" t="s">
        <v>19</v>
      </c>
      <c r="AR364" s="18" t="s">
        <v>19</v>
      </c>
      <c r="AS364" s="18" t="s">
        <v>19</v>
      </c>
      <c r="AT364" s="18" t="s">
        <v>19</v>
      </c>
      <c r="AU364" s="15" t="s">
        <v>109</v>
      </c>
      <c r="AV364" s="36"/>
    </row>
    <row r="365" spans="1:196" ht="75" customHeight="1" x14ac:dyDescent="0.3">
      <c r="A365" s="15" t="s">
        <v>25</v>
      </c>
      <c r="B365" s="15" t="s">
        <v>1823</v>
      </c>
      <c r="C365" s="15" t="s">
        <v>560</v>
      </c>
      <c r="D365" s="15" t="s">
        <v>19</v>
      </c>
      <c r="E365" s="70" t="s">
        <v>19</v>
      </c>
      <c r="F365" s="70" t="s">
        <v>19</v>
      </c>
      <c r="G365" s="70" t="s">
        <v>19</v>
      </c>
      <c r="H365" s="70" t="s">
        <v>19</v>
      </c>
      <c r="I365" s="72" t="s">
        <v>19</v>
      </c>
      <c r="J365" s="72" t="s">
        <v>19</v>
      </c>
      <c r="K365" s="72" t="s">
        <v>19</v>
      </c>
      <c r="L365" s="72" t="s">
        <v>19</v>
      </c>
      <c r="M365" s="15" t="s">
        <v>561</v>
      </c>
      <c r="N365" s="4" t="s">
        <v>1554</v>
      </c>
      <c r="O365" s="15"/>
      <c r="P365" s="4" t="s">
        <v>1614</v>
      </c>
      <c r="S365" s="15" t="e" cm="1">
        <f t="array" aca="1" ref="S365" ca="1">COMMONMARKETCOUNT(H365:AV365)</f>
        <v>#NAME?</v>
      </c>
      <c r="T365" s="6" t="e" cm="1">
        <f t="array" aca="1" ref="T365" ca="1">AUTOMATEDCOUNT(H365:AV365)</f>
        <v>#NAME?</v>
      </c>
      <c r="V365" s="15" t="s">
        <v>109</v>
      </c>
      <c r="W365" s="15" t="s">
        <v>109</v>
      </c>
      <c r="X365" s="70" t="s">
        <v>19</v>
      </c>
      <c r="Y365" s="70" t="s">
        <v>19</v>
      </c>
      <c r="Z365" s="70" t="s">
        <v>19</v>
      </c>
      <c r="AA365" s="72" t="s">
        <v>19</v>
      </c>
      <c r="AB365" s="72" t="s">
        <v>19</v>
      </c>
      <c r="AC365" s="72" t="s">
        <v>19</v>
      </c>
      <c r="AD365" s="72" t="s">
        <v>19</v>
      </c>
      <c r="AE365" s="18" t="s">
        <v>19</v>
      </c>
      <c r="AF365" s="18" t="s">
        <v>19</v>
      </c>
      <c r="AG365" s="29" t="s">
        <v>19</v>
      </c>
      <c r="AH365" s="18" t="s">
        <v>19</v>
      </c>
      <c r="AI365" s="18" t="s">
        <v>19</v>
      </c>
      <c r="AJ365" s="18" t="s">
        <v>19</v>
      </c>
      <c r="AK365" s="18" t="s">
        <v>19</v>
      </c>
      <c r="AL365" s="18" t="s">
        <v>19</v>
      </c>
      <c r="AM365" s="18" t="s">
        <v>19</v>
      </c>
      <c r="AN365" s="18" t="s">
        <v>19</v>
      </c>
      <c r="AO365" s="18" t="s">
        <v>19</v>
      </c>
      <c r="AP365" s="18" t="s">
        <v>19</v>
      </c>
      <c r="AQ365" s="18" t="s">
        <v>19</v>
      </c>
      <c r="AR365" s="18" t="s">
        <v>19</v>
      </c>
      <c r="AS365" s="70" t="s">
        <v>19</v>
      </c>
      <c r="AT365" s="18" t="s">
        <v>19</v>
      </c>
      <c r="AU365" s="29" t="s">
        <v>3153</v>
      </c>
      <c r="AV365" s="36" t="s">
        <v>19</v>
      </c>
    </row>
    <row r="366" spans="1:196" ht="96.75" hidden="1" customHeight="1" x14ac:dyDescent="0.3">
      <c r="A366" s="15" t="s">
        <v>962</v>
      </c>
      <c r="B366" s="15" t="s">
        <v>1159</v>
      </c>
      <c r="C366" s="15" t="s">
        <v>2477</v>
      </c>
      <c r="D366" s="15" t="s">
        <v>32</v>
      </c>
      <c r="E366" s="18" t="s">
        <v>19</v>
      </c>
      <c r="F366" s="18" t="s">
        <v>19</v>
      </c>
      <c r="G366" s="18" t="s">
        <v>19</v>
      </c>
      <c r="H366" s="18" t="s">
        <v>19</v>
      </c>
      <c r="I366" s="18" t="s">
        <v>19</v>
      </c>
      <c r="J366" s="18" t="s">
        <v>19</v>
      </c>
      <c r="K366" s="18" t="s">
        <v>19</v>
      </c>
      <c r="L366" s="18" t="s">
        <v>19</v>
      </c>
      <c r="M366" s="15" t="s">
        <v>2478</v>
      </c>
      <c r="N366" s="4" t="s">
        <v>2479</v>
      </c>
      <c r="O366" s="15"/>
      <c r="P366" s="4" t="s">
        <v>2480</v>
      </c>
      <c r="S366" s="15" t="e" cm="1">
        <f t="array" aca="1" ref="S366" ca="1">COMMONMARKETCOUNT(H366:AV366)</f>
        <v>#NAME?</v>
      </c>
      <c r="T366" s="6" t="e" cm="1">
        <f t="array" aca="1" ref="T366" ca="1">AUTOMATEDCOUNT(H366:AV366)</f>
        <v>#NAME?</v>
      </c>
      <c r="V366" s="18" t="s">
        <v>19</v>
      </c>
      <c r="W366" s="18" t="s">
        <v>19</v>
      </c>
      <c r="X366" s="18" t="s">
        <v>19</v>
      </c>
      <c r="Y366" s="18" t="s">
        <v>19</v>
      </c>
      <c r="Z366" s="18" t="s">
        <v>19</v>
      </c>
      <c r="AA366" s="18" t="s">
        <v>19</v>
      </c>
      <c r="AB366" s="18" t="s">
        <v>19</v>
      </c>
      <c r="AC366" s="18" t="s">
        <v>19</v>
      </c>
      <c r="AD366" s="18" t="s">
        <v>19</v>
      </c>
      <c r="AE366" s="18" t="s">
        <v>19</v>
      </c>
      <c r="AF366" s="18" t="s">
        <v>19</v>
      </c>
      <c r="AG366" s="18" t="s">
        <v>19</v>
      </c>
      <c r="AH366" s="18" t="s">
        <v>19</v>
      </c>
      <c r="AI366" s="18" t="s">
        <v>19</v>
      </c>
      <c r="AJ366" s="18" t="s">
        <v>19</v>
      </c>
      <c r="AK366" s="18" t="s">
        <v>19</v>
      </c>
      <c r="AL366" s="18" t="s">
        <v>19</v>
      </c>
      <c r="AM366" s="18" t="s">
        <v>19</v>
      </c>
      <c r="AN366" s="18" t="s">
        <v>19</v>
      </c>
      <c r="AO366" s="18" t="s">
        <v>19</v>
      </c>
      <c r="AP366" s="18" t="s">
        <v>19</v>
      </c>
      <c r="AQ366" s="18" t="s">
        <v>19</v>
      </c>
      <c r="AR366" s="18" t="s">
        <v>19</v>
      </c>
      <c r="AS366" s="18" t="s">
        <v>19</v>
      </c>
      <c r="AT366" s="18" t="s">
        <v>19</v>
      </c>
      <c r="AU366" s="15" t="s">
        <v>109</v>
      </c>
      <c r="AV366" s="36"/>
      <c r="AW366"/>
      <c r="AX366"/>
      <c r="AY366"/>
      <c r="AZ366"/>
      <c r="BA366"/>
      <c r="BB366"/>
      <c r="BC366"/>
      <c r="BD366"/>
      <c r="BE366"/>
      <c r="BF366"/>
      <c r="BG366"/>
      <c r="BH366"/>
      <c r="BI366"/>
      <c r="BJ366"/>
      <c r="BK366"/>
      <c r="BL366"/>
      <c r="BM366"/>
      <c r="BN366"/>
      <c r="BO366"/>
      <c r="BP366"/>
      <c r="BQ366"/>
      <c r="BR366"/>
      <c r="BS366"/>
      <c r="BT366"/>
      <c r="BU366"/>
      <c r="BV366"/>
      <c r="BW366"/>
      <c r="BX366"/>
      <c r="BY366"/>
      <c r="BZ366"/>
      <c r="CA366"/>
      <c r="CB366"/>
      <c r="CC366"/>
      <c r="CD366"/>
      <c r="CE366"/>
      <c r="CF366"/>
      <c r="CG366"/>
      <c r="CH366"/>
      <c r="CI366"/>
      <c r="CJ366"/>
      <c r="CK366"/>
      <c r="CL366"/>
      <c r="CM366"/>
      <c r="CN366"/>
      <c r="CO366"/>
      <c r="CP366"/>
      <c r="CQ366"/>
      <c r="CR366"/>
      <c r="CS366"/>
      <c r="CT366"/>
      <c r="CU366"/>
      <c r="CV366"/>
      <c r="CW366"/>
      <c r="CX366"/>
      <c r="CY366"/>
      <c r="CZ366"/>
      <c r="DA366"/>
      <c r="DB366"/>
      <c r="DC366"/>
      <c r="DD366"/>
      <c r="DE366"/>
      <c r="DF366"/>
      <c r="DG366"/>
      <c r="DH366"/>
      <c r="DI366"/>
      <c r="DJ366"/>
      <c r="DK366"/>
      <c r="DL366"/>
      <c r="DM366"/>
      <c r="DN366"/>
      <c r="DO366"/>
      <c r="DP366"/>
      <c r="DQ366"/>
      <c r="DR366"/>
      <c r="DS366"/>
      <c r="DT366"/>
      <c r="DU366"/>
      <c r="DV366"/>
      <c r="DW366"/>
      <c r="DX366"/>
      <c r="DY366"/>
      <c r="DZ366"/>
      <c r="EA366"/>
      <c r="EB366"/>
      <c r="EC366"/>
      <c r="ED366"/>
      <c r="EE366"/>
      <c r="EF366"/>
      <c r="EG366"/>
      <c r="EH366"/>
      <c r="EI366"/>
      <c r="EJ366"/>
      <c r="EK366"/>
      <c r="EL366"/>
      <c r="EM366"/>
      <c r="EN366"/>
      <c r="EO366"/>
      <c r="EP366"/>
      <c r="EQ366"/>
      <c r="ER366"/>
      <c r="ES366"/>
      <c r="ET366"/>
      <c r="EU366"/>
      <c r="EV366"/>
      <c r="EW366"/>
      <c r="EX366"/>
      <c r="EY366"/>
      <c r="EZ366"/>
      <c r="FA366"/>
      <c r="FB366"/>
      <c r="FC366"/>
      <c r="FD366"/>
      <c r="FE366"/>
      <c r="FF366"/>
      <c r="FG366"/>
      <c r="FH366"/>
      <c r="FI366"/>
      <c r="FJ366"/>
      <c r="FK366"/>
      <c r="FL366"/>
      <c r="FM366"/>
      <c r="FN366"/>
      <c r="FO366"/>
      <c r="FP366"/>
      <c r="FQ366"/>
      <c r="FR366"/>
      <c r="FS366"/>
      <c r="FT366"/>
      <c r="FU366"/>
      <c r="FV366"/>
      <c r="FW366"/>
      <c r="FX366"/>
      <c r="FY366"/>
      <c r="FZ366"/>
      <c r="GA366"/>
      <c r="GB366"/>
      <c r="GC366"/>
      <c r="GD366"/>
      <c r="GE366"/>
      <c r="GF366"/>
      <c r="GG366"/>
      <c r="GH366"/>
      <c r="GI366"/>
      <c r="GJ366"/>
      <c r="GK366"/>
      <c r="GL366"/>
      <c r="GM366"/>
      <c r="GN366"/>
    </row>
    <row r="367" spans="1:196" ht="96.75" hidden="1" customHeight="1" x14ac:dyDescent="0.3">
      <c r="A367" s="15" t="s">
        <v>962</v>
      </c>
      <c r="B367" s="15" t="s">
        <v>1159</v>
      </c>
      <c r="C367" s="15" t="s">
        <v>2481</v>
      </c>
      <c r="D367" s="15" t="s">
        <v>32</v>
      </c>
      <c r="E367" s="18" t="s">
        <v>19</v>
      </c>
      <c r="F367" s="18" t="s">
        <v>19</v>
      </c>
      <c r="G367" s="18" t="s">
        <v>19</v>
      </c>
      <c r="H367" s="18" t="s">
        <v>19</v>
      </c>
      <c r="I367" s="18" t="s">
        <v>19</v>
      </c>
      <c r="J367" s="18" t="s">
        <v>19</v>
      </c>
      <c r="K367" s="18" t="s">
        <v>19</v>
      </c>
      <c r="L367" s="18" t="s">
        <v>19</v>
      </c>
      <c r="M367" s="15" t="s">
        <v>2482</v>
      </c>
      <c r="N367" s="4" t="s">
        <v>2483</v>
      </c>
      <c r="O367" s="15"/>
      <c r="P367" s="4" t="s">
        <v>2484</v>
      </c>
      <c r="S367" s="15" t="e" cm="1">
        <f t="array" aca="1" ref="S367" ca="1">COMMONMARKETCOUNT(H367:AV367)</f>
        <v>#NAME?</v>
      </c>
      <c r="T367" s="6" t="e" cm="1">
        <f t="array" aca="1" ref="T367" ca="1">AUTOMATEDCOUNT(H367:AV367)</f>
        <v>#NAME?</v>
      </c>
      <c r="V367" s="18" t="s">
        <v>19</v>
      </c>
      <c r="W367" s="18" t="s">
        <v>19</v>
      </c>
      <c r="X367" s="18" t="s">
        <v>19</v>
      </c>
      <c r="Y367" s="18" t="s">
        <v>19</v>
      </c>
      <c r="Z367" s="18" t="s">
        <v>19</v>
      </c>
      <c r="AA367" s="18" t="s">
        <v>19</v>
      </c>
      <c r="AB367" s="18" t="s">
        <v>19</v>
      </c>
      <c r="AC367" s="18" t="s">
        <v>19</v>
      </c>
      <c r="AD367" s="18" t="s">
        <v>19</v>
      </c>
      <c r="AE367" s="18" t="s">
        <v>19</v>
      </c>
      <c r="AF367" s="18" t="s">
        <v>19</v>
      </c>
      <c r="AG367" s="18" t="s">
        <v>19</v>
      </c>
      <c r="AH367" s="18" t="s">
        <v>19</v>
      </c>
      <c r="AI367" s="18" t="s">
        <v>19</v>
      </c>
      <c r="AJ367" s="18" t="s">
        <v>19</v>
      </c>
      <c r="AK367" s="18" t="s">
        <v>19</v>
      </c>
      <c r="AL367" s="18" t="s">
        <v>19</v>
      </c>
      <c r="AM367" s="18" t="s">
        <v>19</v>
      </c>
      <c r="AN367" s="18" t="s">
        <v>19</v>
      </c>
      <c r="AO367" s="18" t="s">
        <v>19</v>
      </c>
      <c r="AP367" s="18" t="s">
        <v>19</v>
      </c>
      <c r="AQ367" s="18" t="s">
        <v>19</v>
      </c>
      <c r="AR367" s="18" t="s">
        <v>19</v>
      </c>
      <c r="AS367" s="18" t="s">
        <v>19</v>
      </c>
      <c r="AT367" s="18" t="s">
        <v>19</v>
      </c>
      <c r="AU367" s="15" t="s">
        <v>109</v>
      </c>
      <c r="AV367" s="36"/>
    </row>
    <row r="368" spans="1:196" ht="60.75" hidden="1" customHeight="1" x14ac:dyDescent="0.3">
      <c r="A368" s="15" t="s">
        <v>962</v>
      </c>
      <c r="B368" s="15" t="s">
        <v>1159</v>
      </c>
      <c r="C368" s="15" t="s">
        <v>2485</v>
      </c>
      <c r="D368" s="15" t="s">
        <v>32</v>
      </c>
      <c r="E368" s="18" t="s">
        <v>19</v>
      </c>
      <c r="F368" s="18" t="s">
        <v>19</v>
      </c>
      <c r="G368" s="18" t="s">
        <v>19</v>
      </c>
      <c r="H368" s="18" t="s">
        <v>19</v>
      </c>
      <c r="I368" s="18" t="s">
        <v>19</v>
      </c>
      <c r="J368" s="18" t="s">
        <v>19</v>
      </c>
      <c r="K368" s="18" t="s">
        <v>19</v>
      </c>
      <c r="L368" s="18" t="s">
        <v>19</v>
      </c>
      <c r="M368" s="15" t="s">
        <v>2486</v>
      </c>
      <c r="N368" s="4" t="s">
        <v>2487</v>
      </c>
      <c r="O368" s="15"/>
      <c r="P368" s="4" t="s">
        <v>2488</v>
      </c>
      <c r="S368" s="15" t="e" cm="1">
        <f t="array" aca="1" ref="S368" ca="1">COMMONMARKETCOUNT(H368:AV368)</f>
        <v>#NAME?</v>
      </c>
      <c r="T368" s="6" t="e" cm="1">
        <f t="array" aca="1" ref="T368" ca="1">AUTOMATEDCOUNT(H368:AV368)</f>
        <v>#NAME?</v>
      </c>
      <c r="V368" s="18" t="s">
        <v>19</v>
      </c>
      <c r="W368" s="18" t="s">
        <v>19</v>
      </c>
      <c r="X368" s="18" t="s">
        <v>19</v>
      </c>
      <c r="Y368" s="18" t="s">
        <v>19</v>
      </c>
      <c r="Z368" s="18" t="s">
        <v>19</v>
      </c>
      <c r="AA368" s="18" t="s">
        <v>19</v>
      </c>
      <c r="AB368" s="18" t="s">
        <v>19</v>
      </c>
      <c r="AC368" s="18" t="s">
        <v>19</v>
      </c>
      <c r="AD368" s="18" t="s">
        <v>19</v>
      </c>
      <c r="AE368" s="18" t="s">
        <v>19</v>
      </c>
      <c r="AF368" s="18" t="s">
        <v>19</v>
      </c>
      <c r="AG368" s="18" t="s">
        <v>19</v>
      </c>
      <c r="AH368" s="18" t="s">
        <v>19</v>
      </c>
      <c r="AI368" s="18" t="s">
        <v>19</v>
      </c>
      <c r="AJ368" s="18" t="s">
        <v>19</v>
      </c>
      <c r="AK368" s="18" t="s">
        <v>19</v>
      </c>
      <c r="AL368" s="18" t="s">
        <v>19</v>
      </c>
      <c r="AM368" s="18" t="s">
        <v>19</v>
      </c>
      <c r="AN368" s="18" t="s">
        <v>19</v>
      </c>
      <c r="AO368" s="18" t="s">
        <v>19</v>
      </c>
      <c r="AP368" s="18" t="s">
        <v>19</v>
      </c>
      <c r="AQ368" s="18" t="s">
        <v>19</v>
      </c>
      <c r="AR368" s="18" t="s">
        <v>19</v>
      </c>
      <c r="AS368" s="18" t="s">
        <v>19</v>
      </c>
      <c r="AT368" s="18" t="s">
        <v>19</v>
      </c>
      <c r="AU368" s="15" t="s">
        <v>109</v>
      </c>
      <c r="AV368" s="36"/>
    </row>
    <row r="369" spans="1:264" ht="48.75" hidden="1" customHeight="1" x14ac:dyDescent="0.3">
      <c r="A369" s="15" t="s">
        <v>962</v>
      </c>
      <c r="B369" s="15" t="s">
        <v>1159</v>
      </c>
      <c r="C369" s="15" t="s">
        <v>2489</v>
      </c>
      <c r="D369" s="15" t="s">
        <v>32</v>
      </c>
      <c r="E369" s="18" t="s">
        <v>19</v>
      </c>
      <c r="F369" s="18" t="s">
        <v>19</v>
      </c>
      <c r="G369" s="18" t="s">
        <v>19</v>
      </c>
      <c r="H369" s="18" t="s">
        <v>19</v>
      </c>
      <c r="I369" s="18" t="s">
        <v>19</v>
      </c>
      <c r="J369" s="18" t="s">
        <v>19</v>
      </c>
      <c r="K369" s="18" t="s">
        <v>19</v>
      </c>
      <c r="L369" s="18" t="s">
        <v>19</v>
      </c>
      <c r="M369" s="15" t="s">
        <v>2490</v>
      </c>
      <c r="N369" s="4" t="s">
        <v>2491</v>
      </c>
      <c r="O369" s="15"/>
      <c r="P369" s="4" t="s">
        <v>2492</v>
      </c>
      <c r="S369" s="15" t="e" cm="1">
        <f t="array" aca="1" ref="S369" ca="1">COMMONMARKETCOUNT(H369:AV369)</f>
        <v>#NAME?</v>
      </c>
      <c r="T369" s="6" t="e" cm="1">
        <f t="array" aca="1" ref="T369" ca="1">AUTOMATEDCOUNT(H369:AV369)</f>
        <v>#NAME?</v>
      </c>
      <c r="V369" s="18" t="s">
        <v>19</v>
      </c>
      <c r="W369" s="18" t="s">
        <v>19</v>
      </c>
      <c r="X369" s="18" t="s">
        <v>19</v>
      </c>
      <c r="Y369" s="18" t="s">
        <v>19</v>
      </c>
      <c r="Z369" s="18" t="s">
        <v>19</v>
      </c>
      <c r="AA369" s="18" t="s">
        <v>19</v>
      </c>
      <c r="AB369" s="18" t="s">
        <v>19</v>
      </c>
      <c r="AC369" s="18" t="s">
        <v>19</v>
      </c>
      <c r="AD369" s="18" t="s">
        <v>19</v>
      </c>
      <c r="AE369" s="18" t="s">
        <v>19</v>
      </c>
      <c r="AF369" s="18" t="s">
        <v>19</v>
      </c>
      <c r="AG369" s="18" t="s">
        <v>19</v>
      </c>
      <c r="AH369" s="18" t="s">
        <v>19</v>
      </c>
      <c r="AI369" s="18" t="s">
        <v>19</v>
      </c>
      <c r="AJ369" s="18" t="s">
        <v>19</v>
      </c>
      <c r="AK369" s="18" t="s">
        <v>19</v>
      </c>
      <c r="AL369" s="18" t="s">
        <v>19</v>
      </c>
      <c r="AM369" s="18" t="s">
        <v>19</v>
      </c>
      <c r="AN369" s="18" t="s">
        <v>19</v>
      </c>
      <c r="AO369" s="18" t="s">
        <v>19</v>
      </c>
      <c r="AP369" s="18" t="s">
        <v>19</v>
      </c>
      <c r="AQ369" s="18" t="s">
        <v>19</v>
      </c>
      <c r="AR369" s="18" t="s">
        <v>19</v>
      </c>
      <c r="AS369" s="18" t="s">
        <v>19</v>
      </c>
      <c r="AT369" s="18" t="s">
        <v>19</v>
      </c>
      <c r="AU369" s="15" t="s">
        <v>109</v>
      </c>
      <c r="AV369" s="36"/>
    </row>
    <row r="370" spans="1:264" ht="39.75" hidden="1" customHeight="1" x14ac:dyDescent="0.3">
      <c r="A370" s="15" t="s">
        <v>962</v>
      </c>
      <c r="B370" s="15" t="s">
        <v>1159</v>
      </c>
      <c r="C370" s="15" t="s">
        <v>2493</v>
      </c>
      <c r="D370" s="15" t="s">
        <v>32</v>
      </c>
      <c r="E370" s="18" t="s">
        <v>19</v>
      </c>
      <c r="F370" s="18" t="s">
        <v>19</v>
      </c>
      <c r="G370" s="18" t="s">
        <v>19</v>
      </c>
      <c r="H370" s="18" t="s">
        <v>19</v>
      </c>
      <c r="I370" s="18" t="s">
        <v>19</v>
      </c>
      <c r="J370" s="18" t="s">
        <v>19</v>
      </c>
      <c r="K370" s="18" t="s">
        <v>19</v>
      </c>
      <c r="L370" s="18" t="s">
        <v>19</v>
      </c>
      <c r="M370" s="15" t="s">
        <v>2494</v>
      </c>
      <c r="N370" s="4" t="s">
        <v>2495</v>
      </c>
      <c r="O370" s="15"/>
      <c r="P370" s="4" t="s">
        <v>2496</v>
      </c>
      <c r="S370" s="15" t="e" cm="1">
        <f t="array" aca="1" ref="S370" ca="1">COMMONMARKETCOUNT(H370:AV370)</f>
        <v>#NAME?</v>
      </c>
      <c r="T370" s="6" t="e" cm="1">
        <f t="array" aca="1" ref="T370" ca="1">AUTOMATEDCOUNT(H370:AV370)</f>
        <v>#NAME?</v>
      </c>
      <c r="V370" s="18" t="s">
        <v>19</v>
      </c>
      <c r="W370" s="18" t="s">
        <v>19</v>
      </c>
      <c r="X370" s="18" t="s">
        <v>19</v>
      </c>
      <c r="Y370" s="18" t="s">
        <v>19</v>
      </c>
      <c r="Z370" s="18" t="s">
        <v>19</v>
      </c>
      <c r="AA370" s="18" t="s">
        <v>19</v>
      </c>
      <c r="AB370" s="18" t="s">
        <v>19</v>
      </c>
      <c r="AC370" s="18" t="s">
        <v>19</v>
      </c>
      <c r="AD370" s="18" t="s">
        <v>19</v>
      </c>
      <c r="AE370" s="18" t="s">
        <v>19</v>
      </c>
      <c r="AF370" s="18" t="s">
        <v>19</v>
      </c>
      <c r="AG370" s="18" t="s">
        <v>19</v>
      </c>
      <c r="AH370" s="18" t="s">
        <v>19</v>
      </c>
      <c r="AI370" s="18" t="s">
        <v>19</v>
      </c>
      <c r="AJ370" s="18" t="s">
        <v>19</v>
      </c>
      <c r="AK370" s="18" t="s">
        <v>19</v>
      </c>
      <c r="AL370" s="18" t="s">
        <v>19</v>
      </c>
      <c r="AM370" s="18" t="s">
        <v>19</v>
      </c>
      <c r="AN370" s="18" t="s">
        <v>19</v>
      </c>
      <c r="AO370" s="18" t="s">
        <v>19</v>
      </c>
      <c r="AP370" s="18" t="s">
        <v>19</v>
      </c>
      <c r="AQ370" s="18" t="s">
        <v>19</v>
      </c>
      <c r="AR370" s="18" t="s">
        <v>19</v>
      </c>
      <c r="AS370" s="18" t="s">
        <v>19</v>
      </c>
      <c r="AT370" s="18" t="s">
        <v>19</v>
      </c>
      <c r="AU370" s="15" t="s">
        <v>109</v>
      </c>
      <c r="AV370" s="36"/>
    </row>
    <row r="371" spans="1:264" ht="72" hidden="1" customHeight="1" x14ac:dyDescent="0.3">
      <c r="A371" s="15" t="s">
        <v>962</v>
      </c>
      <c r="B371" s="15" t="s">
        <v>919</v>
      </c>
      <c r="C371" s="15" t="s">
        <v>2497</v>
      </c>
      <c r="D371" s="15" t="s">
        <v>32</v>
      </c>
      <c r="E371" s="3" t="s">
        <v>109</v>
      </c>
      <c r="F371" s="3" t="s">
        <v>109</v>
      </c>
      <c r="G371" s="3" t="s">
        <v>109</v>
      </c>
      <c r="H371" s="3" t="s">
        <v>109</v>
      </c>
      <c r="I371" s="3" t="s">
        <v>109</v>
      </c>
      <c r="J371" s="3" t="s">
        <v>109</v>
      </c>
      <c r="K371" s="3" t="s">
        <v>109</v>
      </c>
      <c r="L371" s="3" t="s">
        <v>109</v>
      </c>
      <c r="M371" s="15" t="s">
        <v>2498</v>
      </c>
      <c r="N371" s="4" t="s">
        <v>2499</v>
      </c>
      <c r="O371" s="15"/>
      <c r="P371" s="4">
        <v>0</v>
      </c>
      <c r="S371" s="15" t="e" cm="1">
        <f t="array" aca="1" ref="S371" ca="1">COMMONMARKETCOUNT(H371:AV371)</f>
        <v>#NAME?</v>
      </c>
      <c r="T371" s="6" t="e" cm="1">
        <f t="array" aca="1" ref="T371" ca="1">AUTOMATEDCOUNT(H371:AV371)</f>
        <v>#NAME?</v>
      </c>
      <c r="V371" s="3" t="s">
        <v>109</v>
      </c>
      <c r="W371" s="3" t="s">
        <v>109</v>
      </c>
      <c r="X371" s="3" t="s">
        <v>109</v>
      </c>
      <c r="Y371" s="3" t="s">
        <v>109</v>
      </c>
      <c r="Z371" s="3" t="s">
        <v>109</v>
      </c>
      <c r="AA371" s="3" t="s">
        <v>109</v>
      </c>
      <c r="AB371" s="3" t="s">
        <v>109</v>
      </c>
      <c r="AC371" s="3" t="s">
        <v>109</v>
      </c>
      <c r="AD371" s="3" t="s">
        <v>109</v>
      </c>
      <c r="AE371" s="3" t="s">
        <v>109</v>
      </c>
      <c r="AF371" s="3" t="s">
        <v>109</v>
      </c>
      <c r="AG371" s="3" t="s">
        <v>109</v>
      </c>
      <c r="AH371" s="3" t="s">
        <v>109</v>
      </c>
      <c r="AI371" s="3" t="s">
        <v>109</v>
      </c>
      <c r="AJ371" s="3" t="s">
        <v>19</v>
      </c>
      <c r="AK371" s="3" t="s">
        <v>109</v>
      </c>
      <c r="AL371" s="3" t="s">
        <v>109</v>
      </c>
      <c r="AM371" s="3" t="s">
        <v>109</v>
      </c>
      <c r="AN371" s="3" t="s">
        <v>109</v>
      </c>
      <c r="AO371" s="3" t="s">
        <v>109</v>
      </c>
      <c r="AP371" s="3" t="s">
        <v>109</v>
      </c>
      <c r="AQ371" s="3" t="s">
        <v>109</v>
      </c>
      <c r="AR371" s="3" t="s">
        <v>109</v>
      </c>
      <c r="AS371" s="3" t="s">
        <v>109</v>
      </c>
      <c r="AT371" s="3" t="s">
        <v>109</v>
      </c>
      <c r="AU371" s="3" t="s">
        <v>109</v>
      </c>
      <c r="AV371" s="36"/>
    </row>
    <row r="372" spans="1:264" ht="61.5" hidden="1" customHeight="1" x14ac:dyDescent="0.3">
      <c r="A372" s="15" t="s">
        <v>25</v>
      </c>
      <c r="B372" s="15" t="s">
        <v>37</v>
      </c>
      <c r="C372" s="15" t="s">
        <v>562</v>
      </c>
      <c r="D372" s="15" t="s">
        <v>19</v>
      </c>
      <c r="E372" s="70" t="s">
        <v>19</v>
      </c>
      <c r="F372" s="70" t="s">
        <v>19</v>
      </c>
      <c r="G372" s="70" t="s">
        <v>19</v>
      </c>
      <c r="H372" s="70" t="s">
        <v>3178</v>
      </c>
      <c r="I372" s="72" t="s">
        <v>19</v>
      </c>
      <c r="J372" s="72" t="s">
        <v>19</v>
      </c>
      <c r="K372" s="72" t="s">
        <v>19</v>
      </c>
      <c r="L372" s="72" t="s">
        <v>19</v>
      </c>
      <c r="M372" s="15" t="s">
        <v>563</v>
      </c>
      <c r="N372" s="4" t="s">
        <v>1555</v>
      </c>
      <c r="O372" s="15"/>
      <c r="P372" s="4" t="s">
        <v>3099</v>
      </c>
      <c r="S372" s="15" t="e" cm="1">
        <f t="array" aca="1" ref="S372" ca="1">COMMONMARKETCOUNT(H372:AV372)</f>
        <v>#NAME?</v>
      </c>
      <c r="T372" s="6" t="e" cm="1">
        <f t="array" aca="1" ref="T372" ca="1">AUTOMATEDCOUNT(H372:AV372)</f>
        <v>#NAME?</v>
      </c>
      <c r="V372" s="70" t="s">
        <v>19</v>
      </c>
      <c r="W372" s="70" t="s">
        <v>19</v>
      </c>
      <c r="X372" s="70" t="s">
        <v>19</v>
      </c>
      <c r="Y372" s="70" t="s">
        <v>19</v>
      </c>
      <c r="Z372" s="70" t="s">
        <v>19</v>
      </c>
      <c r="AA372" s="72" t="s">
        <v>19</v>
      </c>
      <c r="AB372" s="72" t="s">
        <v>19</v>
      </c>
      <c r="AC372" s="72" t="s">
        <v>19</v>
      </c>
      <c r="AD372" s="72" t="s">
        <v>19</v>
      </c>
      <c r="AE372" s="18" t="s">
        <v>19</v>
      </c>
      <c r="AF372" s="18" t="s">
        <v>19</v>
      </c>
      <c r="AG372" s="18" t="s">
        <v>19</v>
      </c>
      <c r="AH372" s="18" t="s">
        <v>19</v>
      </c>
      <c r="AI372" s="18" t="s">
        <v>19</v>
      </c>
      <c r="AJ372" s="18" t="s">
        <v>19</v>
      </c>
      <c r="AK372" s="18" t="s">
        <v>19</v>
      </c>
      <c r="AL372" s="18" t="s">
        <v>19</v>
      </c>
      <c r="AM372" s="18" t="s">
        <v>19</v>
      </c>
      <c r="AN372" s="18" t="s">
        <v>19</v>
      </c>
      <c r="AO372" s="18" t="s">
        <v>19</v>
      </c>
      <c r="AP372" s="18" t="s">
        <v>19</v>
      </c>
      <c r="AQ372" s="18" t="s">
        <v>19</v>
      </c>
      <c r="AR372" s="18" t="s">
        <v>19</v>
      </c>
      <c r="AS372" s="70" t="s">
        <v>19</v>
      </c>
      <c r="AT372" s="72" t="s">
        <v>19</v>
      </c>
      <c r="AU372" s="18" t="s">
        <v>3153</v>
      </c>
      <c r="AV372" s="36" t="s">
        <v>19</v>
      </c>
    </row>
    <row r="373" spans="1:264" ht="39.75" hidden="1" customHeight="1" x14ac:dyDescent="0.3">
      <c r="A373" s="15" t="s">
        <v>962</v>
      </c>
      <c r="B373" s="15" t="s">
        <v>919</v>
      </c>
      <c r="C373" s="15" t="s">
        <v>960</v>
      </c>
      <c r="D373" s="15" t="s">
        <v>32</v>
      </c>
      <c r="E373" s="18" t="s">
        <v>19</v>
      </c>
      <c r="F373" s="18" t="s">
        <v>19</v>
      </c>
      <c r="G373" s="18" t="s">
        <v>19</v>
      </c>
      <c r="H373" s="18" t="s">
        <v>19</v>
      </c>
      <c r="I373" s="18" t="s">
        <v>19</v>
      </c>
      <c r="J373" s="18" t="s">
        <v>19</v>
      </c>
      <c r="K373" s="18" t="s">
        <v>19</v>
      </c>
      <c r="L373" s="18" t="s">
        <v>19</v>
      </c>
      <c r="M373" s="15" t="s">
        <v>961</v>
      </c>
      <c r="N373" s="4" t="s">
        <v>1250</v>
      </c>
      <c r="O373" s="15"/>
      <c r="P373" s="4" t="s">
        <v>3100</v>
      </c>
      <c r="S373" s="15" t="e" cm="1">
        <f t="array" aca="1" ref="S373" ca="1">COMMONMARKETCOUNT(H373:AV373)</f>
        <v>#NAME?</v>
      </c>
      <c r="T373" s="6" t="e" cm="1">
        <f t="array" aca="1" ref="T373" ca="1">AUTOMATEDCOUNT(H373:AV373)</f>
        <v>#NAME?</v>
      </c>
      <c r="V373" s="18" t="s">
        <v>19</v>
      </c>
      <c r="W373" s="18" t="s">
        <v>19</v>
      </c>
      <c r="X373" s="18" t="s">
        <v>19</v>
      </c>
      <c r="Y373" s="18" t="s">
        <v>19</v>
      </c>
      <c r="Z373" s="18" t="s">
        <v>19</v>
      </c>
      <c r="AA373" s="18" t="s">
        <v>19</v>
      </c>
      <c r="AB373" s="18" t="s">
        <v>19</v>
      </c>
      <c r="AC373" s="18" t="s">
        <v>19</v>
      </c>
      <c r="AD373" s="18" t="s">
        <v>19</v>
      </c>
      <c r="AE373" s="18" t="s">
        <v>19</v>
      </c>
      <c r="AF373" s="18" t="s">
        <v>19</v>
      </c>
      <c r="AG373" s="18" t="s">
        <v>19</v>
      </c>
      <c r="AH373" s="18" t="s">
        <v>19</v>
      </c>
      <c r="AI373" s="18" t="s">
        <v>19</v>
      </c>
      <c r="AJ373" s="18" t="s">
        <v>19</v>
      </c>
      <c r="AK373" s="18" t="s">
        <v>19</v>
      </c>
      <c r="AL373" s="18" t="s">
        <v>19</v>
      </c>
      <c r="AM373" s="18" t="s">
        <v>19</v>
      </c>
      <c r="AN373" s="18" t="s">
        <v>19</v>
      </c>
      <c r="AO373" s="18" t="s">
        <v>19</v>
      </c>
      <c r="AP373" s="18" t="s">
        <v>19</v>
      </c>
      <c r="AQ373" s="18" t="s">
        <v>19</v>
      </c>
      <c r="AR373" s="18" t="s">
        <v>19</v>
      </c>
      <c r="AS373" s="18" t="s">
        <v>19</v>
      </c>
      <c r="AT373" s="18" t="s">
        <v>19</v>
      </c>
      <c r="AU373" s="15" t="s">
        <v>109</v>
      </c>
      <c r="AV373" s="36" t="s">
        <v>19</v>
      </c>
    </row>
    <row r="374" spans="1:264" ht="54" hidden="1" customHeight="1" x14ac:dyDescent="0.3">
      <c r="A374" s="15" t="s">
        <v>962</v>
      </c>
      <c r="B374" s="15" t="s">
        <v>919</v>
      </c>
      <c r="C374" s="15" t="s">
        <v>564</v>
      </c>
      <c r="D374" s="15" t="s">
        <v>32</v>
      </c>
      <c r="E374" s="18" t="s">
        <v>19</v>
      </c>
      <c r="F374" s="18" t="s">
        <v>19</v>
      </c>
      <c r="G374" s="18" t="s">
        <v>19</v>
      </c>
      <c r="H374" s="18" t="s">
        <v>19</v>
      </c>
      <c r="I374" s="18" t="s">
        <v>19</v>
      </c>
      <c r="J374" s="18" t="s">
        <v>19</v>
      </c>
      <c r="K374" s="18" t="s">
        <v>19</v>
      </c>
      <c r="L374" s="18" t="s">
        <v>19</v>
      </c>
      <c r="M374" s="15" t="s">
        <v>963</v>
      </c>
      <c r="N374" s="4" t="s">
        <v>1251</v>
      </c>
      <c r="O374" s="15"/>
      <c r="P374" s="4" t="s">
        <v>3101</v>
      </c>
      <c r="S374" s="15" t="e" cm="1">
        <f t="array" aca="1" ref="S374" ca="1">COMMONMARKETCOUNT(H374:AV374)</f>
        <v>#NAME?</v>
      </c>
      <c r="T374" s="6" t="e" cm="1">
        <f t="array" aca="1" ref="T374" ca="1">AUTOMATEDCOUNT(H374:AV374)</f>
        <v>#NAME?</v>
      </c>
      <c r="V374" s="18" t="s">
        <v>19</v>
      </c>
      <c r="W374" s="18" t="s">
        <v>19</v>
      </c>
      <c r="X374" s="18" t="s">
        <v>19</v>
      </c>
      <c r="Y374" s="18" t="s">
        <v>19</v>
      </c>
      <c r="Z374" s="18" t="s">
        <v>19</v>
      </c>
      <c r="AA374" s="18" t="s">
        <v>19</v>
      </c>
      <c r="AB374" s="18" t="s">
        <v>19</v>
      </c>
      <c r="AC374" s="18" t="s">
        <v>19</v>
      </c>
      <c r="AD374" s="18" t="s">
        <v>19</v>
      </c>
      <c r="AE374" s="18" t="s">
        <v>19</v>
      </c>
      <c r="AF374" s="18" t="s">
        <v>19</v>
      </c>
      <c r="AG374" s="18" t="s">
        <v>19</v>
      </c>
      <c r="AH374" s="18" t="s">
        <v>19</v>
      </c>
      <c r="AI374" s="18" t="s">
        <v>19</v>
      </c>
      <c r="AJ374" s="18" t="s">
        <v>19</v>
      </c>
      <c r="AK374" s="18" t="s">
        <v>19</v>
      </c>
      <c r="AL374" s="18" t="s">
        <v>19</v>
      </c>
      <c r="AM374" s="18" t="s">
        <v>19</v>
      </c>
      <c r="AN374" s="18" t="s">
        <v>19</v>
      </c>
      <c r="AO374" s="18" t="s">
        <v>19</v>
      </c>
      <c r="AP374" s="18" t="s">
        <v>19</v>
      </c>
      <c r="AQ374" s="18" t="s">
        <v>19</v>
      </c>
      <c r="AR374" s="18" t="s">
        <v>19</v>
      </c>
      <c r="AS374" s="18" t="s">
        <v>19</v>
      </c>
      <c r="AT374" s="18" t="s">
        <v>19</v>
      </c>
      <c r="AU374" s="15" t="s">
        <v>109</v>
      </c>
      <c r="AV374" s="36" t="s">
        <v>19</v>
      </c>
      <c r="AW374" s="40"/>
      <c r="AX374" s="40"/>
      <c r="AY374" s="40"/>
      <c r="AZ374" s="40"/>
      <c r="BA374" s="40"/>
      <c r="BB374" s="40"/>
      <c r="BC374" s="40"/>
      <c r="BD374" s="40"/>
      <c r="BE374" s="40"/>
      <c r="BF374" s="40"/>
      <c r="BG374" s="40"/>
      <c r="BH374" s="40"/>
      <c r="BI374" s="40"/>
      <c r="BJ374" s="40"/>
      <c r="BK374" s="40"/>
      <c r="BL374" s="40"/>
      <c r="BM374" s="40"/>
      <c r="BN374" s="40"/>
      <c r="BO374" s="40"/>
      <c r="BP374" s="40"/>
      <c r="BQ374" s="40"/>
      <c r="BR374" s="40"/>
      <c r="BS374" s="40"/>
      <c r="BT374" s="40"/>
      <c r="BU374" s="40"/>
      <c r="BV374" s="40"/>
      <c r="BW374" s="40"/>
      <c r="BX374" s="40"/>
      <c r="BY374" s="40"/>
      <c r="BZ374" s="40"/>
      <c r="CA374" s="40"/>
      <c r="CB374" s="40"/>
      <c r="CC374" s="40"/>
      <c r="CD374" s="40"/>
      <c r="CE374" s="40"/>
      <c r="CF374" s="40"/>
      <c r="CG374" s="40"/>
      <c r="CH374" s="40"/>
      <c r="CI374" s="40"/>
      <c r="CJ374" s="40"/>
      <c r="CK374" s="40"/>
      <c r="CL374" s="40"/>
      <c r="CM374" s="40"/>
      <c r="CN374" s="40"/>
      <c r="CO374" s="40"/>
      <c r="CP374" s="40"/>
      <c r="CQ374" s="40"/>
      <c r="CR374" s="40"/>
      <c r="CS374" s="40"/>
      <c r="CT374" s="40"/>
      <c r="CU374" s="40"/>
      <c r="CV374" s="40"/>
      <c r="CW374" s="40"/>
      <c r="CX374" s="40"/>
      <c r="CY374" s="40"/>
      <c r="CZ374" s="40"/>
      <c r="DA374" s="40"/>
      <c r="DB374" s="40"/>
      <c r="DC374" s="40"/>
      <c r="DD374" s="40"/>
      <c r="DE374" s="40"/>
      <c r="DF374" s="40"/>
      <c r="DG374" s="40"/>
      <c r="DH374" s="40"/>
      <c r="DI374" s="40"/>
      <c r="DJ374" s="40"/>
      <c r="DK374" s="40"/>
      <c r="DL374" s="40"/>
      <c r="DM374" s="40"/>
      <c r="DN374" s="40"/>
      <c r="DO374" s="40"/>
      <c r="DP374" s="40"/>
      <c r="DQ374" s="40"/>
      <c r="DR374" s="40"/>
      <c r="DS374" s="40"/>
      <c r="DT374" s="40"/>
      <c r="DU374" s="40"/>
      <c r="DV374" s="40"/>
      <c r="DW374" s="40"/>
      <c r="DX374" s="40"/>
      <c r="DY374" s="40"/>
      <c r="DZ374" s="40"/>
      <c r="EA374" s="40"/>
      <c r="EB374" s="40"/>
      <c r="EC374" s="40"/>
      <c r="ED374" s="40"/>
      <c r="EE374" s="40"/>
      <c r="EF374" s="40"/>
      <c r="EG374" s="40"/>
      <c r="EH374" s="40"/>
      <c r="EI374" s="40"/>
      <c r="EJ374" s="40"/>
      <c r="EK374" s="40"/>
      <c r="EL374" s="40"/>
      <c r="EM374" s="40"/>
      <c r="EN374" s="40"/>
      <c r="EO374" s="40"/>
      <c r="EP374" s="40"/>
      <c r="EQ374" s="40"/>
      <c r="ER374" s="40"/>
      <c r="ES374" s="40"/>
      <c r="ET374" s="40"/>
      <c r="EU374" s="40"/>
      <c r="EV374" s="40"/>
      <c r="EW374" s="40"/>
      <c r="EX374" s="40"/>
      <c r="EY374" s="40"/>
      <c r="EZ374" s="40"/>
      <c r="FA374" s="40"/>
      <c r="FB374" s="40"/>
      <c r="FC374" s="40"/>
      <c r="FD374" s="40"/>
      <c r="FE374" s="40"/>
      <c r="FF374" s="40"/>
      <c r="FG374" s="40"/>
      <c r="FH374" s="40"/>
      <c r="FI374" s="40"/>
      <c r="FJ374" s="40"/>
      <c r="FK374" s="40"/>
      <c r="FL374" s="40"/>
      <c r="FM374" s="40"/>
      <c r="FN374" s="40"/>
      <c r="FO374" s="40"/>
      <c r="FP374" s="40"/>
      <c r="FQ374" s="40"/>
      <c r="FR374" s="40"/>
      <c r="FS374" s="40"/>
      <c r="FT374" s="40"/>
      <c r="FU374" s="40"/>
      <c r="FV374" s="40"/>
      <c r="FW374" s="40"/>
      <c r="FX374" s="40"/>
      <c r="FY374" s="40"/>
      <c r="FZ374" s="40"/>
      <c r="GA374" s="40"/>
      <c r="GB374" s="40"/>
      <c r="GC374" s="40"/>
      <c r="GD374" s="40"/>
      <c r="GE374" s="40"/>
      <c r="GF374" s="40"/>
      <c r="GG374" s="40"/>
      <c r="GH374" s="40"/>
      <c r="GI374" s="40"/>
      <c r="GJ374" s="40"/>
      <c r="GK374" s="40"/>
      <c r="GL374" s="40"/>
      <c r="GM374" s="40"/>
      <c r="GN374" s="40"/>
      <c r="GO374" s="40"/>
      <c r="GP374" s="40"/>
      <c r="GQ374" s="40"/>
      <c r="GR374" s="40"/>
      <c r="GS374" s="40"/>
      <c r="GT374" s="40"/>
      <c r="GU374" s="40"/>
      <c r="GV374" s="40"/>
      <c r="GW374" s="40"/>
      <c r="GX374" s="40"/>
      <c r="GY374" s="40"/>
      <c r="GZ374" s="40"/>
      <c r="HA374" s="40"/>
      <c r="HB374" s="40"/>
      <c r="HC374" s="40"/>
      <c r="HD374" s="40"/>
      <c r="HE374" s="40"/>
      <c r="HF374" s="40"/>
      <c r="HG374" s="40"/>
      <c r="HH374" s="40"/>
      <c r="HI374" s="40"/>
      <c r="HJ374" s="40"/>
      <c r="HK374" s="40"/>
      <c r="HL374" s="40"/>
      <c r="HM374" s="40"/>
      <c r="HN374" s="40"/>
      <c r="HO374" s="40"/>
      <c r="HP374" s="40"/>
      <c r="HQ374" s="40"/>
      <c r="HR374" s="40"/>
      <c r="HS374" s="40"/>
      <c r="HT374" s="40"/>
      <c r="HU374" s="40"/>
      <c r="HV374" s="40"/>
      <c r="HW374" s="40"/>
      <c r="HX374" s="40"/>
      <c r="HY374" s="40"/>
      <c r="HZ374" s="40"/>
      <c r="IA374" s="40"/>
      <c r="IB374" s="40"/>
      <c r="IC374" s="40"/>
      <c r="ID374" s="40"/>
      <c r="IE374" s="40"/>
      <c r="IF374" s="40"/>
      <c r="IG374" s="40"/>
      <c r="IH374" s="40"/>
      <c r="II374" s="40"/>
      <c r="IJ374" s="40"/>
      <c r="IK374" s="40"/>
      <c r="IL374" s="40"/>
      <c r="IM374" s="40"/>
      <c r="IN374" s="40"/>
      <c r="IO374" s="40"/>
      <c r="IP374" s="40"/>
      <c r="IQ374" s="40"/>
      <c r="IR374" s="40"/>
      <c r="IS374" s="40"/>
      <c r="IT374" s="40"/>
      <c r="IU374" s="40"/>
      <c r="IV374" s="40"/>
      <c r="IW374" s="40"/>
      <c r="IX374" s="40"/>
      <c r="IY374" s="40"/>
      <c r="IZ374" s="40"/>
      <c r="JA374" s="40"/>
      <c r="JB374" s="40"/>
      <c r="JC374" s="40"/>
      <c r="JD374" s="40"/>
    </row>
    <row r="375" spans="1:264" ht="39.75" hidden="1" customHeight="1" x14ac:dyDescent="0.3">
      <c r="A375" s="15" t="s">
        <v>962</v>
      </c>
      <c r="B375" s="15" t="s">
        <v>919</v>
      </c>
      <c r="C375" s="15" t="s">
        <v>964</v>
      </c>
      <c r="D375" s="15" t="s">
        <v>32</v>
      </c>
      <c r="E375" s="18" t="s">
        <v>19</v>
      </c>
      <c r="F375" s="18" t="s">
        <v>19</v>
      </c>
      <c r="G375" s="18" t="s">
        <v>19</v>
      </c>
      <c r="H375" s="18" t="s">
        <v>19</v>
      </c>
      <c r="I375" s="18" t="s">
        <v>19</v>
      </c>
      <c r="J375" s="18" t="s">
        <v>19</v>
      </c>
      <c r="K375" s="18" t="s">
        <v>19</v>
      </c>
      <c r="L375" s="18" t="s">
        <v>19</v>
      </c>
      <c r="M375" s="15" t="s">
        <v>965</v>
      </c>
      <c r="N375" s="4" t="s">
        <v>1252</v>
      </c>
      <c r="O375" s="15"/>
      <c r="P375" s="4" t="s">
        <v>3102</v>
      </c>
      <c r="S375" s="15" t="e" cm="1">
        <f t="array" aca="1" ref="S375" ca="1">COMMONMARKETCOUNT(H375:AV375)</f>
        <v>#NAME?</v>
      </c>
      <c r="T375" s="6" t="e" cm="1">
        <f t="array" aca="1" ref="T375" ca="1">AUTOMATEDCOUNT(H375:AV375)</f>
        <v>#NAME?</v>
      </c>
      <c r="V375" s="18" t="s">
        <v>19</v>
      </c>
      <c r="W375" s="18" t="s">
        <v>19</v>
      </c>
      <c r="X375" s="18" t="s">
        <v>19</v>
      </c>
      <c r="Y375" s="18" t="s">
        <v>19</v>
      </c>
      <c r="Z375" s="18" t="s">
        <v>19</v>
      </c>
      <c r="AA375" s="18" t="s">
        <v>19</v>
      </c>
      <c r="AB375" s="18" t="s">
        <v>19</v>
      </c>
      <c r="AC375" s="18" t="s">
        <v>19</v>
      </c>
      <c r="AD375" s="18" t="s">
        <v>19</v>
      </c>
      <c r="AE375" s="18" t="s">
        <v>19</v>
      </c>
      <c r="AF375" s="18" t="s">
        <v>19</v>
      </c>
      <c r="AG375" s="18" t="s">
        <v>19</v>
      </c>
      <c r="AH375" s="18" t="s">
        <v>19</v>
      </c>
      <c r="AI375" s="18" t="s">
        <v>19</v>
      </c>
      <c r="AJ375" s="18" t="s">
        <v>19</v>
      </c>
      <c r="AK375" s="18" t="s">
        <v>19</v>
      </c>
      <c r="AL375" s="18" t="s">
        <v>19</v>
      </c>
      <c r="AM375" s="18" t="s">
        <v>19</v>
      </c>
      <c r="AN375" s="18" t="s">
        <v>19</v>
      </c>
      <c r="AO375" s="18" t="s">
        <v>19</v>
      </c>
      <c r="AP375" s="18" t="s">
        <v>19</v>
      </c>
      <c r="AQ375" s="18" t="s">
        <v>19</v>
      </c>
      <c r="AR375" s="18" t="s">
        <v>19</v>
      </c>
      <c r="AS375" s="18" t="s">
        <v>19</v>
      </c>
      <c r="AT375" s="18" t="s">
        <v>19</v>
      </c>
      <c r="AU375" s="15" t="s">
        <v>109</v>
      </c>
      <c r="AV375" s="36" t="s">
        <v>19</v>
      </c>
    </row>
    <row r="376" spans="1:264" ht="39.75" hidden="1" customHeight="1" x14ac:dyDescent="0.3">
      <c r="A376" s="15" t="s">
        <v>962</v>
      </c>
      <c r="B376" s="15" t="s">
        <v>919</v>
      </c>
      <c r="C376" s="15" t="s">
        <v>966</v>
      </c>
      <c r="D376" s="15" t="s">
        <v>32</v>
      </c>
      <c r="E376" s="18" t="s">
        <v>19</v>
      </c>
      <c r="F376" s="18" t="s">
        <v>19</v>
      </c>
      <c r="G376" s="18" t="s">
        <v>19</v>
      </c>
      <c r="H376" s="18" t="s">
        <v>19</v>
      </c>
      <c r="I376" s="18" t="s">
        <v>19</v>
      </c>
      <c r="J376" s="18" t="s">
        <v>19</v>
      </c>
      <c r="K376" s="18" t="s">
        <v>19</v>
      </c>
      <c r="L376" s="18" t="s">
        <v>19</v>
      </c>
      <c r="M376" s="15" t="s">
        <v>967</v>
      </c>
      <c r="N376" s="4" t="s">
        <v>1253</v>
      </c>
      <c r="O376" s="15"/>
      <c r="P376" s="4" t="s">
        <v>3103</v>
      </c>
      <c r="S376" s="15" t="e" cm="1">
        <f t="array" aca="1" ref="S376" ca="1">COMMONMARKETCOUNT(H376:AV376)</f>
        <v>#NAME?</v>
      </c>
      <c r="T376" s="6" t="e" cm="1">
        <f t="array" aca="1" ref="T376" ca="1">AUTOMATEDCOUNT(H376:AV376)</f>
        <v>#NAME?</v>
      </c>
      <c r="V376" s="18" t="s">
        <v>19</v>
      </c>
      <c r="W376" s="18" t="s">
        <v>19</v>
      </c>
      <c r="X376" s="18" t="s">
        <v>19</v>
      </c>
      <c r="Y376" s="18" t="s">
        <v>19</v>
      </c>
      <c r="Z376" s="18" t="s">
        <v>19</v>
      </c>
      <c r="AA376" s="18" t="s">
        <v>19</v>
      </c>
      <c r="AB376" s="18" t="s">
        <v>19</v>
      </c>
      <c r="AC376" s="18" t="s">
        <v>19</v>
      </c>
      <c r="AD376" s="18" t="s">
        <v>19</v>
      </c>
      <c r="AE376" s="18" t="s">
        <v>19</v>
      </c>
      <c r="AF376" s="18" t="s">
        <v>19</v>
      </c>
      <c r="AG376" s="18" t="s">
        <v>19</v>
      </c>
      <c r="AH376" s="18" t="s">
        <v>19</v>
      </c>
      <c r="AI376" s="18" t="s">
        <v>19</v>
      </c>
      <c r="AJ376" s="18" t="s">
        <v>19</v>
      </c>
      <c r="AK376" s="18" t="s">
        <v>19</v>
      </c>
      <c r="AL376" s="18" t="s">
        <v>19</v>
      </c>
      <c r="AM376" s="18" t="s">
        <v>19</v>
      </c>
      <c r="AN376" s="18" t="s">
        <v>19</v>
      </c>
      <c r="AO376" s="18" t="s">
        <v>19</v>
      </c>
      <c r="AP376" s="18" t="s">
        <v>19</v>
      </c>
      <c r="AQ376" s="18" t="s">
        <v>19</v>
      </c>
      <c r="AR376" s="18" t="s">
        <v>19</v>
      </c>
      <c r="AS376" s="18" t="s">
        <v>19</v>
      </c>
      <c r="AT376" s="18" t="s">
        <v>19</v>
      </c>
      <c r="AU376" s="15" t="s">
        <v>109</v>
      </c>
      <c r="AV376" s="36" t="s">
        <v>19</v>
      </c>
    </row>
    <row r="377" spans="1:264" ht="77.25" customHeight="1" x14ac:dyDescent="0.3">
      <c r="A377" s="15" t="s">
        <v>25</v>
      </c>
      <c r="B377" s="15" t="s">
        <v>24</v>
      </c>
      <c r="C377" s="15" t="s">
        <v>565</v>
      </c>
      <c r="D377" s="15" t="s">
        <v>19</v>
      </c>
      <c r="E377" s="70" t="s">
        <v>19</v>
      </c>
      <c r="F377" s="70" t="s">
        <v>19</v>
      </c>
      <c r="G377" s="70" t="s">
        <v>19</v>
      </c>
      <c r="H377" s="70" t="s">
        <v>19</v>
      </c>
      <c r="I377" s="72" t="s">
        <v>19</v>
      </c>
      <c r="J377" s="72" t="s">
        <v>19</v>
      </c>
      <c r="K377" s="72" t="s">
        <v>19</v>
      </c>
      <c r="L377" s="72" t="s">
        <v>19</v>
      </c>
      <c r="M377" s="15" t="s">
        <v>566</v>
      </c>
      <c r="N377" s="4" t="s">
        <v>1556</v>
      </c>
      <c r="O377" s="15"/>
      <c r="P377" s="4" t="s">
        <v>1615</v>
      </c>
      <c r="S377" s="15" t="e" cm="1">
        <f t="array" aca="1" ref="S377" ca="1">COMMONMARKETCOUNT(H377:AV377)</f>
        <v>#NAME?</v>
      </c>
      <c r="T377" s="6" t="e" cm="1">
        <f t="array" aca="1" ref="T377" ca="1">AUTOMATEDCOUNT(H377:AV377)</f>
        <v>#NAME?</v>
      </c>
      <c r="V377" s="70" t="s">
        <v>19</v>
      </c>
      <c r="W377" s="70" t="s">
        <v>19</v>
      </c>
      <c r="X377" s="70" t="s">
        <v>19</v>
      </c>
      <c r="Y377" s="70" t="s">
        <v>19</v>
      </c>
      <c r="Z377" s="70" t="s">
        <v>19</v>
      </c>
      <c r="AA377" s="72" t="s">
        <v>19</v>
      </c>
      <c r="AB377" s="72" t="s">
        <v>19</v>
      </c>
      <c r="AC377" s="72" t="s">
        <v>19</v>
      </c>
      <c r="AD377" s="72" t="s">
        <v>19</v>
      </c>
      <c r="AE377" s="18" t="s">
        <v>19</v>
      </c>
      <c r="AF377" s="18" t="s">
        <v>19</v>
      </c>
      <c r="AG377" s="29" t="s">
        <v>19</v>
      </c>
      <c r="AH377" s="29" t="s">
        <v>19</v>
      </c>
      <c r="AI377" s="18" t="s">
        <v>19</v>
      </c>
      <c r="AJ377" s="18" t="s">
        <v>19</v>
      </c>
      <c r="AK377" s="29" t="s">
        <v>19</v>
      </c>
      <c r="AL377" s="29" t="s">
        <v>19</v>
      </c>
      <c r="AM377" s="18" t="s">
        <v>19</v>
      </c>
      <c r="AN377" s="18" t="s">
        <v>19</v>
      </c>
      <c r="AO377" s="18" t="s">
        <v>19</v>
      </c>
      <c r="AP377" s="18" t="s">
        <v>19</v>
      </c>
      <c r="AQ377" s="18" t="s">
        <v>19</v>
      </c>
      <c r="AR377" s="18" t="s">
        <v>19</v>
      </c>
      <c r="AS377" s="70" t="s">
        <v>19</v>
      </c>
      <c r="AT377" s="72" t="s">
        <v>19</v>
      </c>
      <c r="AU377" s="29" t="s">
        <v>3153</v>
      </c>
      <c r="AV377" s="36" t="s">
        <v>19</v>
      </c>
    </row>
    <row r="378" spans="1:264" ht="108" hidden="1" customHeight="1" x14ac:dyDescent="0.3">
      <c r="A378" s="15" t="s">
        <v>56</v>
      </c>
      <c r="B378" s="15" t="s">
        <v>55</v>
      </c>
      <c r="C378" s="15" t="s">
        <v>1128</v>
      </c>
      <c r="D378" s="15" t="s">
        <v>32</v>
      </c>
      <c r="E378" s="15" t="s">
        <v>19</v>
      </c>
      <c r="F378" s="15" t="s">
        <v>19</v>
      </c>
      <c r="G378" s="15" t="s">
        <v>19</v>
      </c>
      <c r="H378" s="15" t="s">
        <v>19</v>
      </c>
      <c r="I378" s="15" t="s">
        <v>19</v>
      </c>
      <c r="J378" s="15" t="s">
        <v>19</v>
      </c>
      <c r="K378" s="15" t="s">
        <v>19</v>
      </c>
      <c r="L378" s="15" t="s">
        <v>19</v>
      </c>
      <c r="M378" s="15" t="s">
        <v>1046</v>
      </c>
      <c r="N378" s="4" t="s">
        <v>1014</v>
      </c>
      <c r="O378" s="33" t="s">
        <v>1647</v>
      </c>
      <c r="P378" s="4" t="s">
        <v>3104</v>
      </c>
      <c r="S378" s="15" t="e" cm="1">
        <f t="array" aca="1" ref="S378" ca="1">COMMONMARKETCOUNT(H378:AV378)</f>
        <v>#NAME?</v>
      </c>
      <c r="T378" s="6" t="e" cm="1">
        <f t="array" aca="1" ref="T378" ca="1">AUTOMATEDCOUNT(H378:AV378)</f>
        <v>#NAME?</v>
      </c>
      <c r="V378" s="15" t="s">
        <v>19</v>
      </c>
      <c r="W378" s="15" t="s">
        <v>19</v>
      </c>
      <c r="X378" s="15" t="s">
        <v>19</v>
      </c>
      <c r="Y378" s="15" t="s">
        <v>19</v>
      </c>
      <c r="Z378" s="15" t="s">
        <v>19</v>
      </c>
      <c r="AA378" s="15" t="s">
        <v>19</v>
      </c>
      <c r="AB378" s="15" t="s">
        <v>19</v>
      </c>
      <c r="AC378" s="15" t="s">
        <v>19</v>
      </c>
      <c r="AD378" s="18" t="s">
        <v>19</v>
      </c>
      <c r="AE378" s="18" t="s">
        <v>19</v>
      </c>
      <c r="AF378" s="15" t="s">
        <v>19</v>
      </c>
      <c r="AG378" s="15" t="s">
        <v>19</v>
      </c>
      <c r="AH378" s="15" t="s">
        <v>19</v>
      </c>
      <c r="AI378" s="15" t="s">
        <v>19</v>
      </c>
      <c r="AJ378" s="15" t="s">
        <v>19</v>
      </c>
      <c r="AK378" s="15" t="s">
        <v>19</v>
      </c>
      <c r="AL378" s="15" t="s">
        <v>19</v>
      </c>
      <c r="AM378" s="15" t="s">
        <v>19</v>
      </c>
      <c r="AN378" s="15" t="s">
        <v>19</v>
      </c>
      <c r="AO378" s="15" t="s">
        <v>19</v>
      </c>
      <c r="AP378" s="15" t="s">
        <v>19</v>
      </c>
      <c r="AQ378" s="15" t="s">
        <v>19</v>
      </c>
      <c r="AR378" s="15" t="s">
        <v>19</v>
      </c>
      <c r="AS378" s="15" t="s">
        <v>19</v>
      </c>
      <c r="AT378" s="15" t="s">
        <v>19</v>
      </c>
      <c r="AU378" s="18" t="s">
        <v>3153</v>
      </c>
      <c r="AV378" s="36" t="s">
        <v>19</v>
      </c>
    </row>
    <row r="379" spans="1:264" ht="39.75" hidden="1" customHeight="1" x14ac:dyDescent="0.3">
      <c r="A379" s="15" t="s">
        <v>25</v>
      </c>
      <c r="B379" s="15" t="s">
        <v>1159</v>
      </c>
      <c r="C379" s="15" t="s">
        <v>1129</v>
      </c>
      <c r="D379" s="15" t="s">
        <v>32</v>
      </c>
      <c r="E379" s="15" t="s">
        <v>19</v>
      </c>
      <c r="F379" s="15" t="s">
        <v>19</v>
      </c>
      <c r="G379" s="15" t="s">
        <v>19</v>
      </c>
      <c r="H379" s="15" t="s">
        <v>19</v>
      </c>
      <c r="I379" s="15" t="s">
        <v>19</v>
      </c>
      <c r="J379" s="15" t="s">
        <v>19</v>
      </c>
      <c r="K379" s="15" t="s">
        <v>19</v>
      </c>
      <c r="L379" s="15" t="s">
        <v>19</v>
      </c>
      <c r="M379" s="15" t="s">
        <v>1062</v>
      </c>
      <c r="N379" s="4" t="s">
        <v>1019</v>
      </c>
      <c r="O379" s="33" t="s">
        <v>1655</v>
      </c>
      <c r="P379" s="4" t="s">
        <v>1060</v>
      </c>
      <c r="S379" s="15" t="e" cm="1">
        <f t="array" aca="1" ref="S379" ca="1">COMMONMARKETCOUNT(H379:AV379)</f>
        <v>#NAME?</v>
      </c>
      <c r="T379" s="6" t="e" cm="1">
        <f t="array" aca="1" ref="T379" ca="1">AUTOMATEDCOUNT(H379:AV379)</f>
        <v>#NAME?</v>
      </c>
      <c r="V379" s="15" t="s">
        <v>19</v>
      </c>
      <c r="W379" s="15" t="s">
        <v>19</v>
      </c>
      <c r="X379" s="15" t="s">
        <v>19</v>
      </c>
      <c r="Y379" s="15" t="s">
        <v>19</v>
      </c>
      <c r="Z379" s="15" t="s">
        <v>19</v>
      </c>
      <c r="AA379" s="15" t="s">
        <v>19</v>
      </c>
      <c r="AB379" s="15" t="s">
        <v>19</v>
      </c>
      <c r="AC379" s="15" t="s">
        <v>19</v>
      </c>
      <c r="AD379" s="15" t="s">
        <v>19</v>
      </c>
      <c r="AE379" s="15" t="s">
        <v>19</v>
      </c>
      <c r="AF379" s="15" t="s">
        <v>19</v>
      </c>
      <c r="AG379" s="15" t="s">
        <v>19</v>
      </c>
      <c r="AH379" s="15" t="s">
        <v>19</v>
      </c>
      <c r="AI379" s="15" t="s">
        <v>19</v>
      </c>
      <c r="AJ379" s="15" t="s">
        <v>19</v>
      </c>
      <c r="AK379" s="15" t="s">
        <v>19</v>
      </c>
      <c r="AL379" s="15" t="s">
        <v>19</v>
      </c>
      <c r="AM379" s="15" t="s">
        <v>19</v>
      </c>
      <c r="AN379" s="15" t="s">
        <v>19</v>
      </c>
      <c r="AO379" s="15" t="s">
        <v>19</v>
      </c>
      <c r="AP379" s="15" t="s">
        <v>19</v>
      </c>
      <c r="AQ379" s="15" t="s">
        <v>19</v>
      </c>
      <c r="AR379" s="15" t="s">
        <v>19</v>
      </c>
      <c r="AS379" s="15" t="s">
        <v>19</v>
      </c>
      <c r="AT379" s="15" t="s">
        <v>19</v>
      </c>
      <c r="AU379" s="18" t="s">
        <v>3153</v>
      </c>
      <c r="AV379" s="36" t="s">
        <v>19</v>
      </c>
    </row>
    <row r="380" spans="1:264" ht="39.75" hidden="1" customHeight="1" x14ac:dyDescent="0.3">
      <c r="A380" s="15" t="s">
        <v>56</v>
      </c>
      <c r="B380" s="15" t="s">
        <v>17</v>
      </c>
      <c r="C380" s="15" t="s">
        <v>1130</v>
      </c>
      <c r="D380" s="15" t="s">
        <v>32</v>
      </c>
      <c r="E380" s="15" t="s">
        <v>19</v>
      </c>
      <c r="F380" s="15" t="s">
        <v>19</v>
      </c>
      <c r="G380" s="15" t="s">
        <v>19</v>
      </c>
      <c r="H380" s="15" t="s">
        <v>19</v>
      </c>
      <c r="I380" s="15" t="s">
        <v>19</v>
      </c>
      <c r="J380" s="15" t="s">
        <v>19</v>
      </c>
      <c r="K380" s="15" t="s">
        <v>19</v>
      </c>
      <c r="L380" s="15" t="s">
        <v>19</v>
      </c>
      <c r="M380" s="15" t="s">
        <v>1325</v>
      </c>
      <c r="N380" s="4" t="s">
        <v>1751</v>
      </c>
      <c r="O380" s="33" t="s">
        <v>1647</v>
      </c>
      <c r="P380" s="4" t="s">
        <v>3105</v>
      </c>
      <c r="S380" s="15" t="e" cm="1">
        <f t="array" aca="1" ref="S380" ca="1">COMMONMARKETCOUNT(H380:AV380)</f>
        <v>#NAME?</v>
      </c>
      <c r="T380" s="6" t="e" cm="1">
        <f t="array" aca="1" ref="T380" ca="1">AUTOMATEDCOUNT(H380:AV380)</f>
        <v>#NAME?</v>
      </c>
      <c r="V380" s="15" t="s">
        <v>19</v>
      </c>
      <c r="W380" s="15" t="s">
        <v>19</v>
      </c>
      <c r="X380" s="15" t="s">
        <v>19</v>
      </c>
      <c r="Y380" s="15" t="s">
        <v>19</v>
      </c>
      <c r="Z380" s="15" t="s">
        <v>19</v>
      </c>
      <c r="AA380" s="15" t="s">
        <v>19</v>
      </c>
      <c r="AB380" s="15" t="s">
        <v>19</v>
      </c>
      <c r="AC380" s="15" t="s">
        <v>19</v>
      </c>
      <c r="AD380" s="15" t="s">
        <v>19</v>
      </c>
      <c r="AE380" s="15" t="s">
        <v>19</v>
      </c>
      <c r="AF380" s="15" t="s">
        <v>19</v>
      </c>
      <c r="AG380" s="15" t="s">
        <v>19</v>
      </c>
      <c r="AH380" s="15" t="s">
        <v>19</v>
      </c>
      <c r="AI380" s="15" t="s">
        <v>19</v>
      </c>
      <c r="AJ380" s="15" t="s">
        <v>19</v>
      </c>
      <c r="AK380" s="15" t="s">
        <v>19</v>
      </c>
      <c r="AL380" s="15" t="s">
        <v>19</v>
      </c>
      <c r="AM380" s="15" t="s">
        <v>19</v>
      </c>
      <c r="AN380" s="15" t="s">
        <v>19</v>
      </c>
      <c r="AO380" s="15" t="s">
        <v>19</v>
      </c>
      <c r="AP380" s="15" t="s">
        <v>19</v>
      </c>
      <c r="AQ380" s="15" t="s">
        <v>19</v>
      </c>
      <c r="AR380" s="15" t="s">
        <v>19</v>
      </c>
      <c r="AS380" s="15" t="s">
        <v>19</v>
      </c>
      <c r="AT380" s="15" t="s">
        <v>19</v>
      </c>
      <c r="AU380" s="15" t="s">
        <v>3153</v>
      </c>
      <c r="AV380" s="36" t="s">
        <v>19</v>
      </c>
    </row>
    <row r="381" spans="1:264" ht="39.75" hidden="1" customHeight="1" x14ac:dyDescent="0.3">
      <c r="A381" s="15" t="s">
        <v>18</v>
      </c>
      <c r="B381" s="15" t="s">
        <v>17</v>
      </c>
      <c r="C381" s="15" t="s">
        <v>1326</v>
      </c>
      <c r="D381" s="15" t="s">
        <v>32</v>
      </c>
      <c r="E381" s="18" t="s">
        <v>109</v>
      </c>
      <c r="F381" s="18" t="s">
        <v>109</v>
      </c>
      <c r="G381" s="18" t="s">
        <v>109</v>
      </c>
      <c r="H381" s="18" t="s">
        <v>109</v>
      </c>
      <c r="I381" s="18" t="s">
        <v>19</v>
      </c>
      <c r="J381" s="18" t="s">
        <v>19</v>
      </c>
      <c r="K381" s="18" t="s">
        <v>19</v>
      </c>
      <c r="L381" s="18" t="s">
        <v>19</v>
      </c>
      <c r="M381" s="15" t="s">
        <v>943</v>
      </c>
      <c r="N381" s="4" t="s">
        <v>956</v>
      </c>
      <c r="O381" s="33" t="s">
        <v>1647</v>
      </c>
      <c r="P381" s="4" t="s">
        <v>1066</v>
      </c>
      <c r="S381" s="15" t="e" cm="1">
        <f t="array" aca="1" ref="S381" ca="1">COMMONMARKETCOUNT(H381:AV381)</f>
        <v>#NAME?</v>
      </c>
      <c r="T381" s="6" t="e" cm="1">
        <f t="array" aca="1" ref="T381" ca="1">AUTOMATEDCOUNT(H381:AV381)</f>
        <v>#NAME?</v>
      </c>
      <c r="V381" s="18" t="s">
        <v>109</v>
      </c>
      <c r="W381" s="18" t="s">
        <v>109</v>
      </c>
      <c r="X381" s="18" t="s">
        <v>109</v>
      </c>
      <c r="Y381" s="18" t="s">
        <v>109</v>
      </c>
      <c r="Z381" s="18" t="s">
        <v>109</v>
      </c>
      <c r="AA381" s="18" t="s">
        <v>19</v>
      </c>
      <c r="AB381" s="18" t="s">
        <v>19</v>
      </c>
      <c r="AC381" s="18" t="s">
        <v>19</v>
      </c>
      <c r="AD381" s="15" t="s">
        <v>19</v>
      </c>
      <c r="AE381" s="15" t="s">
        <v>19</v>
      </c>
      <c r="AF381" s="15" t="s">
        <v>109</v>
      </c>
      <c r="AG381" s="18" t="s">
        <v>109</v>
      </c>
      <c r="AH381" s="18" t="s">
        <v>109</v>
      </c>
      <c r="AI381" s="18" t="s">
        <v>109</v>
      </c>
      <c r="AJ381" s="18" t="s">
        <v>109</v>
      </c>
      <c r="AK381" s="18" t="s">
        <v>109</v>
      </c>
      <c r="AL381" s="18" t="s">
        <v>109</v>
      </c>
      <c r="AM381" s="18" t="s">
        <v>109</v>
      </c>
      <c r="AN381" s="18" t="s">
        <v>109</v>
      </c>
      <c r="AO381" s="18" t="s">
        <v>109</v>
      </c>
      <c r="AP381" s="18" t="s">
        <v>109</v>
      </c>
      <c r="AQ381" s="18" t="s">
        <v>109</v>
      </c>
      <c r="AR381" s="18" t="s">
        <v>109</v>
      </c>
      <c r="AS381" s="18" t="s">
        <v>109</v>
      </c>
      <c r="AT381" s="18" t="s">
        <v>109</v>
      </c>
      <c r="AU381" s="18" t="s">
        <v>109</v>
      </c>
      <c r="AV381" s="36"/>
    </row>
    <row r="382" spans="1:264" ht="78.75" hidden="1" customHeight="1" x14ac:dyDescent="0.3">
      <c r="A382" s="15" t="s">
        <v>18</v>
      </c>
      <c r="B382" s="15" t="s">
        <v>17</v>
      </c>
      <c r="C382" s="15" t="s">
        <v>1131</v>
      </c>
      <c r="D382" s="15" t="s">
        <v>32</v>
      </c>
      <c r="E382" s="18" t="s">
        <v>109</v>
      </c>
      <c r="F382" s="18" t="s">
        <v>109</v>
      </c>
      <c r="G382" s="18" t="s">
        <v>109</v>
      </c>
      <c r="H382" s="18" t="s">
        <v>109</v>
      </c>
      <c r="I382" s="18" t="s">
        <v>19</v>
      </c>
      <c r="J382" s="18" t="s">
        <v>19</v>
      </c>
      <c r="K382" s="18" t="s">
        <v>19</v>
      </c>
      <c r="L382" s="18" t="s">
        <v>19</v>
      </c>
      <c r="M382" s="15" t="s">
        <v>1048</v>
      </c>
      <c r="N382" s="4" t="s">
        <v>1063</v>
      </c>
      <c r="O382" s="33" t="s">
        <v>1647</v>
      </c>
      <c r="P382" s="4" t="s">
        <v>1064</v>
      </c>
      <c r="S382" s="15" t="e" cm="1">
        <f t="array" aca="1" ref="S382" ca="1">COMMONMARKETCOUNT(H382:AV382)</f>
        <v>#NAME?</v>
      </c>
      <c r="T382" s="6" t="e" cm="1">
        <f t="array" aca="1" ref="T382" ca="1">AUTOMATEDCOUNT(H382:AV382)</f>
        <v>#NAME?</v>
      </c>
      <c r="V382" s="18" t="s">
        <v>109</v>
      </c>
      <c r="W382" s="18" t="s">
        <v>109</v>
      </c>
      <c r="X382" s="18" t="s">
        <v>109</v>
      </c>
      <c r="Y382" s="18" t="s">
        <v>109</v>
      </c>
      <c r="Z382" s="18" t="s">
        <v>109</v>
      </c>
      <c r="AA382" s="18" t="s">
        <v>19</v>
      </c>
      <c r="AB382" s="18" t="s">
        <v>19</v>
      </c>
      <c r="AC382" s="18" t="s">
        <v>19</v>
      </c>
      <c r="AD382" s="18" t="s">
        <v>19</v>
      </c>
      <c r="AE382" s="18" t="s">
        <v>19</v>
      </c>
      <c r="AF382" s="15" t="s">
        <v>109</v>
      </c>
      <c r="AG382" s="18" t="s">
        <v>109</v>
      </c>
      <c r="AH382" s="18" t="s">
        <v>109</v>
      </c>
      <c r="AI382" s="18" t="s">
        <v>109</v>
      </c>
      <c r="AJ382" s="18" t="s">
        <v>109</v>
      </c>
      <c r="AK382" s="18" t="s">
        <v>109</v>
      </c>
      <c r="AL382" s="18" t="s">
        <v>109</v>
      </c>
      <c r="AM382" s="18" t="s">
        <v>109</v>
      </c>
      <c r="AN382" s="18" t="s">
        <v>109</v>
      </c>
      <c r="AO382" s="18" t="s">
        <v>109</v>
      </c>
      <c r="AP382" s="18" t="s">
        <v>109</v>
      </c>
      <c r="AQ382" s="18" t="s">
        <v>109</v>
      </c>
      <c r="AR382" s="18" t="s">
        <v>109</v>
      </c>
      <c r="AS382" s="18" t="s">
        <v>109</v>
      </c>
      <c r="AT382" s="18" t="s">
        <v>109</v>
      </c>
      <c r="AU382" s="18" t="s">
        <v>109</v>
      </c>
      <c r="AV382" s="36"/>
    </row>
    <row r="383" spans="1:264" ht="39.75" hidden="1" customHeight="1" x14ac:dyDescent="0.3">
      <c r="A383" s="15" t="s">
        <v>18</v>
      </c>
      <c r="B383" s="15" t="s">
        <v>17</v>
      </c>
      <c r="C383" s="15" t="s">
        <v>1132</v>
      </c>
      <c r="D383" s="15" t="s">
        <v>32</v>
      </c>
      <c r="E383" s="18" t="s">
        <v>109</v>
      </c>
      <c r="F383" s="18" t="s">
        <v>109</v>
      </c>
      <c r="G383" s="18" t="s">
        <v>109</v>
      </c>
      <c r="H383" s="18" t="s">
        <v>109</v>
      </c>
      <c r="I383" s="18" t="s">
        <v>19</v>
      </c>
      <c r="J383" s="18" t="s">
        <v>19</v>
      </c>
      <c r="K383" s="18" t="s">
        <v>19</v>
      </c>
      <c r="L383" s="18" t="s">
        <v>19</v>
      </c>
      <c r="M383" s="15" t="s">
        <v>1074</v>
      </c>
      <c r="N383" s="4" t="s">
        <v>1016</v>
      </c>
      <c r="O383" s="33" t="s">
        <v>1647</v>
      </c>
      <c r="P383" s="4" t="s">
        <v>1073</v>
      </c>
      <c r="S383" s="15" t="e" cm="1">
        <f t="array" aca="1" ref="S383" ca="1">COMMONMARKETCOUNT(H383:AV383)</f>
        <v>#NAME?</v>
      </c>
      <c r="T383" s="6" t="e" cm="1">
        <f t="array" aca="1" ref="T383" ca="1">AUTOMATEDCOUNT(H383:AV383)</f>
        <v>#NAME?</v>
      </c>
      <c r="V383" s="18" t="s">
        <v>109</v>
      </c>
      <c r="W383" s="18" t="s">
        <v>109</v>
      </c>
      <c r="X383" s="18" t="s">
        <v>109</v>
      </c>
      <c r="Y383" s="18" t="s">
        <v>109</v>
      </c>
      <c r="Z383" s="18" t="s">
        <v>109</v>
      </c>
      <c r="AA383" s="18" t="s">
        <v>19</v>
      </c>
      <c r="AB383" s="18" t="s">
        <v>19</v>
      </c>
      <c r="AC383" s="18" t="s">
        <v>19</v>
      </c>
      <c r="AD383" s="18" t="s">
        <v>19</v>
      </c>
      <c r="AE383" s="18" t="s">
        <v>19</v>
      </c>
      <c r="AF383" s="15" t="s">
        <v>109</v>
      </c>
      <c r="AG383" s="18" t="s">
        <v>109</v>
      </c>
      <c r="AH383" s="18" t="s">
        <v>109</v>
      </c>
      <c r="AI383" s="18" t="s">
        <v>109</v>
      </c>
      <c r="AJ383" s="18" t="s">
        <v>109</v>
      </c>
      <c r="AK383" s="18" t="s">
        <v>109</v>
      </c>
      <c r="AL383" s="18" t="s">
        <v>109</v>
      </c>
      <c r="AM383" s="18" t="s">
        <v>109</v>
      </c>
      <c r="AN383" s="18" t="s">
        <v>109</v>
      </c>
      <c r="AO383" s="18" t="s">
        <v>109</v>
      </c>
      <c r="AP383" s="18" t="s">
        <v>109</v>
      </c>
      <c r="AQ383" s="18" t="s">
        <v>109</v>
      </c>
      <c r="AR383" s="18" t="s">
        <v>109</v>
      </c>
      <c r="AS383" s="18" t="s">
        <v>109</v>
      </c>
      <c r="AT383" s="18" t="s">
        <v>109</v>
      </c>
      <c r="AU383" s="18" t="s">
        <v>109</v>
      </c>
      <c r="AV383" s="36" t="s">
        <v>109</v>
      </c>
    </row>
    <row r="384" spans="1:264" ht="39.75" hidden="1" customHeight="1" x14ac:dyDescent="0.3">
      <c r="A384" s="15" t="s">
        <v>18</v>
      </c>
      <c r="B384" s="15" t="s">
        <v>17</v>
      </c>
      <c r="C384" s="15" t="s">
        <v>1133</v>
      </c>
      <c r="D384" s="15" t="s">
        <v>32</v>
      </c>
      <c r="E384" s="18" t="s">
        <v>109</v>
      </c>
      <c r="F384" s="18" t="s">
        <v>109</v>
      </c>
      <c r="G384" s="18" t="s">
        <v>109</v>
      </c>
      <c r="H384" s="18" t="s">
        <v>109</v>
      </c>
      <c r="I384" s="18" t="s">
        <v>19</v>
      </c>
      <c r="J384" s="18" t="s">
        <v>19</v>
      </c>
      <c r="K384" s="18" t="s">
        <v>19</v>
      </c>
      <c r="L384" s="18" t="s">
        <v>19</v>
      </c>
      <c r="M384" s="15" t="s">
        <v>944</v>
      </c>
      <c r="N384" s="4" t="s">
        <v>957</v>
      </c>
      <c r="O384" s="33" t="s">
        <v>1647</v>
      </c>
      <c r="P384" s="4" t="s">
        <v>1067</v>
      </c>
      <c r="S384" s="15" t="e" cm="1">
        <f t="array" aca="1" ref="S384" ca="1">COMMONMARKETCOUNT(H384:AV384)</f>
        <v>#NAME?</v>
      </c>
      <c r="T384" s="6" t="e" cm="1">
        <f t="array" aca="1" ref="T384" ca="1">AUTOMATEDCOUNT(H384:AV384)</f>
        <v>#NAME?</v>
      </c>
      <c r="V384" s="18" t="s">
        <v>109</v>
      </c>
      <c r="W384" s="18" t="s">
        <v>109</v>
      </c>
      <c r="X384" s="18" t="s">
        <v>109</v>
      </c>
      <c r="Y384" s="18" t="s">
        <v>109</v>
      </c>
      <c r="Z384" s="18" t="s">
        <v>109</v>
      </c>
      <c r="AA384" s="18" t="s">
        <v>19</v>
      </c>
      <c r="AB384" s="18" t="s">
        <v>19</v>
      </c>
      <c r="AC384" s="18" t="s">
        <v>19</v>
      </c>
      <c r="AD384" s="18" t="s">
        <v>19</v>
      </c>
      <c r="AE384" s="18" t="s">
        <v>19</v>
      </c>
      <c r="AF384" s="15" t="s">
        <v>109</v>
      </c>
      <c r="AG384" s="18" t="s">
        <v>109</v>
      </c>
      <c r="AH384" s="18" t="s">
        <v>109</v>
      </c>
      <c r="AI384" s="18" t="s">
        <v>109</v>
      </c>
      <c r="AJ384" s="18" t="s">
        <v>109</v>
      </c>
      <c r="AK384" s="18" t="s">
        <v>109</v>
      </c>
      <c r="AL384" s="18" t="s">
        <v>109</v>
      </c>
      <c r="AM384" s="18" t="s">
        <v>109</v>
      </c>
      <c r="AN384" s="18" t="s">
        <v>109</v>
      </c>
      <c r="AO384" s="18" t="s">
        <v>109</v>
      </c>
      <c r="AP384" s="18" t="s">
        <v>109</v>
      </c>
      <c r="AQ384" s="18" t="s">
        <v>109</v>
      </c>
      <c r="AR384" s="18" t="s">
        <v>109</v>
      </c>
      <c r="AS384" s="18" t="s">
        <v>109</v>
      </c>
      <c r="AT384" s="18" t="s">
        <v>109</v>
      </c>
      <c r="AU384" s="18" t="s">
        <v>109</v>
      </c>
      <c r="AV384" s="36"/>
    </row>
    <row r="385" spans="1:48" ht="39.75" hidden="1" customHeight="1" x14ac:dyDescent="0.3">
      <c r="A385" s="15" t="s">
        <v>18</v>
      </c>
      <c r="B385" s="15" t="s">
        <v>17</v>
      </c>
      <c r="C385" s="15" t="s">
        <v>1134</v>
      </c>
      <c r="D385" s="15" t="s">
        <v>32</v>
      </c>
      <c r="E385" s="18" t="s">
        <v>109</v>
      </c>
      <c r="F385" s="18" t="s">
        <v>109</v>
      </c>
      <c r="G385" s="18" t="s">
        <v>109</v>
      </c>
      <c r="H385" s="18" t="s">
        <v>109</v>
      </c>
      <c r="I385" s="18" t="s">
        <v>19</v>
      </c>
      <c r="J385" s="18" t="s">
        <v>19</v>
      </c>
      <c r="K385" s="18" t="s">
        <v>19</v>
      </c>
      <c r="L385" s="18" t="s">
        <v>19</v>
      </c>
      <c r="M385" s="15" t="s">
        <v>2343</v>
      </c>
      <c r="N385" s="4" t="s">
        <v>1858</v>
      </c>
      <c r="O385" s="33" t="s">
        <v>1647</v>
      </c>
      <c r="P385" s="4" t="s">
        <v>1083</v>
      </c>
      <c r="S385" s="15" t="e" cm="1">
        <f t="array" aca="1" ref="S385" ca="1">COMMONMARKETCOUNT(H385:AV385)</f>
        <v>#NAME?</v>
      </c>
      <c r="T385" s="6" t="e" cm="1">
        <f t="array" aca="1" ref="T385" ca="1">AUTOMATEDCOUNT(H385:AV385)</f>
        <v>#NAME?</v>
      </c>
      <c r="V385" s="18" t="s">
        <v>109</v>
      </c>
      <c r="W385" s="18" t="s">
        <v>109</v>
      </c>
      <c r="X385" s="18" t="s">
        <v>109</v>
      </c>
      <c r="Y385" s="18" t="s">
        <v>109</v>
      </c>
      <c r="Z385" s="18" t="s">
        <v>109</v>
      </c>
      <c r="AA385" s="18" t="s">
        <v>19</v>
      </c>
      <c r="AB385" s="18" t="s">
        <v>19</v>
      </c>
      <c r="AC385" s="18" t="s">
        <v>19</v>
      </c>
      <c r="AD385" s="18" t="s">
        <v>19</v>
      </c>
      <c r="AE385" s="18" t="s">
        <v>19</v>
      </c>
      <c r="AF385" s="15" t="s">
        <v>109</v>
      </c>
      <c r="AG385" s="18" t="s">
        <v>109</v>
      </c>
      <c r="AH385" s="18" t="s">
        <v>109</v>
      </c>
      <c r="AI385" s="18" t="s">
        <v>109</v>
      </c>
      <c r="AJ385" s="18" t="s">
        <v>109</v>
      </c>
      <c r="AK385" s="18" t="s">
        <v>109</v>
      </c>
      <c r="AL385" s="18" t="s">
        <v>109</v>
      </c>
      <c r="AM385" s="18" t="s">
        <v>109</v>
      </c>
      <c r="AN385" s="18" t="s">
        <v>109</v>
      </c>
      <c r="AO385" s="18" t="s">
        <v>109</v>
      </c>
      <c r="AP385" s="18" t="s">
        <v>109</v>
      </c>
      <c r="AQ385" s="18" t="s">
        <v>109</v>
      </c>
      <c r="AR385" s="18" t="s">
        <v>109</v>
      </c>
      <c r="AS385" s="18" t="s">
        <v>109</v>
      </c>
      <c r="AT385" s="18" t="s">
        <v>109</v>
      </c>
      <c r="AU385" s="18" t="s">
        <v>109</v>
      </c>
      <c r="AV385" s="36"/>
    </row>
    <row r="386" spans="1:48" ht="39.75" hidden="1" customHeight="1" x14ac:dyDescent="0.3">
      <c r="A386" s="15" t="s">
        <v>18</v>
      </c>
      <c r="B386" s="15" t="s">
        <v>1302</v>
      </c>
      <c r="C386" s="15" t="s">
        <v>1135</v>
      </c>
      <c r="D386" s="15" t="s">
        <v>32</v>
      </c>
      <c r="E386" s="18" t="s">
        <v>109</v>
      </c>
      <c r="F386" s="18" t="s">
        <v>109</v>
      </c>
      <c r="G386" s="18" t="s">
        <v>109</v>
      </c>
      <c r="H386" s="18" t="s">
        <v>109</v>
      </c>
      <c r="I386" s="18" t="s">
        <v>19</v>
      </c>
      <c r="J386" s="18" t="s">
        <v>19</v>
      </c>
      <c r="K386" s="18" t="s">
        <v>19</v>
      </c>
      <c r="L386" s="18" t="s">
        <v>19</v>
      </c>
      <c r="M386" s="15" t="s">
        <v>2344</v>
      </c>
      <c r="N386" s="4" t="s">
        <v>959</v>
      </c>
      <c r="O386" s="33" t="s">
        <v>1647</v>
      </c>
      <c r="P386" s="4" t="s">
        <v>1084</v>
      </c>
      <c r="S386" s="15" t="e" cm="1">
        <f t="array" aca="1" ref="S386" ca="1">COMMONMARKETCOUNT(H386:AV386)</f>
        <v>#NAME?</v>
      </c>
      <c r="T386" s="6" t="e" cm="1">
        <f t="array" aca="1" ref="T386" ca="1">AUTOMATEDCOUNT(H386:AV386)</f>
        <v>#NAME?</v>
      </c>
      <c r="V386" s="18" t="s">
        <v>109</v>
      </c>
      <c r="W386" s="18" t="s">
        <v>109</v>
      </c>
      <c r="X386" s="18" t="s">
        <v>109</v>
      </c>
      <c r="Y386" s="18" t="s">
        <v>109</v>
      </c>
      <c r="Z386" s="18" t="s">
        <v>109</v>
      </c>
      <c r="AA386" s="18" t="s">
        <v>19</v>
      </c>
      <c r="AB386" s="18" t="s">
        <v>19</v>
      </c>
      <c r="AC386" s="18" t="s">
        <v>19</v>
      </c>
      <c r="AD386" s="18" t="s">
        <v>19</v>
      </c>
      <c r="AE386" s="18" t="s">
        <v>19</v>
      </c>
      <c r="AF386" s="15" t="s">
        <v>109</v>
      </c>
      <c r="AG386" s="18" t="s">
        <v>109</v>
      </c>
      <c r="AH386" s="18" t="s">
        <v>109</v>
      </c>
      <c r="AI386" s="18" t="s">
        <v>109</v>
      </c>
      <c r="AJ386" s="18" t="s">
        <v>109</v>
      </c>
      <c r="AK386" s="18" t="s">
        <v>109</v>
      </c>
      <c r="AL386" s="18" t="s">
        <v>109</v>
      </c>
      <c r="AM386" s="18" t="s">
        <v>109</v>
      </c>
      <c r="AN386" s="18" t="s">
        <v>109</v>
      </c>
      <c r="AO386" s="18" t="s">
        <v>109</v>
      </c>
      <c r="AP386" s="18" t="s">
        <v>109</v>
      </c>
      <c r="AQ386" s="18" t="s">
        <v>109</v>
      </c>
      <c r="AR386" s="18" t="s">
        <v>109</v>
      </c>
      <c r="AS386" s="18" t="s">
        <v>109</v>
      </c>
      <c r="AT386" s="18" t="s">
        <v>109</v>
      </c>
      <c r="AU386" s="18" t="s">
        <v>109</v>
      </c>
      <c r="AV386" s="36" t="s">
        <v>109</v>
      </c>
    </row>
    <row r="387" spans="1:48" ht="80.25" hidden="1" customHeight="1" x14ac:dyDescent="0.3">
      <c r="A387" s="15" t="s">
        <v>25</v>
      </c>
      <c r="B387" s="15" t="s">
        <v>24</v>
      </c>
      <c r="C387" s="15" t="s">
        <v>1136</v>
      </c>
      <c r="D387" s="15" t="s">
        <v>32</v>
      </c>
      <c r="E387" s="15" t="s">
        <v>19</v>
      </c>
      <c r="F387" s="15" t="s">
        <v>19</v>
      </c>
      <c r="G387" s="15" t="s">
        <v>19</v>
      </c>
      <c r="H387" s="15" t="s">
        <v>19</v>
      </c>
      <c r="I387" s="15" t="s">
        <v>19</v>
      </c>
      <c r="J387" s="15" t="s">
        <v>19</v>
      </c>
      <c r="K387" s="15" t="s">
        <v>19</v>
      </c>
      <c r="L387" s="15" t="s">
        <v>19</v>
      </c>
      <c r="M387" s="15" t="s">
        <v>903</v>
      </c>
      <c r="N387" s="4" t="s">
        <v>1254</v>
      </c>
      <c r="O387" s="33" t="s">
        <v>1645</v>
      </c>
      <c r="P387" s="4" t="s">
        <v>2278</v>
      </c>
      <c r="S387" s="15" t="e" cm="1">
        <f t="array" aca="1" ref="S387" ca="1">COMMONMARKETCOUNT(H387:AV387)</f>
        <v>#NAME?</v>
      </c>
      <c r="T387" s="6" t="e" cm="1">
        <f t="array" aca="1" ref="T387" ca="1">AUTOMATEDCOUNT(H387:AV387)</f>
        <v>#NAME?</v>
      </c>
      <c r="V387" s="15" t="s">
        <v>109</v>
      </c>
      <c r="W387" s="15" t="s">
        <v>109</v>
      </c>
      <c r="X387" s="15" t="s">
        <v>19</v>
      </c>
      <c r="Y387" s="15" t="s">
        <v>19</v>
      </c>
      <c r="Z387" s="15" t="s">
        <v>19</v>
      </c>
      <c r="AA387" s="15" t="s">
        <v>19</v>
      </c>
      <c r="AB387" s="15" t="s">
        <v>19</v>
      </c>
      <c r="AC387" s="15" t="s">
        <v>19</v>
      </c>
      <c r="AD387" s="18" t="s">
        <v>19</v>
      </c>
      <c r="AE387" s="18" t="s">
        <v>19</v>
      </c>
      <c r="AF387" s="15" t="s">
        <v>19</v>
      </c>
      <c r="AG387" s="15" t="s">
        <v>19</v>
      </c>
      <c r="AH387" s="15" t="s">
        <v>19</v>
      </c>
      <c r="AI387" s="15" t="s">
        <v>19</v>
      </c>
      <c r="AJ387" s="15" t="s">
        <v>19</v>
      </c>
      <c r="AK387" s="15" t="s">
        <v>19</v>
      </c>
      <c r="AL387" s="15" t="s">
        <v>19</v>
      </c>
      <c r="AM387" s="15" t="s">
        <v>19</v>
      </c>
      <c r="AN387" s="15" t="s">
        <v>19</v>
      </c>
      <c r="AO387" s="15" t="s">
        <v>19</v>
      </c>
      <c r="AP387" s="15" t="s">
        <v>19</v>
      </c>
      <c r="AQ387" s="15" t="s">
        <v>19</v>
      </c>
      <c r="AR387" s="15" t="s">
        <v>19</v>
      </c>
      <c r="AS387" s="15" t="s">
        <v>19</v>
      </c>
      <c r="AT387" s="15" t="s">
        <v>19</v>
      </c>
      <c r="AU387" s="18" t="s">
        <v>3153</v>
      </c>
      <c r="AV387" s="36" t="s">
        <v>19</v>
      </c>
    </row>
    <row r="388" spans="1:48" ht="62.25" customHeight="1" x14ac:dyDescent="0.3">
      <c r="A388" s="15" t="s">
        <v>25</v>
      </c>
      <c r="B388" s="15" t="s">
        <v>24</v>
      </c>
      <c r="C388" s="15" t="s">
        <v>567</v>
      </c>
      <c r="D388" s="15" t="s">
        <v>19</v>
      </c>
      <c r="E388" s="70" t="s">
        <v>19</v>
      </c>
      <c r="F388" s="70" t="s">
        <v>19</v>
      </c>
      <c r="G388" s="70" t="s">
        <v>19</v>
      </c>
      <c r="H388" s="70" t="s">
        <v>19</v>
      </c>
      <c r="I388" s="72" t="s">
        <v>19</v>
      </c>
      <c r="J388" s="72" t="s">
        <v>19</v>
      </c>
      <c r="K388" s="72" t="s">
        <v>19</v>
      </c>
      <c r="L388" s="72" t="s">
        <v>19</v>
      </c>
      <c r="M388" s="15" t="s">
        <v>568</v>
      </c>
      <c r="N388" s="4" t="s">
        <v>1557</v>
      </c>
      <c r="O388" s="15"/>
      <c r="P388" s="4" t="s">
        <v>1616</v>
      </c>
      <c r="S388" s="15" t="e" cm="1">
        <f t="array" aca="1" ref="S388" ca="1">COMMONMARKETCOUNT(H388:AV388)</f>
        <v>#NAME?</v>
      </c>
      <c r="T388" s="6" t="e" cm="1">
        <f t="array" aca="1" ref="T388" ca="1">AUTOMATEDCOUNT(H388:AV388)</f>
        <v>#NAME?</v>
      </c>
      <c r="V388" s="70" t="s">
        <v>19</v>
      </c>
      <c r="W388" s="70" t="s">
        <v>19</v>
      </c>
      <c r="X388" s="70" t="s">
        <v>19</v>
      </c>
      <c r="Y388" s="70" t="s">
        <v>19</v>
      </c>
      <c r="Z388" s="70" t="s">
        <v>19</v>
      </c>
      <c r="AA388" s="72" t="s">
        <v>19</v>
      </c>
      <c r="AB388" s="72" t="s">
        <v>19</v>
      </c>
      <c r="AC388" s="72" t="s">
        <v>19</v>
      </c>
      <c r="AD388" s="70" t="s">
        <v>19</v>
      </c>
      <c r="AE388" s="15" t="s">
        <v>19</v>
      </c>
      <c r="AF388" s="18" t="s">
        <v>19</v>
      </c>
      <c r="AG388" s="29" t="s">
        <v>19</v>
      </c>
      <c r="AH388" s="29" t="s">
        <v>19</v>
      </c>
      <c r="AI388" s="18" t="s">
        <v>19</v>
      </c>
      <c r="AJ388" s="18" t="s">
        <v>19</v>
      </c>
      <c r="AK388" s="29" t="s">
        <v>19</v>
      </c>
      <c r="AL388" s="29" t="s">
        <v>19</v>
      </c>
      <c r="AM388" s="18" t="s">
        <v>19</v>
      </c>
      <c r="AN388" s="18" t="s">
        <v>19</v>
      </c>
      <c r="AO388" s="18" t="s">
        <v>19</v>
      </c>
      <c r="AP388" s="18" t="s">
        <v>19</v>
      </c>
      <c r="AQ388" s="18" t="s">
        <v>19</v>
      </c>
      <c r="AR388" s="18" t="s">
        <v>19</v>
      </c>
      <c r="AS388" s="70" t="s">
        <v>19</v>
      </c>
      <c r="AT388" s="72" t="s">
        <v>19</v>
      </c>
      <c r="AU388" s="29" t="s">
        <v>3153</v>
      </c>
      <c r="AV388" s="36" t="s">
        <v>19</v>
      </c>
    </row>
    <row r="389" spans="1:48" ht="51" hidden="1" customHeight="1" x14ac:dyDescent="0.3">
      <c r="A389" s="15" t="s">
        <v>56</v>
      </c>
      <c r="B389" s="15" t="s">
        <v>24</v>
      </c>
      <c r="C389" s="15" t="s">
        <v>1137</v>
      </c>
      <c r="D389" s="15" t="s">
        <v>32</v>
      </c>
      <c r="E389" s="15" t="s">
        <v>19</v>
      </c>
      <c r="F389" s="15" t="s">
        <v>19</v>
      </c>
      <c r="G389" s="15" t="s">
        <v>19</v>
      </c>
      <c r="H389" s="15" t="s">
        <v>19</v>
      </c>
      <c r="I389" s="15" t="s">
        <v>19</v>
      </c>
      <c r="J389" s="15" t="s">
        <v>19</v>
      </c>
      <c r="K389" s="15" t="s">
        <v>19</v>
      </c>
      <c r="L389" s="15" t="s">
        <v>19</v>
      </c>
      <c r="M389" s="15" t="s">
        <v>2351</v>
      </c>
      <c r="N389" s="4" t="s">
        <v>1255</v>
      </c>
      <c r="O389" s="33" t="s">
        <v>1645</v>
      </c>
      <c r="P389" s="4">
        <v>0</v>
      </c>
      <c r="S389" s="15" t="e" cm="1">
        <f t="array" aca="1" ref="S389" ca="1">COMMONMARKETCOUNT(H389:AV389)</f>
        <v>#NAME?</v>
      </c>
      <c r="T389" s="6" t="e" cm="1">
        <f t="array" aca="1" ref="T389" ca="1">AUTOMATEDCOUNT(H389:AV389)</f>
        <v>#NAME?</v>
      </c>
      <c r="V389" s="15" t="s">
        <v>19</v>
      </c>
      <c r="W389" s="15" t="s">
        <v>19</v>
      </c>
      <c r="X389" s="15" t="s">
        <v>19</v>
      </c>
      <c r="Y389" s="15" t="s">
        <v>19</v>
      </c>
      <c r="Z389" s="15" t="s">
        <v>19</v>
      </c>
      <c r="AA389" s="15" t="s">
        <v>19</v>
      </c>
      <c r="AB389" s="15" t="s">
        <v>19</v>
      </c>
      <c r="AC389" s="15" t="s">
        <v>19</v>
      </c>
      <c r="AD389" s="18" t="s">
        <v>19</v>
      </c>
      <c r="AE389" s="18" t="s">
        <v>19</v>
      </c>
      <c r="AF389" s="15" t="s">
        <v>19</v>
      </c>
      <c r="AG389" s="15" t="s">
        <v>19</v>
      </c>
      <c r="AH389" s="15" t="s">
        <v>19</v>
      </c>
      <c r="AI389" s="15" t="s">
        <v>19</v>
      </c>
      <c r="AJ389" s="15" t="s">
        <v>19</v>
      </c>
      <c r="AK389" s="15" t="s">
        <v>19</v>
      </c>
      <c r="AL389" s="15" t="s">
        <v>19</v>
      </c>
      <c r="AM389" s="15" t="s">
        <v>19</v>
      </c>
      <c r="AN389" s="15" t="s">
        <v>19</v>
      </c>
      <c r="AO389" s="15" t="s">
        <v>19</v>
      </c>
      <c r="AP389" s="15" t="s">
        <v>19</v>
      </c>
      <c r="AQ389" s="15" t="s">
        <v>19</v>
      </c>
      <c r="AR389" s="15" t="s">
        <v>19</v>
      </c>
      <c r="AS389" s="15" t="s">
        <v>19</v>
      </c>
      <c r="AT389" s="15" t="s">
        <v>19</v>
      </c>
      <c r="AU389" s="15" t="s">
        <v>3153</v>
      </c>
      <c r="AV389" s="36" t="s">
        <v>19</v>
      </c>
    </row>
    <row r="390" spans="1:48" ht="39.75" hidden="1" customHeight="1" x14ac:dyDescent="0.3">
      <c r="A390" s="15" t="s">
        <v>56</v>
      </c>
      <c r="B390" s="15" t="s">
        <v>17</v>
      </c>
      <c r="C390" s="15" t="s">
        <v>1138</v>
      </c>
      <c r="D390" s="15" t="s">
        <v>32</v>
      </c>
      <c r="E390" s="15" t="s">
        <v>19</v>
      </c>
      <c r="F390" s="15" t="s">
        <v>19</v>
      </c>
      <c r="G390" s="15" t="s">
        <v>19</v>
      </c>
      <c r="H390" s="15" t="s">
        <v>19</v>
      </c>
      <c r="I390" s="15" t="s">
        <v>19</v>
      </c>
      <c r="J390" s="15" t="s">
        <v>19</v>
      </c>
      <c r="K390" s="15" t="s">
        <v>19</v>
      </c>
      <c r="L390" s="15" t="s">
        <v>19</v>
      </c>
      <c r="M390" s="15" t="s">
        <v>1394</v>
      </c>
      <c r="N390" s="4" t="s">
        <v>1079</v>
      </c>
      <c r="O390" s="33" t="s">
        <v>1647</v>
      </c>
      <c r="P390" s="4" t="s">
        <v>1078</v>
      </c>
      <c r="S390" s="15" t="e" cm="1">
        <f t="array" aca="1" ref="S390" ca="1">COMMONMARKETCOUNT(H390:AV390)</f>
        <v>#NAME?</v>
      </c>
      <c r="T390" s="6" t="e" cm="1">
        <f t="array" aca="1" ref="T390" ca="1">AUTOMATEDCOUNT(H390:AV390)</f>
        <v>#NAME?</v>
      </c>
      <c r="V390" s="15" t="s">
        <v>19</v>
      </c>
      <c r="W390" s="15" t="s">
        <v>19</v>
      </c>
      <c r="X390" s="15" t="s">
        <v>19</v>
      </c>
      <c r="Y390" s="15" t="s">
        <v>19</v>
      </c>
      <c r="Z390" s="15" t="s">
        <v>19</v>
      </c>
      <c r="AA390" s="15" t="s">
        <v>19</v>
      </c>
      <c r="AB390" s="15" t="s">
        <v>19</v>
      </c>
      <c r="AC390" s="15" t="s">
        <v>19</v>
      </c>
      <c r="AD390" s="15" t="s">
        <v>19</v>
      </c>
      <c r="AE390" s="15" t="s">
        <v>19</v>
      </c>
      <c r="AF390" s="15" t="s">
        <v>19</v>
      </c>
      <c r="AG390" s="15" t="s">
        <v>19</v>
      </c>
      <c r="AH390" s="15" t="s">
        <v>19</v>
      </c>
      <c r="AI390" s="15" t="s">
        <v>19</v>
      </c>
      <c r="AJ390" s="15" t="s">
        <v>19</v>
      </c>
      <c r="AK390" s="15" t="s">
        <v>19</v>
      </c>
      <c r="AL390" s="15" t="s">
        <v>19</v>
      </c>
      <c r="AM390" s="15" t="s">
        <v>19</v>
      </c>
      <c r="AN390" s="15" t="s">
        <v>19</v>
      </c>
      <c r="AO390" s="15" t="s">
        <v>19</v>
      </c>
      <c r="AP390" s="15" t="s">
        <v>19</v>
      </c>
      <c r="AQ390" s="15" t="s">
        <v>19</v>
      </c>
      <c r="AR390" s="15" t="s">
        <v>19</v>
      </c>
      <c r="AS390" s="15" t="s">
        <v>19</v>
      </c>
      <c r="AT390" s="15" t="s">
        <v>19</v>
      </c>
      <c r="AU390" s="15" t="s">
        <v>3153</v>
      </c>
      <c r="AV390" s="36" t="s">
        <v>19</v>
      </c>
    </row>
    <row r="391" spans="1:48" ht="80.25" hidden="1" customHeight="1" x14ac:dyDescent="0.3">
      <c r="A391" s="15" t="s">
        <v>56</v>
      </c>
      <c r="B391" s="15" t="s">
        <v>17</v>
      </c>
      <c r="C391" s="15" t="s">
        <v>1392</v>
      </c>
      <c r="D391" s="15" t="s">
        <v>32</v>
      </c>
      <c r="E391" s="15" t="s">
        <v>19</v>
      </c>
      <c r="F391" s="15" t="s">
        <v>19</v>
      </c>
      <c r="G391" s="15" t="s">
        <v>19</v>
      </c>
      <c r="H391" s="15" t="s">
        <v>19</v>
      </c>
      <c r="I391" s="15" t="s">
        <v>19</v>
      </c>
      <c r="J391" s="15" t="s">
        <v>19</v>
      </c>
      <c r="K391" s="15" t="s">
        <v>19</v>
      </c>
      <c r="L391" s="15" t="s">
        <v>19</v>
      </c>
      <c r="M391" s="15" t="s">
        <v>1115</v>
      </c>
      <c r="N391" s="4" t="s">
        <v>1116</v>
      </c>
      <c r="O391" s="33" t="s">
        <v>1654</v>
      </c>
      <c r="P391" s="4" t="s">
        <v>1117</v>
      </c>
      <c r="S391" s="15" t="e" cm="1">
        <f t="array" aca="1" ref="S391" ca="1">COMMONMARKETCOUNT(H391:AV391)</f>
        <v>#NAME?</v>
      </c>
      <c r="T391" s="6" t="e" cm="1">
        <f t="array" aca="1" ref="T391" ca="1">AUTOMATEDCOUNT(H391:AV391)</f>
        <v>#NAME?</v>
      </c>
      <c r="V391" s="15" t="s">
        <v>19</v>
      </c>
      <c r="W391" s="15" t="s">
        <v>19</v>
      </c>
      <c r="X391" s="15" t="s">
        <v>19</v>
      </c>
      <c r="Y391" s="15" t="s">
        <v>19</v>
      </c>
      <c r="Z391" s="15" t="s">
        <v>19</v>
      </c>
      <c r="AA391" s="15" t="s">
        <v>19</v>
      </c>
      <c r="AB391" s="15" t="s">
        <v>19</v>
      </c>
      <c r="AC391" s="15" t="s">
        <v>19</v>
      </c>
      <c r="AD391" s="15" t="s">
        <v>19</v>
      </c>
      <c r="AE391" s="15" t="s">
        <v>19</v>
      </c>
      <c r="AF391" s="15" t="s">
        <v>19</v>
      </c>
      <c r="AG391" s="15" t="s">
        <v>19</v>
      </c>
      <c r="AH391" s="15" t="s">
        <v>19</v>
      </c>
      <c r="AI391" s="15" t="s">
        <v>19</v>
      </c>
      <c r="AJ391" s="15" t="s">
        <v>19</v>
      </c>
      <c r="AK391" s="15" t="s">
        <v>19</v>
      </c>
      <c r="AL391" s="15" t="s">
        <v>19</v>
      </c>
      <c r="AM391" s="15" t="s">
        <v>19</v>
      </c>
      <c r="AN391" s="15" t="s">
        <v>19</v>
      </c>
      <c r="AO391" s="15" t="s">
        <v>19</v>
      </c>
      <c r="AP391" s="15" t="s">
        <v>19</v>
      </c>
      <c r="AQ391" s="15" t="s">
        <v>19</v>
      </c>
      <c r="AR391" s="15" t="s">
        <v>19</v>
      </c>
      <c r="AS391" s="15" t="s">
        <v>19</v>
      </c>
      <c r="AT391" s="15" t="s">
        <v>19</v>
      </c>
      <c r="AU391" s="15" t="s">
        <v>3153</v>
      </c>
      <c r="AV391" s="36" t="s">
        <v>19</v>
      </c>
    </row>
    <row r="392" spans="1:48" ht="39.75" hidden="1" customHeight="1" x14ac:dyDescent="0.3">
      <c r="A392" s="15" t="s">
        <v>25</v>
      </c>
      <c r="B392" s="15" t="s">
        <v>1303</v>
      </c>
      <c r="C392" s="15" t="s">
        <v>1139</v>
      </c>
      <c r="D392" s="15" t="s">
        <v>32</v>
      </c>
      <c r="E392" s="15" t="s">
        <v>19</v>
      </c>
      <c r="F392" s="15" t="s">
        <v>19</v>
      </c>
      <c r="G392" s="15" t="s">
        <v>19</v>
      </c>
      <c r="H392" s="15" t="s">
        <v>19</v>
      </c>
      <c r="I392" s="15" t="s">
        <v>19</v>
      </c>
      <c r="J392" s="15" t="s">
        <v>19</v>
      </c>
      <c r="K392" s="15" t="s">
        <v>19</v>
      </c>
      <c r="L392" s="15" t="s">
        <v>19</v>
      </c>
      <c r="M392" s="15" t="s">
        <v>1028</v>
      </c>
      <c r="N392" s="4" t="s">
        <v>1080</v>
      </c>
      <c r="O392" s="33" t="s">
        <v>1647</v>
      </c>
      <c r="P392" s="4" t="s">
        <v>1081</v>
      </c>
      <c r="S392" s="15" t="e" cm="1">
        <f t="array" aca="1" ref="S392" ca="1">COMMONMARKETCOUNT(H392:AV392)</f>
        <v>#NAME?</v>
      </c>
      <c r="T392" s="6" t="e" cm="1">
        <f t="array" aca="1" ref="T392" ca="1">AUTOMATEDCOUNT(H392:AV392)</f>
        <v>#NAME?</v>
      </c>
      <c r="V392" s="15" t="s">
        <v>19</v>
      </c>
      <c r="W392" s="15" t="s">
        <v>19</v>
      </c>
      <c r="X392" s="15" t="s">
        <v>19</v>
      </c>
      <c r="Y392" s="15" t="s">
        <v>19</v>
      </c>
      <c r="Z392" s="15" t="s">
        <v>19</v>
      </c>
      <c r="AA392" s="15" t="s">
        <v>19</v>
      </c>
      <c r="AB392" s="15" t="s">
        <v>19</v>
      </c>
      <c r="AC392" s="15" t="s">
        <v>19</v>
      </c>
      <c r="AD392" s="15" t="s">
        <v>19</v>
      </c>
      <c r="AE392" s="15" t="s">
        <v>19</v>
      </c>
      <c r="AF392" s="15" t="s">
        <v>19</v>
      </c>
      <c r="AG392" s="15" t="s">
        <v>19</v>
      </c>
      <c r="AH392" s="15" t="s">
        <v>19</v>
      </c>
      <c r="AI392" s="15" t="s">
        <v>19</v>
      </c>
      <c r="AJ392" s="15" t="s">
        <v>19</v>
      </c>
      <c r="AK392" s="15" t="s">
        <v>19</v>
      </c>
      <c r="AL392" s="15" t="s">
        <v>19</v>
      </c>
      <c r="AM392" s="15" t="s">
        <v>19</v>
      </c>
      <c r="AN392" s="15" t="s">
        <v>19</v>
      </c>
      <c r="AO392" s="15" t="s">
        <v>19</v>
      </c>
      <c r="AP392" s="15" t="s">
        <v>19</v>
      </c>
      <c r="AQ392" s="15" t="s">
        <v>19</v>
      </c>
      <c r="AR392" s="15" t="s">
        <v>19</v>
      </c>
      <c r="AS392" s="15" t="s">
        <v>19</v>
      </c>
      <c r="AT392" s="15" t="s">
        <v>19</v>
      </c>
      <c r="AU392" s="18" t="s">
        <v>3153</v>
      </c>
      <c r="AV392" s="36" t="s">
        <v>19</v>
      </c>
    </row>
    <row r="393" spans="1:48" ht="39.75" hidden="1" customHeight="1" x14ac:dyDescent="0.3">
      <c r="A393" s="15" t="s">
        <v>56</v>
      </c>
      <c r="B393" s="15" t="s">
        <v>17</v>
      </c>
      <c r="C393" s="15" t="s">
        <v>1140</v>
      </c>
      <c r="D393" s="15" t="s">
        <v>32</v>
      </c>
      <c r="E393" s="15" t="s">
        <v>19</v>
      </c>
      <c r="F393" s="15" t="s">
        <v>19</v>
      </c>
      <c r="G393" s="15" t="s">
        <v>19</v>
      </c>
      <c r="H393" s="15" t="s">
        <v>19</v>
      </c>
      <c r="I393" s="15" t="s">
        <v>19</v>
      </c>
      <c r="J393" s="15" t="s">
        <v>19</v>
      </c>
      <c r="K393" s="15" t="s">
        <v>19</v>
      </c>
      <c r="L393" s="15" t="s">
        <v>19</v>
      </c>
      <c r="M393" s="15" t="s">
        <v>1668</v>
      </c>
      <c r="N393" s="4" t="s">
        <v>1401</v>
      </c>
      <c r="O393" s="33" t="s">
        <v>1647</v>
      </c>
      <c r="P393" s="4" t="s">
        <v>3106</v>
      </c>
      <c r="S393" s="15" t="e" cm="1">
        <f t="array" aca="1" ref="S393" ca="1">COMMONMARKETCOUNT(H393:AV393)</f>
        <v>#NAME?</v>
      </c>
      <c r="T393" s="6" t="e" cm="1">
        <f t="array" aca="1" ref="T393" ca="1">AUTOMATEDCOUNT(H393:AV393)</f>
        <v>#NAME?</v>
      </c>
      <c r="V393" s="15" t="s">
        <v>19</v>
      </c>
      <c r="W393" s="15" t="s">
        <v>19</v>
      </c>
      <c r="X393" s="15" t="s">
        <v>19</v>
      </c>
      <c r="Y393" s="15" t="s">
        <v>19</v>
      </c>
      <c r="Z393" s="15" t="s">
        <v>19</v>
      </c>
      <c r="AA393" s="15" t="s">
        <v>19</v>
      </c>
      <c r="AB393" s="15" t="s">
        <v>19</v>
      </c>
      <c r="AC393" s="15" t="s">
        <v>19</v>
      </c>
      <c r="AD393" s="15" t="s">
        <v>19</v>
      </c>
      <c r="AE393" s="15" t="s">
        <v>19</v>
      </c>
      <c r="AF393" s="15" t="s">
        <v>19</v>
      </c>
      <c r="AG393" s="15" t="s">
        <v>19</v>
      </c>
      <c r="AH393" s="15" t="s">
        <v>19</v>
      </c>
      <c r="AI393" s="15" t="s">
        <v>19</v>
      </c>
      <c r="AJ393" s="15" t="s">
        <v>19</v>
      </c>
      <c r="AK393" s="15" t="s">
        <v>19</v>
      </c>
      <c r="AL393" s="15" t="s">
        <v>19</v>
      </c>
      <c r="AM393" s="15" t="s">
        <v>19</v>
      </c>
      <c r="AN393" s="15" t="s">
        <v>19</v>
      </c>
      <c r="AO393" s="15" t="s">
        <v>19</v>
      </c>
      <c r="AP393" s="15" t="s">
        <v>19</v>
      </c>
      <c r="AQ393" s="15" t="s">
        <v>19</v>
      </c>
      <c r="AR393" s="15" t="s">
        <v>19</v>
      </c>
      <c r="AS393" s="15" t="s">
        <v>19</v>
      </c>
      <c r="AT393" s="15" t="s">
        <v>19</v>
      </c>
      <c r="AU393" s="15" t="s">
        <v>3153</v>
      </c>
      <c r="AV393" s="36" t="s">
        <v>19</v>
      </c>
    </row>
    <row r="394" spans="1:48" ht="120" hidden="1" customHeight="1" x14ac:dyDescent="0.3">
      <c r="A394" s="15" t="s">
        <v>25</v>
      </c>
      <c r="B394" s="15" t="s">
        <v>1304</v>
      </c>
      <c r="C394" s="15" t="s">
        <v>1327</v>
      </c>
      <c r="D394" s="15" t="s">
        <v>32</v>
      </c>
      <c r="E394" s="18" t="s">
        <v>109</v>
      </c>
      <c r="F394" s="18" t="s">
        <v>109</v>
      </c>
      <c r="G394" s="18" t="s">
        <v>109</v>
      </c>
      <c r="H394" s="18" t="s">
        <v>109</v>
      </c>
      <c r="I394" s="18" t="s">
        <v>19</v>
      </c>
      <c r="J394" s="18" t="s">
        <v>19</v>
      </c>
      <c r="K394" s="18" t="s">
        <v>19</v>
      </c>
      <c r="L394" s="18" t="s">
        <v>19</v>
      </c>
      <c r="M394" s="15" t="s">
        <v>1040</v>
      </c>
      <c r="N394" s="4" t="s">
        <v>1015</v>
      </c>
      <c r="O394" s="33" t="s">
        <v>1647</v>
      </c>
      <c r="P394" s="4" t="s">
        <v>1082</v>
      </c>
      <c r="S394" s="15" t="e" cm="1">
        <f t="array" aca="1" ref="S394" ca="1">COMMONMARKETCOUNT(H394:AV394)</f>
        <v>#NAME?</v>
      </c>
      <c r="T394" s="6" t="e" cm="1">
        <f t="array" aca="1" ref="T394" ca="1">AUTOMATEDCOUNT(H394:AV394)</f>
        <v>#NAME?</v>
      </c>
      <c r="V394" s="18" t="s">
        <v>109</v>
      </c>
      <c r="W394" s="18" t="s">
        <v>109</v>
      </c>
      <c r="X394" s="18" t="s">
        <v>109</v>
      </c>
      <c r="Y394" s="18" t="s">
        <v>109</v>
      </c>
      <c r="Z394" s="18" t="s">
        <v>109</v>
      </c>
      <c r="AA394" s="18" t="s">
        <v>19</v>
      </c>
      <c r="AB394" s="18" t="s">
        <v>19</v>
      </c>
      <c r="AC394" s="18" t="s">
        <v>19</v>
      </c>
      <c r="AD394" s="15" t="s">
        <v>19</v>
      </c>
      <c r="AE394" s="15" t="s">
        <v>19</v>
      </c>
      <c r="AF394" s="15" t="s">
        <v>109</v>
      </c>
      <c r="AG394" s="18" t="s">
        <v>109</v>
      </c>
      <c r="AH394" s="18" t="s">
        <v>109</v>
      </c>
      <c r="AI394" s="18" t="s">
        <v>109</v>
      </c>
      <c r="AJ394" s="18" t="s">
        <v>109</v>
      </c>
      <c r="AK394" s="18" t="s">
        <v>109</v>
      </c>
      <c r="AL394" s="18" t="s">
        <v>109</v>
      </c>
      <c r="AM394" s="18" t="s">
        <v>109</v>
      </c>
      <c r="AN394" s="18" t="s">
        <v>109</v>
      </c>
      <c r="AO394" s="18" t="s">
        <v>109</v>
      </c>
      <c r="AP394" s="18" t="s">
        <v>109</v>
      </c>
      <c r="AQ394" s="18" t="s">
        <v>109</v>
      </c>
      <c r="AR394" s="18" t="s">
        <v>109</v>
      </c>
      <c r="AS394" s="18" t="s">
        <v>109</v>
      </c>
      <c r="AT394" s="18" t="s">
        <v>109</v>
      </c>
      <c r="AU394" s="18" t="s">
        <v>109</v>
      </c>
      <c r="AV394" s="36" t="s">
        <v>109</v>
      </c>
    </row>
    <row r="395" spans="1:48" ht="39.75" hidden="1" customHeight="1" x14ac:dyDescent="0.3">
      <c r="A395" s="15" t="s">
        <v>25</v>
      </c>
      <c r="B395" s="15" t="s">
        <v>1365</v>
      </c>
      <c r="C395" s="15" t="s">
        <v>1141</v>
      </c>
      <c r="D395" s="15" t="s">
        <v>32</v>
      </c>
      <c r="E395" s="15" t="s">
        <v>109</v>
      </c>
      <c r="F395" s="15" t="s">
        <v>109</v>
      </c>
      <c r="G395" s="15" t="s">
        <v>109</v>
      </c>
      <c r="H395" s="15" t="s">
        <v>109</v>
      </c>
      <c r="I395" s="15" t="s">
        <v>109</v>
      </c>
      <c r="J395" s="15" t="s">
        <v>109</v>
      </c>
      <c r="K395" s="15" t="s">
        <v>109</v>
      </c>
      <c r="L395" s="15" t="s">
        <v>109</v>
      </c>
      <c r="M395" s="15" t="s">
        <v>1072</v>
      </c>
      <c r="N395" s="4" t="s">
        <v>1071</v>
      </c>
      <c r="O395" s="33" t="s">
        <v>1648</v>
      </c>
      <c r="P395" s="4" t="s">
        <v>1070</v>
      </c>
      <c r="S395" s="15" t="e" cm="1">
        <f t="array" aca="1" ref="S395" ca="1">COMMONMARKETCOUNT(H395:AV395)</f>
        <v>#NAME?</v>
      </c>
      <c r="T395" s="6" t="e" cm="1">
        <f t="array" aca="1" ref="T395" ca="1">AUTOMATEDCOUNT(H395:AV395)</f>
        <v>#NAME?</v>
      </c>
      <c r="V395" s="15" t="s">
        <v>109</v>
      </c>
      <c r="W395" s="15" t="s">
        <v>109</v>
      </c>
      <c r="X395" s="15" t="s">
        <v>109</v>
      </c>
      <c r="Y395" s="15" t="s">
        <v>109</v>
      </c>
      <c r="Z395" s="15" t="s">
        <v>109</v>
      </c>
      <c r="AA395" s="15" t="s">
        <v>109</v>
      </c>
      <c r="AB395" s="15" t="s">
        <v>109</v>
      </c>
      <c r="AC395" s="15" t="s">
        <v>109</v>
      </c>
      <c r="AD395" s="18" t="s">
        <v>19</v>
      </c>
      <c r="AE395" s="18" t="s">
        <v>19</v>
      </c>
      <c r="AF395" s="15" t="s">
        <v>109</v>
      </c>
      <c r="AG395" s="15" t="s">
        <v>19</v>
      </c>
      <c r="AH395" s="15" t="s">
        <v>109</v>
      </c>
      <c r="AI395" s="15" t="s">
        <v>109</v>
      </c>
      <c r="AJ395" s="15" t="s">
        <v>109</v>
      </c>
      <c r="AK395" s="15" t="s">
        <v>109</v>
      </c>
      <c r="AL395" s="15" t="s">
        <v>109</v>
      </c>
      <c r="AM395" s="15" t="s">
        <v>109</v>
      </c>
      <c r="AN395" s="15" t="s">
        <v>109</v>
      </c>
      <c r="AO395" s="15" t="s">
        <v>109</v>
      </c>
      <c r="AP395" s="15" t="s">
        <v>109</v>
      </c>
      <c r="AQ395" s="15" t="s">
        <v>109</v>
      </c>
      <c r="AR395" s="15" t="s">
        <v>109</v>
      </c>
      <c r="AS395" s="15" t="s">
        <v>109</v>
      </c>
      <c r="AT395" s="15" t="s">
        <v>109</v>
      </c>
      <c r="AU395" s="15" t="s">
        <v>109</v>
      </c>
      <c r="AV395" s="36" t="s">
        <v>109</v>
      </c>
    </row>
    <row r="396" spans="1:48" ht="39.75" hidden="1" customHeight="1" x14ac:dyDescent="0.3">
      <c r="A396" s="15" t="s">
        <v>18</v>
      </c>
      <c r="B396" s="15" t="s">
        <v>1306</v>
      </c>
      <c r="C396" s="15" t="s">
        <v>1328</v>
      </c>
      <c r="D396" s="15" t="s">
        <v>32</v>
      </c>
      <c r="E396" s="18" t="s">
        <v>109</v>
      </c>
      <c r="F396" s="18" t="s">
        <v>109</v>
      </c>
      <c r="G396" s="18" t="s">
        <v>109</v>
      </c>
      <c r="H396" s="18" t="s">
        <v>109</v>
      </c>
      <c r="I396" s="18" t="s">
        <v>19</v>
      </c>
      <c r="J396" s="18" t="s">
        <v>19</v>
      </c>
      <c r="K396" s="18" t="s">
        <v>19</v>
      </c>
      <c r="L396" s="18" t="s">
        <v>19</v>
      </c>
      <c r="M396" s="15" t="s">
        <v>1305</v>
      </c>
      <c r="N396" s="4" t="s">
        <v>1076</v>
      </c>
      <c r="O396" s="33" t="s">
        <v>1648</v>
      </c>
      <c r="P396" s="4" t="s">
        <v>1077</v>
      </c>
      <c r="S396" s="15" t="e" cm="1">
        <f t="array" aca="1" ref="S396" ca="1">COMMONMARKETCOUNT(H396:AV396)</f>
        <v>#NAME?</v>
      </c>
      <c r="T396" s="6" t="e" cm="1">
        <f t="array" aca="1" ref="T396" ca="1">AUTOMATEDCOUNT(H396:AV396)</f>
        <v>#NAME?</v>
      </c>
      <c r="V396" s="18" t="s">
        <v>109</v>
      </c>
      <c r="W396" s="18" t="s">
        <v>109</v>
      </c>
      <c r="X396" s="18" t="s">
        <v>109</v>
      </c>
      <c r="Y396" s="18" t="s">
        <v>109</v>
      </c>
      <c r="Z396" s="18" t="s">
        <v>109</v>
      </c>
      <c r="AA396" s="18" t="s">
        <v>19</v>
      </c>
      <c r="AB396" s="18" t="s">
        <v>19</v>
      </c>
      <c r="AC396" s="18" t="s">
        <v>19</v>
      </c>
      <c r="AD396" s="15" t="s">
        <v>109</v>
      </c>
      <c r="AE396" s="15" t="s">
        <v>109</v>
      </c>
      <c r="AF396" s="15" t="s">
        <v>109</v>
      </c>
      <c r="AG396" s="18" t="s">
        <v>109</v>
      </c>
      <c r="AH396" s="18" t="s">
        <v>109</v>
      </c>
      <c r="AI396" s="18" t="s">
        <v>109</v>
      </c>
      <c r="AJ396" s="18" t="s">
        <v>109</v>
      </c>
      <c r="AK396" s="18" t="s">
        <v>109</v>
      </c>
      <c r="AL396" s="18" t="s">
        <v>109</v>
      </c>
      <c r="AM396" s="18" t="s">
        <v>109</v>
      </c>
      <c r="AN396" s="18" t="s">
        <v>109</v>
      </c>
      <c r="AO396" s="18" t="s">
        <v>109</v>
      </c>
      <c r="AP396" s="18" t="s">
        <v>109</v>
      </c>
      <c r="AQ396" s="18" t="s">
        <v>109</v>
      </c>
      <c r="AR396" s="18" t="s">
        <v>109</v>
      </c>
      <c r="AS396" s="18" t="s">
        <v>109</v>
      </c>
      <c r="AT396" s="18" t="s">
        <v>109</v>
      </c>
      <c r="AU396" s="18" t="s">
        <v>109</v>
      </c>
      <c r="AV396" s="36" t="s">
        <v>109</v>
      </c>
    </row>
    <row r="397" spans="1:48" ht="72" hidden="1" customHeight="1" x14ac:dyDescent="0.3">
      <c r="A397" s="15" t="s">
        <v>25</v>
      </c>
      <c r="B397" s="15" t="s">
        <v>24</v>
      </c>
      <c r="C397" s="15" t="s">
        <v>1329</v>
      </c>
      <c r="D397" s="15" t="s">
        <v>32</v>
      </c>
      <c r="E397" s="18" t="s">
        <v>109</v>
      </c>
      <c r="F397" s="18" t="s">
        <v>109</v>
      </c>
      <c r="G397" s="18" t="s">
        <v>109</v>
      </c>
      <c r="H397" s="18" t="s">
        <v>109</v>
      </c>
      <c r="I397" s="18" t="s">
        <v>19</v>
      </c>
      <c r="J397" s="18" t="s">
        <v>19</v>
      </c>
      <c r="K397" s="18" t="s">
        <v>19</v>
      </c>
      <c r="L397" s="18" t="s">
        <v>19</v>
      </c>
      <c r="M397" s="15" t="s">
        <v>1090</v>
      </c>
      <c r="N397" s="4" t="s">
        <v>1087</v>
      </c>
      <c r="O397" s="33" t="s">
        <v>1648</v>
      </c>
      <c r="P397" s="4" t="s">
        <v>1086</v>
      </c>
      <c r="S397" s="15" t="e" cm="1">
        <f t="array" aca="1" ref="S397" ca="1">COMMONMARKETCOUNT(H397:AV397)</f>
        <v>#NAME?</v>
      </c>
      <c r="T397" s="6" t="e" cm="1">
        <f t="array" aca="1" ref="T397" ca="1">AUTOMATEDCOUNT(H397:AV397)</f>
        <v>#NAME?</v>
      </c>
      <c r="V397" s="18" t="s">
        <v>109</v>
      </c>
      <c r="W397" s="18" t="s">
        <v>109</v>
      </c>
      <c r="X397" s="18" t="s">
        <v>109</v>
      </c>
      <c r="Y397" s="18" t="s">
        <v>109</v>
      </c>
      <c r="Z397" s="18" t="s">
        <v>109</v>
      </c>
      <c r="AA397" s="18" t="s">
        <v>19</v>
      </c>
      <c r="AB397" s="18" t="s">
        <v>19</v>
      </c>
      <c r="AC397" s="18" t="s">
        <v>19</v>
      </c>
      <c r="AD397" s="18" t="s">
        <v>19</v>
      </c>
      <c r="AE397" s="18" t="s">
        <v>19</v>
      </c>
      <c r="AF397" s="15" t="s">
        <v>109</v>
      </c>
      <c r="AG397" s="18" t="s">
        <v>109</v>
      </c>
      <c r="AH397" s="18" t="s">
        <v>109</v>
      </c>
      <c r="AI397" s="18" t="s">
        <v>109</v>
      </c>
      <c r="AJ397" s="18" t="s">
        <v>109</v>
      </c>
      <c r="AK397" s="18" t="s">
        <v>109</v>
      </c>
      <c r="AL397" s="18" t="s">
        <v>109</v>
      </c>
      <c r="AM397" s="18" t="s">
        <v>109</v>
      </c>
      <c r="AN397" s="18" t="s">
        <v>109</v>
      </c>
      <c r="AO397" s="18" t="s">
        <v>109</v>
      </c>
      <c r="AP397" s="18" t="s">
        <v>109</v>
      </c>
      <c r="AQ397" s="18" t="s">
        <v>109</v>
      </c>
      <c r="AR397" s="18" t="s">
        <v>109</v>
      </c>
      <c r="AS397" s="18" t="s">
        <v>109</v>
      </c>
      <c r="AT397" s="18" t="s">
        <v>109</v>
      </c>
      <c r="AU397" s="18" t="s">
        <v>109</v>
      </c>
      <c r="AV397" s="36" t="s">
        <v>109</v>
      </c>
    </row>
    <row r="398" spans="1:48" ht="63.75" hidden="1" customHeight="1" x14ac:dyDescent="0.3">
      <c r="A398" s="15" t="s">
        <v>25</v>
      </c>
      <c r="B398" s="15" t="s">
        <v>24</v>
      </c>
      <c r="C398" s="15" t="s">
        <v>1142</v>
      </c>
      <c r="D398" s="15" t="s">
        <v>32</v>
      </c>
      <c r="E398" s="18" t="s">
        <v>109</v>
      </c>
      <c r="F398" s="18" t="s">
        <v>109</v>
      </c>
      <c r="G398" s="18" t="s">
        <v>109</v>
      </c>
      <c r="H398" s="18" t="s">
        <v>109</v>
      </c>
      <c r="I398" s="18" t="s">
        <v>19</v>
      </c>
      <c r="J398" s="18" t="s">
        <v>19</v>
      </c>
      <c r="K398" s="18" t="s">
        <v>19</v>
      </c>
      <c r="L398" s="18" t="s">
        <v>19</v>
      </c>
      <c r="M398" s="15" t="s">
        <v>1091</v>
      </c>
      <c r="N398" s="4" t="s">
        <v>1092</v>
      </c>
      <c r="O398" s="33" t="s">
        <v>1648</v>
      </c>
      <c r="P398" s="4" t="s">
        <v>1089</v>
      </c>
      <c r="S398" s="15" t="e" cm="1">
        <f t="array" aca="1" ref="S398" ca="1">COMMONMARKETCOUNT(H398:AV398)</f>
        <v>#NAME?</v>
      </c>
      <c r="T398" s="6" t="e" cm="1">
        <f t="array" aca="1" ref="T398" ca="1">AUTOMATEDCOUNT(H398:AV398)</f>
        <v>#NAME?</v>
      </c>
      <c r="V398" s="18" t="s">
        <v>109</v>
      </c>
      <c r="W398" s="18" t="s">
        <v>109</v>
      </c>
      <c r="X398" s="18" t="s">
        <v>109</v>
      </c>
      <c r="Y398" s="18" t="s">
        <v>109</v>
      </c>
      <c r="Z398" s="18" t="s">
        <v>109</v>
      </c>
      <c r="AA398" s="18" t="s">
        <v>19</v>
      </c>
      <c r="AB398" s="18" t="s">
        <v>19</v>
      </c>
      <c r="AC398" s="18" t="s">
        <v>19</v>
      </c>
      <c r="AD398" s="18" t="s">
        <v>19</v>
      </c>
      <c r="AE398" s="18" t="s">
        <v>19</v>
      </c>
      <c r="AF398" s="15" t="s">
        <v>109</v>
      </c>
      <c r="AG398" s="18" t="s">
        <v>109</v>
      </c>
      <c r="AH398" s="18" t="s">
        <v>109</v>
      </c>
      <c r="AI398" s="18" t="s">
        <v>109</v>
      </c>
      <c r="AJ398" s="18" t="s">
        <v>109</v>
      </c>
      <c r="AK398" s="18" t="s">
        <v>109</v>
      </c>
      <c r="AL398" s="18" t="s">
        <v>109</v>
      </c>
      <c r="AM398" s="18" t="s">
        <v>109</v>
      </c>
      <c r="AN398" s="18" t="s">
        <v>109</v>
      </c>
      <c r="AO398" s="18" t="s">
        <v>109</v>
      </c>
      <c r="AP398" s="18" t="s">
        <v>109</v>
      </c>
      <c r="AQ398" s="18" t="s">
        <v>109</v>
      </c>
      <c r="AR398" s="18" t="s">
        <v>109</v>
      </c>
      <c r="AS398" s="18" t="s">
        <v>109</v>
      </c>
      <c r="AT398" s="18" t="s">
        <v>109</v>
      </c>
      <c r="AU398" s="18" t="s">
        <v>109</v>
      </c>
      <c r="AV398" s="36" t="s">
        <v>109</v>
      </c>
    </row>
    <row r="399" spans="1:48" ht="57.75" hidden="1" customHeight="1" x14ac:dyDescent="0.3">
      <c r="A399" s="15" t="s">
        <v>56</v>
      </c>
      <c r="B399" s="15" t="s">
        <v>17</v>
      </c>
      <c r="C399" s="15" t="s">
        <v>1143</v>
      </c>
      <c r="D399" s="15" t="s">
        <v>32</v>
      </c>
      <c r="E399" s="15" t="s">
        <v>109</v>
      </c>
      <c r="F399" s="15" t="s">
        <v>109</v>
      </c>
      <c r="G399" s="15" t="s">
        <v>109</v>
      </c>
      <c r="H399" s="15" t="s">
        <v>109</v>
      </c>
      <c r="I399" s="15" t="s">
        <v>109</v>
      </c>
      <c r="J399" s="15" t="s">
        <v>109</v>
      </c>
      <c r="K399" s="15" t="s">
        <v>109</v>
      </c>
      <c r="L399" s="15" t="s">
        <v>109</v>
      </c>
      <c r="M399" s="15" t="s">
        <v>1088</v>
      </c>
      <c r="N399" s="4" t="s">
        <v>1102</v>
      </c>
      <c r="O399" s="33" t="s">
        <v>1648</v>
      </c>
      <c r="P399" s="4" t="s">
        <v>1752</v>
      </c>
      <c r="S399" s="15" t="e" cm="1">
        <f t="array" aca="1" ref="S399" ca="1">COMMONMARKETCOUNT(H399:AV399)</f>
        <v>#NAME?</v>
      </c>
      <c r="T399" s="6" t="e" cm="1">
        <f t="array" aca="1" ref="T399" ca="1">AUTOMATEDCOUNT(H399:AV399)</f>
        <v>#NAME?</v>
      </c>
      <c r="V399" s="15" t="s">
        <v>109</v>
      </c>
      <c r="W399" s="15" t="s">
        <v>109</v>
      </c>
      <c r="X399" s="15" t="s">
        <v>109</v>
      </c>
      <c r="Y399" s="15" t="s">
        <v>109</v>
      </c>
      <c r="Z399" s="15" t="s">
        <v>109</v>
      </c>
      <c r="AA399" s="15" t="s">
        <v>109</v>
      </c>
      <c r="AB399" s="15" t="s">
        <v>109</v>
      </c>
      <c r="AC399" s="15" t="s">
        <v>109</v>
      </c>
      <c r="AD399" s="18" t="s">
        <v>19</v>
      </c>
      <c r="AE399" s="18" t="s">
        <v>19</v>
      </c>
      <c r="AF399" s="15" t="s">
        <v>109</v>
      </c>
      <c r="AG399" s="15" t="s">
        <v>109</v>
      </c>
      <c r="AH399" s="15" t="s">
        <v>109</v>
      </c>
      <c r="AI399" s="15" t="s">
        <v>109</v>
      </c>
      <c r="AJ399" s="15" t="s">
        <v>109</v>
      </c>
      <c r="AK399" s="15" t="s">
        <v>109</v>
      </c>
      <c r="AL399" s="15" t="s">
        <v>109</v>
      </c>
      <c r="AM399" s="15" t="s">
        <v>109</v>
      </c>
      <c r="AN399" s="15" t="s">
        <v>109</v>
      </c>
      <c r="AO399" s="15" t="s">
        <v>109</v>
      </c>
      <c r="AP399" s="15" t="s">
        <v>109</v>
      </c>
      <c r="AQ399" s="15" t="s">
        <v>109</v>
      </c>
      <c r="AR399" s="15" t="s">
        <v>109</v>
      </c>
      <c r="AS399" s="15" t="s">
        <v>19</v>
      </c>
      <c r="AT399" s="15" t="s">
        <v>19</v>
      </c>
      <c r="AU399" s="15" t="s">
        <v>109</v>
      </c>
      <c r="AV399" s="36" t="s">
        <v>109</v>
      </c>
    </row>
    <row r="400" spans="1:48" ht="71.25" customHeight="1" x14ac:dyDescent="0.3">
      <c r="A400" s="15" t="s">
        <v>25</v>
      </c>
      <c r="B400" s="15" t="s">
        <v>24</v>
      </c>
      <c r="C400" s="15" t="s">
        <v>569</v>
      </c>
      <c r="D400" s="15" t="s">
        <v>19</v>
      </c>
      <c r="E400" s="70" t="s">
        <v>19</v>
      </c>
      <c r="F400" s="70" t="s">
        <v>19</v>
      </c>
      <c r="G400" s="70" t="s">
        <v>19</v>
      </c>
      <c r="H400" s="70" t="s">
        <v>19</v>
      </c>
      <c r="I400" s="72" t="s">
        <v>19</v>
      </c>
      <c r="J400" s="72" t="s">
        <v>19</v>
      </c>
      <c r="K400" s="70" t="s">
        <v>19</v>
      </c>
      <c r="L400" s="70" t="s">
        <v>19</v>
      </c>
      <c r="M400" s="15" t="s">
        <v>570</v>
      </c>
      <c r="N400" s="4" t="s">
        <v>1588</v>
      </c>
      <c r="O400" s="33" t="s">
        <v>1645</v>
      </c>
      <c r="P400" s="4" t="s">
        <v>3107</v>
      </c>
      <c r="S400" s="15" t="e" cm="1">
        <f t="array" aca="1" ref="S400" ca="1">COMMONMARKETCOUNT(H400:AV400)</f>
        <v>#NAME?</v>
      </c>
      <c r="T400" s="6" t="e" cm="1">
        <f t="array" aca="1" ref="T400" ca="1">AUTOMATEDCOUNT(H400:AV400)</f>
        <v>#NAME?</v>
      </c>
      <c r="V400" s="70" t="s">
        <v>19</v>
      </c>
      <c r="W400" s="70" t="s">
        <v>19</v>
      </c>
      <c r="X400" s="70" t="s">
        <v>19</v>
      </c>
      <c r="Y400" s="70" t="s">
        <v>19</v>
      </c>
      <c r="Z400" s="70" t="s">
        <v>19</v>
      </c>
      <c r="AA400" s="72" t="s">
        <v>19</v>
      </c>
      <c r="AB400" s="72" t="s">
        <v>19</v>
      </c>
      <c r="AC400" s="72" t="s">
        <v>19</v>
      </c>
      <c r="AD400" s="15" t="s">
        <v>109</v>
      </c>
      <c r="AE400" s="15" t="s">
        <v>109</v>
      </c>
      <c r="AF400" s="15" t="s">
        <v>19</v>
      </c>
      <c r="AG400" s="20" t="s">
        <v>19</v>
      </c>
      <c r="AH400" s="15" t="s">
        <v>19</v>
      </c>
      <c r="AI400" s="15" t="s">
        <v>19</v>
      </c>
      <c r="AJ400" s="15" t="s">
        <v>19</v>
      </c>
      <c r="AK400" s="15" t="s">
        <v>19</v>
      </c>
      <c r="AL400" s="20" t="s">
        <v>19</v>
      </c>
      <c r="AM400" s="20" t="s">
        <v>19</v>
      </c>
      <c r="AN400" s="15" t="s">
        <v>19</v>
      </c>
      <c r="AO400" s="15" t="s">
        <v>19</v>
      </c>
      <c r="AP400" s="15" t="s">
        <v>19</v>
      </c>
      <c r="AQ400" s="15" t="s">
        <v>19</v>
      </c>
      <c r="AR400" s="15" t="s">
        <v>19</v>
      </c>
      <c r="AS400" s="20" t="s">
        <v>19</v>
      </c>
      <c r="AT400" s="20" t="s">
        <v>19</v>
      </c>
      <c r="AU400" s="20" t="s">
        <v>3153</v>
      </c>
      <c r="AV400" s="36" t="s">
        <v>19</v>
      </c>
    </row>
    <row r="401" spans="1:264" ht="39.75" hidden="1" customHeight="1" x14ac:dyDescent="0.3">
      <c r="A401" s="15" t="s">
        <v>56</v>
      </c>
      <c r="B401" s="15" t="s">
        <v>17</v>
      </c>
      <c r="C401" s="15" t="s">
        <v>1144</v>
      </c>
      <c r="D401" s="15" t="s">
        <v>32</v>
      </c>
      <c r="E401" s="15" t="s">
        <v>19</v>
      </c>
      <c r="F401" s="15" t="s">
        <v>19</v>
      </c>
      <c r="G401" s="15" t="s">
        <v>19</v>
      </c>
      <c r="H401" s="15" t="s">
        <v>19</v>
      </c>
      <c r="I401" s="15" t="s">
        <v>19</v>
      </c>
      <c r="J401" s="15" t="s">
        <v>19</v>
      </c>
      <c r="K401" s="15" t="s">
        <v>19</v>
      </c>
      <c r="L401" s="15" t="s">
        <v>19</v>
      </c>
      <c r="M401" s="15" t="s">
        <v>1120</v>
      </c>
      <c r="N401" s="4" t="s">
        <v>1021</v>
      </c>
      <c r="O401" s="33" t="s">
        <v>1648</v>
      </c>
      <c r="P401" s="4" t="s">
        <v>1020</v>
      </c>
      <c r="S401" s="15" t="e" cm="1">
        <f t="array" aca="1" ref="S401" ca="1">COMMONMARKETCOUNT(H401:AV401)</f>
        <v>#NAME?</v>
      </c>
      <c r="T401" s="6" t="e" cm="1">
        <f t="array" aca="1" ref="T401" ca="1">AUTOMATEDCOUNT(H401:AV401)</f>
        <v>#NAME?</v>
      </c>
      <c r="V401" s="15" t="s">
        <v>19</v>
      </c>
      <c r="W401" s="15" t="s">
        <v>19</v>
      </c>
      <c r="X401" s="15" t="s">
        <v>19</v>
      </c>
      <c r="Y401" s="15" t="s">
        <v>19</v>
      </c>
      <c r="Z401" s="15" t="s">
        <v>19</v>
      </c>
      <c r="AA401" s="15" t="s">
        <v>19</v>
      </c>
      <c r="AB401" s="15" t="s">
        <v>19</v>
      </c>
      <c r="AC401" s="15" t="s">
        <v>19</v>
      </c>
      <c r="AD401" s="18" t="s">
        <v>19</v>
      </c>
      <c r="AE401" s="18" t="s">
        <v>19</v>
      </c>
      <c r="AF401" s="15" t="s">
        <v>19</v>
      </c>
      <c r="AG401" s="15" t="s">
        <v>19</v>
      </c>
      <c r="AH401" s="15" t="s">
        <v>19</v>
      </c>
      <c r="AI401" s="15" t="s">
        <v>19</v>
      </c>
      <c r="AJ401" s="15" t="s">
        <v>19</v>
      </c>
      <c r="AK401" s="15" t="s">
        <v>19</v>
      </c>
      <c r="AL401" s="15" t="s">
        <v>19</v>
      </c>
      <c r="AM401" s="15" t="s">
        <v>19</v>
      </c>
      <c r="AN401" s="15" t="s">
        <v>19</v>
      </c>
      <c r="AO401" s="15" t="s">
        <v>19</v>
      </c>
      <c r="AP401" s="15" t="s">
        <v>19</v>
      </c>
      <c r="AQ401" s="15" t="s">
        <v>19</v>
      </c>
      <c r="AR401" s="15" t="s">
        <v>19</v>
      </c>
      <c r="AS401" s="15" t="s">
        <v>19</v>
      </c>
      <c r="AT401" s="15" t="s">
        <v>19</v>
      </c>
      <c r="AU401" s="15" t="s">
        <v>3153</v>
      </c>
      <c r="AV401" s="36" t="s">
        <v>19</v>
      </c>
    </row>
    <row r="402" spans="1:264" ht="39.75" hidden="1" customHeight="1" x14ac:dyDescent="0.3">
      <c r="A402" s="15" t="s">
        <v>25</v>
      </c>
      <c r="B402" s="15" t="s">
        <v>17</v>
      </c>
      <c r="C402" s="15" t="s">
        <v>1145</v>
      </c>
      <c r="D402" s="15" t="s">
        <v>32</v>
      </c>
      <c r="E402" s="15" t="s">
        <v>19</v>
      </c>
      <c r="F402" s="15" t="s">
        <v>19</v>
      </c>
      <c r="G402" s="15" t="s">
        <v>19</v>
      </c>
      <c r="H402" s="15" t="s">
        <v>19</v>
      </c>
      <c r="I402" s="15" t="s">
        <v>19</v>
      </c>
      <c r="J402" s="15" t="s">
        <v>19</v>
      </c>
      <c r="K402" s="15" t="s">
        <v>19</v>
      </c>
      <c r="L402" s="15" t="s">
        <v>19</v>
      </c>
      <c r="M402" s="15" t="s">
        <v>1096</v>
      </c>
      <c r="N402" s="4" t="s">
        <v>1097</v>
      </c>
      <c r="O402" s="33" t="s">
        <v>1648</v>
      </c>
      <c r="P402" s="4" t="s">
        <v>1099</v>
      </c>
      <c r="S402" s="15" t="e" cm="1">
        <f t="array" aca="1" ref="S402" ca="1">COMMONMARKETCOUNT(H402:AV402)</f>
        <v>#NAME?</v>
      </c>
      <c r="T402" s="6" t="e" cm="1">
        <f t="array" aca="1" ref="T402" ca="1">AUTOMATEDCOUNT(H402:AV402)</f>
        <v>#NAME?</v>
      </c>
      <c r="V402" s="15" t="s">
        <v>19</v>
      </c>
      <c r="W402" s="15" t="s">
        <v>19</v>
      </c>
      <c r="X402" s="15" t="s">
        <v>19</v>
      </c>
      <c r="Y402" s="15" t="s">
        <v>19</v>
      </c>
      <c r="Z402" s="15" t="s">
        <v>19</v>
      </c>
      <c r="AA402" s="15" t="s">
        <v>19</v>
      </c>
      <c r="AB402" s="15" t="s">
        <v>19</v>
      </c>
      <c r="AC402" s="15" t="s">
        <v>19</v>
      </c>
      <c r="AD402" s="15" t="s">
        <v>19</v>
      </c>
      <c r="AE402" s="15" t="s">
        <v>19</v>
      </c>
      <c r="AF402" s="15" t="s">
        <v>19</v>
      </c>
      <c r="AG402" s="15" t="s">
        <v>19</v>
      </c>
      <c r="AH402" s="15" t="s">
        <v>19</v>
      </c>
      <c r="AI402" s="15" t="s">
        <v>19</v>
      </c>
      <c r="AJ402" s="15" t="s">
        <v>19</v>
      </c>
      <c r="AK402" s="15" t="s">
        <v>19</v>
      </c>
      <c r="AL402" s="15" t="s">
        <v>19</v>
      </c>
      <c r="AM402" s="15" t="s">
        <v>19</v>
      </c>
      <c r="AN402" s="15" t="s">
        <v>19</v>
      </c>
      <c r="AO402" s="15" t="s">
        <v>19</v>
      </c>
      <c r="AP402" s="15" t="s">
        <v>19</v>
      </c>
      <c r="AQ402" s="15" t="s">
        <v>19</v>
      </c>
      <c r="AR402" s="15" t="s">
        <v>19</v>
      </c>
      <c r="AS402" s="15" t="s">
        <v>19</v>
      </c>
      <c r="AT402" s="15" t="s">
        <v>19</v>
      </c>
      <c r="AU402" s="15" t="s">
        <v>3153</v>
      </c>
      <c r="AV402" s="36" t="s">
        <v>19</v>
      </c>
    </row>
    <row r="403" spans="1:264" ht="39.75" hidden="1" customHeight="1" x14ac:dyDescent="0.3">
      <c r="A403" s="15" t="s">
        <v>56</v>
      </c>
      <c r="B403" s="15" t="s">
        <v>17</v>
      </c>
      <c r="C403" s="15" t="s">
        <v>1146</v>
      </c>
      <c r="D403" s="15" t="s">
        <v>32</v>
      </c>
      <c r="E403" s="15" t="s">
        <v>19</v>
      </c>
      <c r="F403" s="15" t="s">
        <v>19</v>
      </c>
      <c r="G403" s="15" t="s">
        <v>19</v>
      </c>
      <c r="H403" s="15" t="s">
        <v>19</v>
      </c>
      <c r="I403" s="15" t="s">
        <v>19</v>
      </c>
      <c r="J403" s="15" t="s">
        <v>19</v>
      </c>
      <c r="K403" s="15" t="s">
        <v>19</v>
      </c>
      <c r="L403" s="15" t="s">
        <v>19</v>
      </c>
      <c r="M403" s="15" t="s">
        <v>1100</v>
      </c>
      <c r="N403" s="4" t="s">
        <v>1103</v>
      </c>
      <c r="O403" s="33" t="s">
        <v>1648</v>
      </c>
      <c r="P403" s="4" t="s">
        <v>1101</v>
      </c>
      <c r="S403" s="15" t="e" cm="1">
        <f t="array" aca="1" ref="S403" ca="1">COMMONMARKETCOUNT(H403:AV403)</f>
        <v>#NAME?</v>
      </c>
      <c r="T403" s="6" t="e" cm="1">
        <f t="array" aca="1" ref="T403" ca="1">AUTOMATEDCOUNT(H403:AV403)</f>
        <v>#NAME?</v>
      </c>
      <c r="V403" s="15" t="s">
        <v>19</v>
      </c>
      <c r="W403" s="15" t="s">
        <v>19</v>
      </c>
      <c r="X403" s="15" t="s">
        <v>19</v>
      </c>
      <c r="Y403" s="15" t="s">
        <v>19</v>
      </c>
      <c r="Z403" s="15" t="s">
        <v>19</v>
      </c>
      <c r="AA403" s="15" t="s">
        <v>19</v>
      </c>
      <c r="AB403" s="15" t="s">
        <v>19</v>
      </c>
      <c r="AC403" s="15" t="s">
        <v>19</v>
      </c>
      <c r="AD403" s="15" t="s">
        <v>19</v>
      </c>
      <c r="AE403" s="15" t="s">
        <v>19</v>
      </c>
      <c r="AF403" s="15" t="s">
        <v>19</v>
      </c>
      <c r="AG403" s="15" t="s">
        <v>19</v>
      </c>
      <c r="AH403" s="15" t="s">
        <v>19</v>
      </c>
      <c r="AI403" s="15" t="s">
        <v>19</v>
      </c>
      <c r="AJ403" s="15" t="s">
        <v>19</v>
      </c>
      <c r="AK403" s="15" t="s">
        <v>19</v>
      </c>
      <c r="AL403" s="15" t="s">
        <v>19</v>
      </c>
      <c r="AM403" s="15" t="s">
        <v>19</v>
      </c>
      <c r="AN403" s="15" t="s">
        <v>19</v>
      </c>
      <c r="AO403" s="15" t="s">
        <v>19</v>
      </c>
      <c r="AP403" s="15" t="s">
        <v>19</v>
      </c>
      <c r="AQ403" s="15" t="s">
        <v>19</v>
      </c>
      <c r="AR403" s="15" t="s">
        <v>19</v>
      </c>
      <c r="AS403" s="15" t="s">
        <v>19</v>
      </c>
      <c r="AT403" s="15" t="s">
        <v>19</v>
      </c>
      <c r="AU403" s="15" t="s">
        <v>3153</v>
      </c>
      <c r="AV403" s="36" t="s">
        <v>19</v>
      </c>
    </row>
    <row r="404" spans="1:264" ht="77.25" hidden="1" customHeight="1" x14ac:dyDescent="0.3">
      <c r="A404" s="15" t="s">
        <v>18</v>
      </c>
      <c r="B404" s="15" t="s">
        <v>1306</v>
      </c>
      <c r="C404" s="15" t="s">
        <v>1330</v>
      </c>
      <c r="D404" s="15" t="s">
        <v>32</v>
      </c>
      <c r="E404" s="18" t="s">
        <v>109</v>
      </c>
      <c r="F404" s="18" t="s">
        <v>109</v>
      </c>
      <c r="G404" s="18" t="s">
        <v>109</v>
      </c>
      <c r="H404" s="18" t="s">
        <v>109</v>
      </c>
      <c r="I404" s="18" t="s">
        <v>19</v>
      </c>
      <c r="J404" s="18" t="s">
        <v>19</v>
      </c>
      <c r="K404" s="18" t="s">
        <v>19</v>
      </c>
      <c r="L404" s="18" t="s">
        <v>19</v>
      </c>
      <c r="M404" s="15" t="s">
        <v>1049</v>
      </c>
      <c r="N404" s="4" t="s">
        <v>1098</v>
      </c>
      <c r="O404" s="33" t="s">
        <v>1648</v>
      </c>
      <c r="P404" s="4" t="s">
        <v>1753</v>
      </c>
      <c r="S404" s="15" t="e" cm="1">
        <f t="array" aca="1" ref="S404" ca="1">COMMONMARKETCOUNT(H404:AV404)</f>
        <v>#NAME?</v>
      </c>
      <c r="T404" s="6" t="e" cm="1">
        <f t="array" aca="1" ref="T404" ca="1">AUTOMATEDCOUNT(H404:AV404)</f>
        <v>#NAME?</v>
      </c>
      <c r="V404" s="18" t="s">
        <v>109</v>
      </c>
      <c r="W404" s="18" t="s">
        <v>109</v>
      </c>
      <c r="X404" s="18" t="s">
        <v>109</v>
      </c>
      <c r="Y404" s="18" t="s">
        <v>109</v>
      </c>
      <c r="Z404" s="18" t="s">
        <v>109</v>
      </c>
      <c r="AA404" s="18" t="s">
        <v>19</v>
      </c>
      <c r="AB404" s="18" t="s">
        <v>19</v>
      </c>
      <c r="AC404" s="18" t="s">
        <v>19</v>
      </c>
      <c r="AD404" s="15" t="s">
        <v>19</v>
      </c>
      <c r="AE404" s="15" t="s">
        <v>19</v>
      </c>
      <c r="AF404" s="15" t="s">
        <v>109</v>
      </c>
      <c r="AG404" s="18" t="s">
        <v>109</v>
      </c>
      <c r="AH404" s="18" t="s">
        <v>109</v>
      </c>
      <c r="AI404" s="18" t="s">
        <v>109</v>
      </c>
      <c r="AJ404" s="18" t="s">
        <v>109</v>
      </c>
      <c r="AK404" s="18" t="s">
        <v>109</v>
      </c>
      <c r="AL404" s="18" t="s">
        <v>109</v>
      </c>
      <c r="AM404" s="18" t="s">
        <v>109</v>
      </c>
      <c r="AN404" s="18" t="s">
        <v>109</v>
      </c>
      <c r="AO404" s="18" t="s">
        <v>109</v>
      </c>
      <c r="AP404" s="18" t="s">
        <v>109</v>
      </c>
      <c r="AQ404" s="18" t="s">
        <v>109</v>
      </c>
      <c r="AR404" s="18" t="s">
        <v>109</v>
      </c>
      <c r="AS404" s="18" t="s">
        <v>109</v>
      </c>
      <c r="AT404" s="18" t="s">
        <v>109</v>
      </c>
      <c r="AU404" s="18" t="s">
        <v>109</v>
      </c>
      <c r="AV404" s="36"/>
    </row>
    <row r="405" spans="1:264" ht="39.75" hidden="1" customHeight="1" x14ac:dyDescent="0.3">
      <c r="A405" s="15" t="s">
        <v>25</v>
      </c>
      <c r="B405" s="15" t="s">
        <v>1298</v>
      </c>
      <c r="C405" s="15" t="s">
        <v>1147</v>
      </c>
      <c r="D405" s="15" t="s">
        <v>19</v>
      </c>
      <c r="E405" s="18" t="s">
        <v>109</v>
      </c>
      <c r="F405" s="18" t="s">
        <v>109</v>
      </c>
      <c r="G405" s="18" t="s">
        <v>109</v>
      </c>
      <c r="H405" s="18" t="s">
        <v>109</v>
      </c>
      <c r="I405" s="72" t="s">
        <v>19</v>
      </c>
      <c r="J405" s="72" t="s">
        <v>19</v>
      </c>
      <c r="K405" s="18" t="s">
        <v>19</v>
      </c>
      <c r="L405" s="18" t="s">
        <v>19</v>
      </c>
      <c r="M405" s="15" t="s">
        <v>1108</v>
      </c>
      <c r="N405" s="4" t="s">
        <v>1107</v>
      </c>
      <c r="O405" s="33" t="s">
        <v>1654</v>
      </c>
      <c r="P405" s="4" t="s">
        <v>1106</v>
      </c>
      <c r="S405" s="15" t="e" cm="1">
        <f t="array" aca="1" ref="S405" ca="1">COMMONMARKETCOUNT(H405:AV405)</f>
        <v>#NAME?</v>
      </c>
      <c r="T405" s="6" t="e" cm="1">
        <f t="array" aca="1" ref="T405" ca="1">AUTOMATEDCOUNT(H405:AV405)</f>
        <v>#NAME?</v>
      </c>
      <c r="V405" s="18" t="s">
        <v>109</v>
      </c>
      <c r="W405" s="18" t="s">
        <v>109</v>
      </c>
      <c r="X405" s="18" t="s">
        <v>109</v>
      </c>
      <c r="Y405" s="18" t="s">
        <v>109</v>
      </c>
      <c r="Z405" s="18" t="s">
        <v>109</v>
      </c>
      <c r="AA405" s="72" t="s">
        <v>19</v>
      </c>
      <c r="AB405" s="72" t="s">
        <v>19</v>
      </c>
      <c r="AC405" s="72" t="s">
        <v>19</v>
      </c>
      <c r="AD405" s="72" t="s">
        <v>19</v>
      </c>
      <c r="AE405" s="18" t="s">
        <v>19</v>
      </c>
      <c r="AF405" s="15" t="s">
        <v>109</v>
      </c>
      <c r="AG405" s="18" t="s">
        <v>109</v>
      </c>
      <c r="AH405" s="18" t="s">
        <v>109</v>
      </c>
      <c r="AI405" s="18" t="s">
        <v>109</v>
      </c>
      <c r="AJ405" s="18" t="s">
        <v>109</v>
      </c>
      <c r="AK405" s="18" t="s">
        <v>109</v>
      </c>
      <c r="AL405" s="18" t="s">
        <v>109</v>
      </c>
      <c r="AM405" s="18" t="s">
        <v>109</v>
      </c>
      <c r="AN405" s="18" t="s">
        <v>109</v>
      </c>
      <c r="AO405" s="18" t="s">
        <v>109</v>
      </c>
      <c r="AP405" s="18" t="s">
        <v>109</v>
      </c>
      <c r="AQ405" s="18" t="s">
        <v>109</v>
      </c>
      <c r="AR405" s="18" t="s">
        <v>109</v>
      </c>
      <c r="AS405" s="18" t="s">
        <v>109</v>
      </c>
      <c r="AT405" s="18" t="s">
        <v>109</v>
      </c>
      <c r="AU405" s="18" t="s">
        <v>109</v>
      </c>
      <c r="AV405" s="36" t="s">
        <v>109</v>
      </c>
    </row>
    <row r="406" spans="1:264" ht="39.75" hidden="1" customHeight="1" x14ac:dyDescent="0.3">
      <c r="A406" s="15" t="s">
        <v>56</v>
      </c>
      <c r="B406" s="15" t="s">
        <v>1298</v>
      </c>
      <c r="C406" s="15" t="s">
        <v>1148</v>
      </c>
      <c r="D406" s="15" t="s">
        <v>32</v>
      </c>
      <c r="E406" s="18" t="s">
        <v>109</v>
      </c>
      <c r="F406" s="18" t="s">
        <v>109</v>
      </c>
      <c r="G406" s="18" t="s">
        <v>109</v>
      </c>
      <c r="H406" s="18" t="s">
        <v>109</v>
      </c>
      <c r="I406" s="18" t="s">
        <v>19</v>
      </c>
      <c r="J406" s="18" t="s">
        <v>19</v>
      </c>
      <c r="K406" s="18" t="s">
        <v>19</v>
      </c>
      <c r="L406" s="18" t="s">
        <v>19</v>
      </c>
      <c r="M406" s="15" t="s">
        <v>1351</v>
      </c>
      <c r="N406" s="4" t="s">
        <v>1109</v>
      </c>
      <c r="O406" s="33" t="s">
        <v>1654</v>
      </c>
      <c r="P406" s="4" t="s">
        <v>1110</v>
      </c>
      <c r="S406" s="15" t="e" cm="1">
        <f t="array" aca="1" ref="S406" ca="1">COMMONMARKETCOUNT(H406:AV406)</f>
        <v>#NAME?</v>
      </c>
      <c r="T406" s="6" t="e" cm="1">
        <f t="array" aca="1" ref="T406" ca="1">AUTOMATEDCOUNT(H406:AV406)</f>
        <v>#NAME?</v>
      </c>
      <c r="V406" s="18" t="s">
        <v>109</v>
      </c>
      <c r="W406" s="18" t="s">
        <v>109</v>
      </c>
      <c r="X406" s="18" t="s">
        <v>109</v>
      </c>
      <c r="Y406" s="18" t="s">
        <v>109</v>
      </c>
      <c r="Z406" s="18" t="s">
        <v>109</v>
      </c>
      <c r="AA406" s="18" t="s">
        <v>19</v>
      </c>
      <c r="AB406" s="18" t="s">
        <v>19</v>
      </c>
      <c r="AC406" s="18" t="s">
        <v>19</v>
      </c>
      <c r="AD406" s="18" t="s">
        <v>19</v>
      </c>
      <c r="AE406" s="18" t="s">
        <v>19</v>
      </c>
      <c r="AF406" s="15" t="s">
        <v>109</v>
      </c>
      <c r="AG406" s="18" t="s">
        <v>109</v>
      </c>
      <c r="AH406" s="18" t="s">
        <v>109</v>
      </c>
      <c r="AI406" s="18" t="s">
        <v>109</v>
      </c>
      <c r="AJ406" s="18" t="s">
        <v>109</v>
      </c>
      <c r="AK406" s="18" t="s">
        <v>109</v>
      </c>
      <c r="AL406" s="18" t="s">
        <v>109</v>
      </c>
      <c r="AM406" s="18" t="s">
        <v>109</v>
      </c>
      <c r="AN406" s="18" t="s">
        <v>109</v>
      </c>
      <c r="AO406" s="18" t="s">
        <v>109</v>
      </c>
      <c r="AP406" s="18" t="s">
        <v>109</v>
      </c>
      <c r="AQ406" s="18" t="s">
        <v>109</v>
      </c>
      <c r="AR406" s="18" t="s">
        <v>109</v>
      </c>
      <c r="AS406" s="18" t="s">
        <v>109</v>
      </c>
      <c r="AT406" s="18" t="s">
        <v>109</v>
      </c>
      <c r="AU406" s="18" t="s">
        <v>109</v>
      </c>
      <c r="AV406" s="36" t="s">
        <v>109</v>
      </c>
    </row>
    <row r="407" spans="1:264" ht="39.75" hidden="1" customHeight="1" x14ac:dyDescent="0.3">
      <c r="A407" s="15" t="s">
        <v>25</v>
      </c>
      <c r="B407" s="15" t="s">
        <v>1298</v>
      </c>
      <c r="C407" s="15" t="s">
        <v>1149</v>
      </c>
      <c r="D407" s="15" t="s">
        <v>32</v>
      </c>
      <c r="E407" s="18" t="s">
        <v>109</v>
      </c>
      <c r="F407" s="18" t="s">
        <v>109</v>
      </c>
      <c r="G407" s="18" t="s">
        <v>109</v>
      </c>
      <c r="H407" s="18" t="s">
        <v>109</v>
      </c>
      <c r="I407" s="18" t="s">
        <v>19</v>
      </c>
      <c r="J407" s="18" t="s">
        <v>19</v>
      </c>
      <c r="K407" s="18" t="s">
        <v>19</v>
      </c>
      <c r="L407" s="18" t="s">
        <v>19</v>
      </c>
      <c r="M407" s="15" t="s">
        <v>1031</v>
      </c>
      <c r="N407" s="4" t="s">
        <v>1113</v>
      </c>
      <c r="O407" s="33" t="s">
        <v>1654</v>
      </c>
      <c r="P407" s="4" t="s">
        <v>1112</v>
      </c>
      <c r="S407" s="15" t="e" cm="1">
        <f t="array" aca="1" ref="S407" ca="1">COMMONMARKETCOUNT(H407:AV407)</f>
        <v>#NAME?</v>
      </c>
      <c r="T407" s="6" t="e" cm="1">
        <f t="array" aca="1" ref="T407" ca="1">AUTOMATEDCOUNT(H407:AV407)</f>
        <v>#NAME?</v>
      </c>
      <c r="V407" s="18" t="s">
        <v>109</v>
      </c>
      <c r="W407" s="18" t="s">
        <v>109</v>
      </c>
      <c r="X407" s="18" t="s">
        <v>109</v>
      </c>
      <c r="Y407" s="18" t="s">
        <v>109</v>
      </c>
      <c r="Z407" s="18" t="s">
        <v>109</v>
      </c>
      <c r="AA407" s="18" t="s">
        <v>19</v>
      </c>
      <c r="AB407" s="18" t="s">
        <v>19</v>
      </c>
      <c r="AC407" s="18" t="s">
        <v>19</v>
      </c>
      <c r="AD407" s="18" t="s">
        <v>19</v>
      </c>
      <c r="AE407" s="18" t="s">
        <v>19</v>
      </c>
      <c r="AF407" s="15" t="s">
        <v>109</v>
      </c>
      <c r="AG407" s="18" t="s">
        <v>109</v>
      </c>
      <c r="AH407" s="18" t="s">
        <v>109</v>
      </c>
      <c r="AI407" s="18" t="s">
        <v>109</v>
      </c>
      <c r="AJ407" s="18" t="s">
        <v>109</v>
      </c>
      <c r="AK407" s="18" t="s">
        <v>109</v>
      </c>
      <c r="AL407" s="18" t="s">
        <v>109</v>
      </c>
      <c r="AM407" s="18" t="s">
        <v>109</v>
      </c>
      <c r="AN407" s="18" t="s">
        <v>109</v>
      </c>
      <c r="AO407" s="18" t="s">
        <v>109</v>
      </c>
      <c r="AP407" s="18" t="s">
        <v>109</v>
      </c>
      <c r="AQ407" s="18" t="s">
        <v>109</v>
      </c>
      <c r="AR407" s="18" t="s">
        <v>109</v>
      </c>
      <c r="AS407" s="18" t="s">
        <v>109</v>
      </c>
      <c r="AT407" s="18" t="s">
        <v>109</v>
      </c>
      <c r="AU407" s="18" t="s">
        <v>109</v>
      </c>
      <c r="AV407" s="36" t="s">
        <v>109</v>
      </c>
    </row>
    <row r="408" spans="1:264" ht="39.75" hidden="1" customHeight="1" x14ac:dyDescent="0.3">
      <c r="A408" s="15" t="s">
        <v>56</v>
      </c>
      <c r="B408" s="15" t="s">
        <v>239</v>
      </c>
      <c r="C408" s="15" t="s">
        <v>1150</v>
      </c>
      <c r="D408" s="15" t="s">
        <v>32</v>
      </c>
      <c r="E408" s="15" t="s">
        <v>19</v>
      </c>
      <c r="F408" s="15" t="s">
        <v>19</v>
      </c>
      <c r="G408" s="15" t="s">
        <v>1093</v>
      </c>
      <c r="H408" s="15" t="s">
        <v>1093</v>
      </c>
      <c r="I408" s="15" t="s">
        <v>109</v>
      </c>
      <c r="J408" s="15" t="s">
        <v>109</v>
      </c>
      <c r="K408" s="15" t="s">
        <v>109</v>
      </c>
      <c r="L408" s="15" t="s">
        <v>109</v>
      </c>
      <c r="M408" s="15" t="s">
        <v>1118</v>
      </c>
      <c r="N408" s="4" t="s">
        <v>1754</v>
      </c>
      <c r="O408" s="33" t="s">
        <v>1654</v>
      </c>
      <c r="P408" s="4" t="s">
        <v>2379</v>
      </c>
      <c r="S408" s="15" t="e" cm="1">
        <f t="array" aca="1" ref="S408" ca="1">COMMONMARKETCOUNT(H408:AV408)</f>
        <v>#NAME?</v>
      </c>
      <c r="T408" s="6" t="e" cm="1">
        <f t="array" aca="1" ref="T408" ca="1">AUTOMATEDCOUNT(H408:AV408)</f>
        <v>#NAME?</v>
      </c>
      <c r="V408" s="15" t="s">
        <v>1093</v>
      </c>
      <c r="W408" s="15" t="s">
        <v>1093</v>
      </c>
      <c r="X408" s="15" t="s">
        <v>19</v>
      </c>
      <c r="Y408" s="15" t="s">
        <v>19</v>
      </c>
      <c r="Z408" s="15" t="s">
        <v>19</v>
      </c>
      <c r="AA408" s="15" t="s">
        <v>109</v>
      </c>
      <c r="AB408" s="15" t="s">
        <v>109</v>
      </c>
      <c r="AC408" s="15" t="s">
        <v>109</v>
      </c>
      <c r="AD408" s="18" t="s">
        <v>19</v>
      </c>
      <c r="AE408" s="18" t="s">
        <v>19</v>
      </c>
      <c r="AF408" s="15" t="s">
        <v>109</v>
      </c>
      <c r="AG408" s="15" t="s">
        <v>109</v>
      </c>
      <c r="AH408" s="15" t="s">
        <v>109</v>
      </c>
      <c r="AI408" s="15" t="s">
        <v>109</v>
      </c>
      <c r="AJ408" s="15" t="s">
        <v>109</v>
      </c>
      <c r="AK408" s="15" t="s">
        <v>109</v>
      </c>
      <c r="AL408" s="15" t="s">
        <v>109</v>
      </c>
      <c r="AM408" s="15" t="s">
        <v>109</v>
      </c>
      <c r="AN408" s="15" t="s">
        <v>109</v>
      </c>
      <c r="AO408" s="15" t="s">
        <v>109</v>
      </c>
      <c r="AP408" s="15" t="s">
        <v>1093</v>
      </c>
      <c r="AQ408" s="15" t="s">
        <v>1093</v>
      </c>
      <c r="AR408" s="15" t="s">
        <v>1093</v>
      </c>
      <c r="AS408" s="15" t="s">
        <v>1093</v>
      </c>
      <c r="AT408" s="15" t="s">
        <v>1093</v>
      </c>
      <c r="AU408" s="15" t="s">
        <v>1093</v>
      </c>
      <c r="AV408" s="36" t="s">
        <v>1093</v>
      </c>
    </row>
    <row r="409" spans="1:264" ht="39.75" hidden="1" customHeight="1" x14ac:dyDescent="0.3">
      <c r="A409" s="15" t="s">
        <v>25</v>
      </c>
      <c r="B409" s="15" t="s">
        <v>1304</v>
      </c>
      <c r="C409" s="15" t="s">
        <v>1331</v>
      </c>
      <c r="D409" s="15" t="s">
        <v>32</v>
      </c>
      <c r="E409" s="18" t="s">
        <v>109</v>
      </c>
      <c r="F409" s="18" t="s">
        <v>109</v>
      </c>
      <c r="G409" s="18" t="s">
        <v>109</v>
      </c>
      <c r="H409" s="18" t="s">
        <v>109</v>
      </c>
      <c r="I409" s="18" t="s">
        <v>19</v>
      </c>
      <c r="J409" s="18" t="s">
        <v>19</v>
      </c>
      <c r="K409" s="18" t="s">
        <v>19</v>
      </c>
      <c r="L409" s="18" t="s">
        <v>19</v>
      </c>
      <c r="M409" s="15" t="s">
        <v>955</v>
      </c>
      <c r="N409" s="4" t="s">
        <v>950</v>
      </c>
      <c r="O409" s="33" t="s">
        <v>1651</v>
      </c>
      <c r="P409" s="4" t="s">
        <v>1755</v>
      </c>
      <c r="S409" s="15" t="e" cm="1">
        <f t="array" aca="1" ref="S409" ca="1">COMMONMARKETCOUNT(H409:AV409)</f>
        <v>#NAME?</v>
      </c>
      <c r="T409" s="6" t="e" cm="1">
        <f t="array" aca="1" ref="T409" ca="1">AUTOMATEDCOUNT(H409:AV409)</f>
        <v>#NAME?</v>
      </c>
      <c r="V409" s="18" t="s">
        <v>109</v>
      </c>
      <c r="W409" s="18" t="s">
        <v>109</v>
      </c>
      <c r="X409" s="18" t="s">
        <v>109</v>
      </c>
      <c r="Y409" s="18" t="s">
        <v>109</v>
      </c>
      <c r="Z409" s="18" t="s">
        <v>109</v>
      </c>
      <c r="AA409" s="18" t="s">
        <v>19</v>
      </c>
      <c r="AB409" s="18" t="s">
        <v>19</v>
      </c>
      <c r="AC409" s="18" t="s">
        <v>19</v>
      </c>
      <c r="AD409" s="15" t="s">
        <v>109</v>
      </c>
      <c r="AE409" s="15" t="s">
        <v>109</v>
      </c>
      <c r="AF409" s="15" t="s">
        <v>109</v>
      </c>
      <c r="AG409" s="18" t="s">
        <v>109</v>
      </c>
      <c r="AH409" s="18" t="s">
        <v>109</v>
      </c>
      <c r="AI409" s="18" t="s">
        <v>109</v>
      </c>
      <c r="AJ409" s="18" t="s">
        <v>109</v>
      </c>
      <c r="AK409" s="18" t="s">
        <v>109</v>
      </c>
      <c r="AL409" s="18" t="s">
        <v>109</v>
      </c>
      <c r="AM409" s="18" t="s">
        <v>109</v>
      </c>
      <c r="AN409" s="18" t="s">
        <v>109</v>
      </c>
      <c r="AO409" s="18" t="s">
        <v>109</v>
      </c>
      <c r="AP409" s="18" t="s">
        <v>109</v>
      </c>
      <c r="AQ409" s="18" t="s">
        <v>109</v>
      </c>
      <c r="AR409" s="18" t="s">
        <v>109</v>
      </c>
      <c r="AS409" s="18" t="s">
        <v>109</v>
      </c>
      <c r="AT409" s="18" t="s">
        <v>109</v>
      </c>
      <c r="AU409" s="18" t="s">
        <v>109</v>
      </c>
      <c r="AV409" s="36" t="s">
        <v>109</v>
      </c>
      <c r="AW409" s="5"/>
      <c r="AX409" s="5"/>
      <c r="AY409" s="5"/>
      <c r="AZ409" s="5"/>
      <c r="BA409" s="5"/>
      <c r="BB409" s="5"/>
      <c r="BC409" s="5"/>
      <c r="BD409" s="5"/>
      <c r="BE409" s="5"/>
      <c r="BF409" s="5"/>
      <c r="BG409" s="5"/>
      <c r="BH409" s="5"/>
      <c r="BI409" s="5"/>
      <c r="BJ409" s="5"/>
      <c r="BK409" s="5"/>
      <c r="BL409" s="5"/>
      <c r="BM409" s="5"/>
      <c r="BN409" s="5"/>
      <c r="BO409" s="5"/>
      <c r="BP409" s="5"/>
      <c r="BQ409" s="5"/>
      <c r="BR409" s="5"/>
      <c r="BS409" s="5"/>
      <c r="BT409" s="5"/>
      <c r="BU409" s="5"/>
      <c r="BV409" s="5"/>
      <c r="BW409" s="5"/>
      <c r="BX409" s="5"/>
      <c r="BY409" s="5"/>
      <c r="BZ409" s="5"/>
      <c r="CA409" s="5"/>
      <c r="CB409" s="5"/>
      <c r="CC409" s="5"/>
      <c r="CD409" s="5"/>
      <c r="CE409" s="5"/>
      <c r="CF409" s="5"/>
      <c r="CG409" s="5"/>
      <c r="CH409" s="5"/>
      <c r="CI409" s="5"/>
      <c r="CJ409" s="5"/>
      <c r="CK409" s="5"/>
      <c r="CL409" s="5"/>
      <c r="CM409" s="5"/>
      <c r="CN409" s="5"/>
      <c r="CO409" s="5"/>
      <c r="CP409" s="5"/>
      <c r="CQ409" s="5"/>
      <c r="CR409" s="5"/>
      <c r="CS409" s="5"/>
      <c r="CT409" s="5"/>
      <c r="CU409" s="5"/>
      <c r="CV409" s="5"/>
      <c r="CW409" s="5"/>
      <c r="CX409" s="5"/>
      <c r="CY409" s="5"/>
      <c r="CZ409" s="5"/>
      <c r="DA409" s="5"/>
      <c r="DB409" s="5"/>
      <c r="DC409" s="5"/>
      <c r="DD409" s="5"/>
      <c r="DE409" s="5"/>
      <c r="DF409" s="5"/>
      <c r="DG409" s="5"/>
      <c r="DH409" s="5"/>
      <c r="DI409" s="5"/>
      <c r="DJ409" s="5"/>
      <c r="DK409" s="5"/>
      <c r="DL409" s="5"/>
      <c r="DM409" s="5"/>
      <c r="DN409" s="5"/>
      <c r="DO409" s="5"/>
      <c r="DP409" s="5"/>
      <c r="DQ409" s="5"/>
      <c r="DR409" s="5"/>
      <c r="DS409" s="5"/>
      <c r="DT409" s="5"/>
      <c r="DU409" s="5"/>
      <c r="DV409" s="5"/>
      <c r="DW409" s="5"/>
      <c r="DX409" s="5"/>
      <c r="DY409" s="5"/>
      <c r="DZ409" s="5"/>
      <c r="EA409" s="5"/>
      <c r="EB409" s="5"/>
      <c r="EC409" s="5"/>
      <c r="ED409" s="5"/>
      <c r="EE409" s="5"/>
      <c r="EF409" s="5"/>
      <c r="EG409" s="5"/>
      <c r="EH409" s="5"/>
      <c r="EI409" s="5"/>
      <c r="EJ409" s="5"/>
      <c r="EK409" s="5"/>
      <c r="EL409" s="5"/>
      <c r="EM409" s="5"/>
      <c r="EN409" s="5"/>
      <c r="EO409" s="5"/>
      <c r="EP409" s="5"/>
      <c r="EQ409" s="5"/>
      <c r="ER409" s="5"/>
      <c r="ES409" s="5"/>
      <c r="ET409" s="5"/>
      <c r="EU409" s="5"/>
      <c r="EV409" s="5"/>
      <c r="EW409" s="5"/>
      <c r="EX409" s="5"/>
      <c r="EY409" s="5"/>
      <c r="EZ409" s="5"/>
      <c r="FA409" s="5"/>
      <c r="FB409" s="5"/>
      <c r="FC409" s="5"/>
      <c r="FD409" s="5"/>
      <c r="FE409" s="5"/>
      <c r="FF409" s="5"/>
      <c r="FG409" s="5"/>
      <c r="FH409" s="5"/>
      <c r="FI409" s="5"/>
      <c r="FJ409" s="5"/>
      <c r="FK409" s="5"/>
      <c r="FL409" s="5"/>
      <c r="FM409" s="5"/>
      <c r="FN409" s="5"/>
      <c r="FO409" s="5"/>
      <c r="FP409" s="5"/>
      <c r="FQ409" s="5"/>
      <c r="FR409" s="5"/>
      <c r="FS409" s="5"/>
      <c r="FT409" s="5"/>
      <c r="FU409" s="5"/>
      <c r="FV409" s="5"/>
      <c r="FW409" s="5"/>
      <c r="FX409" s="5"/>
      <c r="FY409" s="5"/>
      <c r="FZ409" s="5"/>
      <c r="GA409" s="5"/>
      <c r="GB409" s="5"/>
      <c r="GC409" s="5"/>
      <c r="GD409" s="5"/>
      <c r="GE409" s="5"/>
      <c r="GF409" s="5"/>
      <c r="GG409" s="5"/>
      <c r="GH409" s="5"/>
      <c r="GI409" s="5"/>
      <c r="GJ409" s="5"/>
      <c r="GK409" s="5"/>
      <c r="GL409" s="5"/>
      <c r="GM409" s="5"/>
      <c r="GN409" s="5"/>
      <c r="GO409" s="5"/>
      <c r="GP409" s="5"/>
      <c r="GQ409" s="5"/>
      <c r="GR409" s="5"/>
      <c r="GS409" s="5"/>
      <c r="GT409" s="5"/>
      <c r="GU409" s="5"/>
      <c r="GV409" s="5"/>
      <c r="GW409" s="5"/>
      <c r="GX409" s="5"/>
      <c r="GY409" s="5"/>
      <c r="GZ409" s="5"/>
      <c r="HA409" s="5"/>
      <c r="HB409" s="5"/>
      <c r="HC409" s="5"/>
      <c r="HD409" s="5"/>
      <c r="HE409" s="5"/>
      <c r="HF409" s="5"/>
      <c r="HG409" s="5"/>
      <c r="HH409" s="5"/>
      <c r="HI409" s="5"/>
      <c r="HJ409" s="5"/>
      <c r="HK409" s="5"/>
      <c r="HL409" s="5"/>
      <c r="HM409" s="5"/>
      <c r="HN409" s="5"/>
      <c r="HO409" s="5"/>
      <c r="HP409" s="5"/>
      <c r="HQ409" s="5"/>
      <c r="HR409" s="5"/>
      <c r="HS409" s="5"/>
      <c r="HT409" s="5"/>
      <c r="HU409" s="5"/>
      <c r="HV409" s="5"/>
      <c r="HW409" s="5"/>
      <c r="HX409" s="5"/>
      <c r="HY409" s="5"/>
      <c r="HZ409" s="5"/>
      <c r="IA409" s="5"/>
      <c r="IB409" s="5"/>
      <c r="IC409" s="5"/>
      <c r="ID409" s="5"/>
      <c r="IE409" s="5"/>
      <c r="IF409" s="5"/>
      <c r="IG409" s="5"/>
      <c r="IH409" s="5"/>
      <c r="II409" s="5"/>
      <c r="IJ409" s="5"/>
      <c r="IK409" s="5"/>
      <c r="IL409" s="5"/>
      <c r="IM409" s="5"/>
      <c r="IN409" s="5"/>
      <c r="IO409" s="5"/>
      <c r="IP409" s="5"/>
      <c r="IQ409" s="5"/>
      <c r="IR409" s="5"/>
      <c r="IS409" s="5"/>
      <c r="IT409" s="5"/>
      <c r="IU409" s="5"/>
      <c r="IV409" s="5"/>
      <c r="IW409" s="5"/>
      <c r="IX409" s="5"/>
      <c r="IY409" s="5"/>
      <c r="IZ409" s="5"/>
      <c r="JA409" s="5"/>
      <c r="JB409" s="5"/>
      <c r="JC409" s="5"/>
      <c r="JD409" s="5"/>
    </row>
    <row r="410" spans="1:264" ht="57.75" customHeight="1" x14ac:dyDescent="0.3">
      <c r="A410" s="15" t="s">
        <v>25</v>
      </c>
      <c r="B410" s="15" t="s">
        <v>24</v>
      </c>
      <c r="C410" s="15" t="s">
        <v>571</v>
      </c>
      <c r="D410" s="15" t="s">
        <v>19</v>
      </c>
      <c r="E410" s="70" t="s">
        <v>19</v>
      </c>
      <c r="F410" s="70" t="s">
        <v>19</v>
      </c>
      <c r="G410" s="70" t="s">
        <v>19</v>
      </c>
      <c r="H410" s="70" t="s">
        <v>19</v>
      </c>
      <c r="I410" s="72" t="s">
        <v>19</v>
      </c>
      <c r="J410" s="72" t="s">
        <v>19</v>
      </c>
      <c r="K410" s="29" t="s">
        <v>19</v>
      </c>
      <c r="L410" s="29" t="s">
        <v>19</v>
      </c>
      <c r="M410" s="15" t="s">
        <v>572</v>
      </c>
      <c r="N410" s="4" t="s">
        <v>1558</v>
      </c>
      <c r="O410" s="15"/>
      <c r="P410" s="4" t="s">
        <v>2311</v>
      </c>
      <c r="S410" s="15" t="e" cm="1">
        <f t="array" aca="1" ref="S410" ca="1">COMMONMARKETCOUNT(H410:AV410)</f>
        <v>#NAME?</v>
      </c>
      <c r="T410" s="6" t="e" cm="1">
        <f t="array" aca="1" ref="T410" ca="1">AUTOMATEDCOUNT(H410:AV410)</f>
        <v>#NAME?</v>
      </c>
      <c r="V410" s="15" t="s">
        <v>109</v>
      </c>
      <c r="W410" s="15" t="s">
        <v>109</v>
      </c>
      <c r="X410" s="70" t="s">
        <v>19</v>
      </c>
      <c r="Y410" s="70" t="s">
        <v>19</v>
      </c>
      <c r="Z410" s="70" t="s">
        <v>19</v>
      </c>
      <c r="AA410" s="72" t="s">
        <v>19</v>
      </c>
      <c r="AB410" s="72" t="s">
        <v>19</v>
      </c>
      <c r="AC410" s="72" t="s">
        <v>19</v>
      </c>
      <c r="AD410" s="72" t="s">
        <v>19</v>
      </c>
      <c r="AE410" s="18" t="s">
        <v>19</v>
      </c>
      <c r="AF410" s="18" t="s">
        <v>19</v>
      </c>
      <c r="AG410" s="29" t="s">
        <v>19</v>
      </c>
      <c r="AH410" s="18" t="s">
        <v>19</v>
      </c>
      <c r="AI410" s="18" t="s">
        <v>19</v>
      </c>
      <c r="AJ410" s="18" t="s">
        <v>19</v>
      </c>
      <c r="AK410" s="18" t="s">
        <v>19</v>
      </c>
      <c r="AL410" s="18" t="s">
        <v>19</v>
      </c>
      <c r="AM410" s="18" t="s">
        <v>19</v>
      </c>
      <c r="AN410" s="18" t="s">
        <v>19</v>
      </c>
      <c r="AO410" s="18" t="s">
        <v>19</v>
      </c>
      <c r="AP410" s="18" t="s">
        <v>19</v>
      </c>
      <c r="AQ410" s="18" t="s">
        <v>19</v>
      </c>
      <c r="AR410" s="18" t="s">
        <v>19</v>
      </c>
      <c r="AS410" s="70" t="s">
        <v>19</v>
      </c>
      <c r="AT410" s="18" t="s">
        <v>19</v>
      </c>
      <c r="AU410" s="29" t="s">
        <v>3153</v>
      </c>
      <c r="AV410" s="36" t="s">
        <v>19</v>
      </c>
    </row>
    <row r="411" spans="1:264" ht="39.75" hidden="1" customHeight="1" x14ac:dyDescent="0.3">
      <c r="A411" s="15" t="s">
        <v>25</v>
      </c>
      <c r="B411" s="15" t="s">
        <v>1161</v>
      </c>
      <c r="C411" s="15" t="s">
        <v>1151</v>
      </c>
      <c r="D411" s="15" t="s">
        <v>32</v>
      </c>
      <c r="E411" s="18" t="s">
        <v>109</v>
      </c>
      <c r="F411" s="18" t="s">
        <v>109</v>
      </c>
      <c r="G411" s="18" t="s">
        <v>109</v>
      </c>
      <c r="H411" s="18" t="s">
        <v>109</v>
      </c>
      <c r="I411" s="18" t="s">
        <v>19</v>
      </c>
      <c r="J411" s="18" t="s">
        <v>19</v>
      </c>
      <c r="K411" s="18" t="s">
        <v>19</v>
      </c>
      <c r="L411" s="18" t="s">
        <v>19</v>
      </c>
      <c r="M411" s="15" t="s">
        <v>2956</v>
      </c>
      <c r="N411" s="4" t="s">
        <v>1895</v>
      </c>
      <c r="O411" s="33" t="s">
        <v>1651</v>
      </c>
      <c r="P411" s="4" t="s">
        <v>1039</v>
      </c>
      <c r="S411" s="15" t="e" cm="1">
        <f t="array" aca="1" ref="S411" ca="1">COMMONMARKETCOUNT(H411:AV411)</f>
        <v>#NAME?</v>
      </c>
      <c r="T411" s="6" t="e" cm="1">
        <f t="array" aca="1" ref="T411" ca="1">AUTOMATEDCOUNT(H411:AV411)</f>
        <v>#NAME?</v>
      </c>
      <c r="V411" s="18" t="s">
        <v>109</v>
      </c>
      <c r="W411" s="18" t="s">
        <v>109</v>
      </c>
      <c r="X411" s="18" t="s">
        <v>109</v>
      </c>
      <c r="Y411" s="18" t="s">
        <v>109</v>
      </c>
      <c r="Z411" s="18" t="s">
        <v>109</v>
      </c>
      <c r="AA411" s="18" t="s">
        <v>19</v>
      </c>
      <c r="AB411" s="18" t="s">
        <v>19</v>
      </c>
      <c r="AC411" s="18" t="s">
        <v>19</v>
      </c>
      <c r="AD411" s="18" t="s">
        <v>19</v>
      </c>
      <c r="AE411" s="18" t="s">
        <v>19</v>
      </c>
      <c r="AF411" s="15" t="s">
        <v>109</v>
      </c>
      <c r="AG411" s="18" t="s">
        <v>109</v>
      </c>
      <c r="AH411" s="18" t="s">
        <v>109</v>
      </c>
      <c r="AI411" s="18" t="s">
        <v>109</v>
      </c>
      <c r="AJ411" s="18" t="s">
        <v>109</v>
      </c>
      <c r="AK411" s="18" t="s">
        <v>109</v>
      </c>
      <c r="AL411" s="18" t="s">
        <v>109</v>
      </c>
      <c r="AM411" s="18" t="s">
        <v>109</v>
      </c>
      <c r="AN411" s="18" t="s">
        <v>109</v>
      </c>
      <c r="AO411" s="18" t="s">
        <v>109</v>
      </c>
      <c r="AP411" s="18" t="s">
        <v>109</v>
      </c>
      <c r="AQ411" s="18" t="s">
        <v>109</v>
      </c>
      <c r="AR411" s="18" t="s">
        <v>109</v>
      </c>
      <c r="AS411" s="18" t="s">
        <v>109</v>
      </c>
      <c r="AT411" s="18" t="s">
        <v>109</v>
      </c>
      <c r="AU411" s="18" t="s">
        <v>109</v>
      </c>
      <c r="AV411" s="36" t="s">
        <v>109</v>
      </c>
    </row>
    <row r="412" spans="1:264" ht="58.5" hidden="1" customHeight="1" x14ac:dyDescent="0.3">
      <c r="A412" s="15" t="s">
        <v>25</v>
      </c>
      <c r="B412" s="15" t="s">
        <v>1161</v>
      </c>
      <c r="C412" s="15" t="s">
        <v>1152</v>
      </c>
      <c r="D412" s="15" t="s">
        <v>32</v>
      </c>
      <c r="E412" s="18" t="s">
        <v>109</v>
      </c>
      <c r="F412" s="18" t="s">
        <v>109</v>
      </c>
      <c r="G412" s="18" t="s">
        <v>109</v>
      </c>
      <c r="H412" s="18" t="s">
        <v>109</v>
      </c>
      <c r="I412" s="18" t="s">
        <v>19</v>
      </c>
      <c r="J412" s="18" t="s">
        <v>19</v>
      </c>
      <c r="K412" s="18" t="s">
        <v>19</v>
      </c>
      <c r="L412" s="18" t="s">
        <v>19</v>
      </c>
      <c r="M412" s="15" t="s">
        <v>1756</v>
      </c>
      <c r="N412" s="4" t="s">
        <v>948</v>
      </c>
      <c r="O412" s="33" t="s">
        <v>1651</v>
      </c>
      <c r="P412" s="4" t="s">
        <v>1052</v>
      </c>
      <c r="S412" s="15" t="e" cm="1">
        <f t="array" aca="1" ref="S412" ca="1">COMMONMARKETCOUNT(H412:AV412)</f>
        <v>#NAME?</v>
      </c>
      <c r="T412" s="6" t="e" cm="1">
        <f t="array" aca="1" ref="T412" ca="1">AUTOMATEDCOUNT(H412:AV412)</f>
        <v>#NAME?</v>
      </c>
      <c r="V412" s="18" t="s">
        <v>109</v>
      </c>
      <c r="W412" s="18" t="s">
        <v>109</v>
      </c>
      <c r="X412" s="18" t="s">
        <v>109</v>
      </c>
      <c r="Y412" s="18" t="s">
        <v>109</v>
      </c>
      <c r="Z412" s="18" t="s">
        <v>109</v>
      </c>
      <c r="AA412" s="18" t="s">
        <v>19</v>
      </c>
      <c r="AB412" s="18" t="s">
        <v>19</v>
      </c>
      <c r="AC412" s="18" t="s">
        <v>19</v>
      </c>
      <c r="AD412" s="18" t="s">
        <v>19</v>
      </c>
      <c r="AE412" s="18" t="s">
        <v>19</v>
      </c>
      <c r="AF412" s="15" t="s">
        <v>109</v>
      </c>
      <c r="AG412" s="18" t="s">
        <v>109</v>
      </c>
      <c r="AH412" s="18" t="s">
        <v>109</v>
      </c>
      <c r="AI412" s="18" t="s">
        <v>109</v>
      </c>
      <c r="AJ412" s="18" t="s">
        <v>109</v>
      </c>
      <c r="AK412" s="18" t="s">
        <v>109</v>
      </c>
      <c r="AL412" s="18" t="s">
        <v>109</v>
      </c>
      <c r="AM412" s="18" t="s">
        <v>109</v>
      </c>
      <c r="AN412" s="18" t="s">
        <v>109</v>
      </c>
      <c r="AO412" s="18" t="s">
        <v>109</v>
      </c>
      <c r="AP412" s="18" t="s">
        <v>109</v>
      </c>
      <c r="AQ412" s="18" t="s">
        <v>109</v>
      </c>
      <c r="AR412" s="18" t="s">
        <v>109</v>
      </c>
      <c r="AS412" s="18" t="s">
        <v>109</v>
      </c>
      <c r="AT412" s="18" t="s">
        <v>109</v>
      </c>
      <c r="AU412" s="18" t="s">
        <v>109</v>
      </c>
      <c r="AV412" s="36" t="s">
        <v>109</v>
      </c>
    </row>
    <row r="413" spans="1:264" ht="79.5" hidden="1" customHeight="1" x14ac:dyDescent="0.3">
      <c r="A413" s="15" t="s">
        <v>25</v>
      </c>
      <c r="B413" s="15" t="s">
        <v>1161</v>
      </c>
      <c r="C413" s="15" t="s">
        <v>1153</v>
      </c>
      <c r="D413" s="15" t="s">
        <v>32</v>
      </c>
      <c r="E413" s="18" t="s">
        <v>109</v>
      </c>
      <c r="F413" s="18" t="s">
        <v>109</v>
      </c>
      <c r="G413" s="18" t="s">
        <v>109</v>
      </c>
      <c r="H413" s="18" t="s">
        <v>109</v>
      </c>
      <c r="I413" s="18" t="s">
        <v>19</v>
      </c>
      <c r="J413" s="18" t="s">
        <v>19</v>
      </c>
      <c r="K413" s="18" t="s">
        <v>19</v>
      </c>
      <c r="L413" s="18" t="s">
        <v>19</v>
      </c>
      <c r="M413" s="15" t="s">
        <v>942</v>
      </c>
      <c r="N413" s="4" t="s">
        <v>949</v>
      </c>
      <c r="O413" s="33" t="s">
        <v>1651</v>
      </c>
      <c r="P413" s="4" t="s">
        <v>1041</v>
      </c>
      <c r="S413" s="15" t="e" cm="1">
        <f t="array" aca="1" ref="S413" ca="1">COMMONMARKETCOUNT(H413:AV413)</f>
        <v>#NAME?</v>
      </c>
      <c r="T413" s="6" t="e" cm="1">
        <f t="array" aca="1" ref="T413" ca="1">AUTOMATEDCOUNT(H413:AV413)</f>
        <v>#NAME?</v>
      </c>
      <c r="V413" s="18" t="s">
        <v>109</v>
      </c>
      <c r="W413" s="18" t="s">
        <v>109</v>
      </c>
      <c r="X413" s="18" t="s">
        <v>109</v>
      </c>
      <c r="Y413" s="18" t="s">
        <v>109</v>
      </c>
      <c r="Z413" s="18" t="s">
        <v>109</v>
      </c>
      <c r="AA413" s="18" t="s">
        <v>19</v>
      </c>
      <c r="AB413" s="18" t="s">
        <v>19</v>
      </c>
      <c r="AC413" s="18" t="s">
        <v>19</v>
      </c>
      <c r="AD413" s="18" t="s">
        <v>19</v>
      </c>
      <c r="AE413" s="18" t="s">
        <v>19</v>
      </c>
      <c r="AF413" s="15" t="s">
        <v>109</v>
      </c>
      <c r="AG413" s="18" t="s">
        <v>109</v>
      </c>
      <c r="AH413" s="18" t="s">
        <v>109</v>
      </c>
      <c r="AI413" s="18" t="s">
        <v>109</v>
      </c>
      <c r="AJ413" s="18" t="s">
        <v>109</v>
      </c>
      <c r="AK413" s="18" t="s">
        <v>109</v>
      </c>
      <c r="AL413" s="18" t="s">
        <v>109</v>
      </c>
      <c r="AM413" s="18" t="s">
        <v>109</v>
      </c>
      <c r="AN413" s="18" t="s">
        <v>109</v>
      </c>
      <c r="AO413" s="18" t="s">
        <v>109</v>
      </c>
      <c r="AP413" s="18" t="s">
        <v>109</v>
      </c>
      <c r="AQ413" s="18" t="s">
        <v>109</v>
      </c>
      <c r="AR413" s="18" t="s">
        <v>109</v>
      </c>
      <c r="AS413" s="18" t="s">
        <v>109</v>
      </c>
      <c r="AT413" s="18" t="s">
        <v>109</v>
      </c>
      <c r="AU413" s="18" t="s">
        <v>109</v>
      </c>
      <c r="AV413" s="36" t="s">
        <v>109</v>
      </c>
      <c r="AW413" s="37"/>
      <c r="AX413" s="37"/>
      <c r="AY413" s="37"/>
      <c r="AZ413" s="37"/>
      <c r="BA413" s="37"/>
      <c r="BB413" s="37"/>
      <c r="BC413" s="37"/>
      <c r="BD413" s="37"/>
      <c r="BE413" s="37"/>
      <c r="BF413" s="37"/>
      <c r="BG413" s="37"/>
      <c r="BH413" s="37"/>
      <c r="BI413" s="37"/>
      <c r="BJ413" s="37"/>
      <c r="BK413" s="37"/>
      <c r="BL413" s="37"/>
      <c r="BM413" s="37"/>
      <c r="BN413" s="37"/>
      <c r="BO413" s="37"/>
      <c r="BP413" s="37"/>
      <c r="BQ413" s="37"/>
      <c r="BR413" s="37"/>
      <c r="BS413" s="37"/>
      <c r="BT413" s="37"/>
      <c r="BU413" s="37"/>
      <c r="BV413" s="37"/>
      <c r="BW413" s="37"/>
      <c r="BX413" s="37"/>
      <c r="BY413" s="37"/>
      <c r="BZ413" s="37"/>
      <c r="CA413" s="37"/>
      <c r="CB413" s="37"/>
      <c r="CC413" s="37"/>
      <c r="CD413" s="37"/>
      <c r="CE413" s="37"/>
      <c r="CF413" s="37"/>
      <c r="CG413" s="37"/>
      <c r="CH413" s="37"/>
      <c r="CI413" s="37"/>
      <c r="CJ413" s="37"/>
      <c r="CK413" s="37"/>
      <c r="CL413" s="37"/>
      <c r="CM413" s="37"/>
      <c r="CN413" s="37"/>
      <c r="CO413" s="37"/>
      <c r="CP413" s="37"/>
      <c r="CQ413" s="37"/>
      <c r="CR413" s="37"/>
      <c r="CS413" s="37"/>
      <c r="CT413" s="37"/>
      <c r="CU413" s="37"/>
      <c r="CV413" s="37"/>
      <c r="CW413" s="37"/>
      <c r="CX413" s="37"/>
      <c r="CY413" s="37"/>
      <c r="CZ413" s="37"/>
      <c r="DA413" s="37"/>
      <c r="DB413" s="37"/>
      <c r="DC413" s="37"/>
      <c r="DD413" s="37"/>
      <c r="DE413" s="37"/>
      <c r="DF413" s="37"/>
      <c r="DG413" s="37"/>
      <c r="DH413" s="37"/>
      <c r="DI413" s="37"/>
      <c r="DJ413" s="37"/>
      <c r="DK413" s="37"/>
      <c r="DL413" s="37"/>
      <c r="DM413" s="37"/>
      <c r="DN413" s="37"/>
      <c r="DO413" s="37"/>
      <c r="DP413" s="37"/>
      <c r="DQ413" s="37"/>
      <c r="DR413" s="37"/>
      <c r="DS413" s="37"/>
      <c r="DT413" s="37"/>
      <c r="DU413" s="37"/>
      <c r="DV413" s="37"/>
      <c r="DW413" s="37"/>
      <c r="DX413" s="37"/>
      <c r="DY413" s="37"/>
      <c r="DZ413" s="37"/>
      <c r="EA413" s="37"/>
      <c r="EB413" s="37"/>
      <c r="EC413" s="37"/>
      <c r="ED413" s="37"/>
      <c r="EE413" s="37"/>
      <c r="EF413" s="37"/>
      <c r="EG413" s="37"/>
      <c r="EH413" s="37"/>
      <c r="EI413" s="37"/>
      <c r="EJ413" s="37"/>
      <c r="EK413" s="37"/>
      <c r="EL413" s="37"/>
      <c r="EM413" s="37"/>
      <c r="EN413" s="37"/>
      <c r="EO413" s="37"/>
      <c r="EP413" s="37"/>
      <c r="EQ413" s="37"/>
      <c r="ER413" s="37"/>
      <c r="ES413" s="37"/>
      <c r="ET413" s="37"/>
      <c r="EU413" s="37"/>
      <c r="EV413" s="37"/>
      <c r="EW413" s="37"/>
      <c r="EX413" s="37"/>
      <c r="EY413" s="37"/>
      <c r="EZ413" s="37"/>
      <c r="FA413" s="37"/>
      <c r="FB413" s="37"/>
      <c r="FC413" s="37"/>
      <c r="FD413" s="37"/>
      <c r="FE413" s="37"/>
      <c r="FF413" s="37"/>
      <c r="FG413" s="37"/>
      <c r="FH413" s="37"/>
      <c r="FI413" s="37"/>
      <c r="FJ413" s="37"/>
      <c r="FK413" s="37"/>
      <c r="FL413" s="37"/>
      <c r="FM413" s="37"/>
      <c r="FN413" s="37"/>
      <c r="FO413" s="37"/>
      <c r="FP413" s="37"/>
      <c r="FQ413" s="37"/>
      <c r="FR413" s="37"/>
      <c r="FS413" s="37"/>
      <c r="FT413" s="37"/>
      <c r="FU413" s="37"/>
      <c r="FV413" s="37"/>
      <c r="FW413" s="37"/>
      <c r="FX413" s="37"/>
      <c r="FY413" s="37"/>
      <c r="FZ413" s="37"/>
      <c r="GA413" s="37"/>
      <c r="GB413" s="37"/>
      <c r="GC413" s="37"/>
      <c r="GD413" s="37"/>
      <c r="GE413" s="37"/>
      <c r="GF413" s="37"/>
      <c r="GG413" s="37"/>
      <c r="GH413" s="37"/>
      <c r="GI413" s="37"/>
      <c r="GJ413" s="37"/>
      <c r="GK413" s="37"/>
      <c r="GL413" s="37"/>
      <c r="GM413" s="37"/>
      <c r="GN413" s="37"/>
      <c r="GO413" s="37"/>
      <c r="GP413" s="37"/>
      <c r="GQ413" s="37"/>
      <c r="GR413" s="37"/>
      <c r="GS413" s="37"/>
      <c r="GT413" s="37"/>
      <c r="GU413" s="37"/>
      <c r="GV413" s="37"/>
      <c r="GW413" s="37"/>
      <c r="GX413" s="37"/>
      <c r="GY413" s="37"/>
      <c r="GZ413" s="37"/>
      <c r="HA413" s="37"/>
      <c r="HB413" s="37"/>
      <c r="HC413" s="37"/>
      <c r="HD413" s="37"/>
      <c r="HE413" s="37"/>
      <c r="HF413" s="37"/>
      <c r="HG413" s="37"/>
      <c r="HH413" s="37"/>
      <c r="HI413" s="37"/>
      <c r="HJ413" s="37"/>
      <c r="HK413" s="37"/>
      <c r="HL413" s="37"/>
      <c r="HM413" s="37"/>
      <c r="HN413" s="37"/>
      <c r="HO413" s="37"/>
      <c r="HP413" s="37"/>
      <c r="HQ413" s="37"/>
      <c r="HR413" s="37"/>
      <c r="HS413" s="37"/>
      <c r="HT413" s="37"/>
      <c r="HU413" s="37"/>
      <c r="HV413" s="37"/>
      <c r="HW413" s="37"/>
      <c r="HX413" s="37"/>
      <c r="HY413" s="37"/>
      <c r="HZ413" s="37"/>
      <c r="IA413" s="37"/>
      <c r="IB413" s="37"/>
      <c r="IC413" s="37"/>
      <c r="ID413" s="37"/>
      <c r="IE413" s="37"/>
      <c r="IF413" s="37"/>
      <c r="IG413" s="37"/>
      <c r="IH413" s="37"/>
      <c r="II413" s="37"/>
      <c r="IJ413" s="37"/>
      <c r="IK413" s="37"/>
      <c r="IL413" s="37"/>
      <c r="IM413" s="37"/>
      <c r="IN413" s="37"/>
      <c r="IO413" s="37"/>
      <c r="IP413" s="37"/>
      <c r="IQ413" s="37"/>
      <c r="IR413" s="37"/>
      <c r="IS413" s="37"/>
      <c r="IT413" s="37"/>
      <c r="IU413" s="37"/>
      <c r="IV413" s="37"/>
      <c r="IW413" s="37"/>
      <c r="IX413" s="37"/>
      <c r="IY413" s="37"/>
      <c r="IZ413" s="37"/>
      <c r="JA413" s="37"/>
      <c r="JB413" s="37"/>
      <c r="JC413" s="37"/>
      <c r="JD413" s="37"/>
    </row>
    <row r="414" spans="1:264" ht="62.25" hidden="1" customHeight="1" x14ac:dyDescent="0.3">
      <c r="A414" s="15" t="s">
        <v>56</v>
      </c>
      <c r="B414" s="15" t="s">
        <v>239</v>
      </c>
      <c r="C414" s="15" t="s">
        <v>1154</v>
      </c>
      <c r="D414" s="15" t="s">
        <v>32</v>
      </c>
      <c r="E414" s="18" t="s">
        <v>109</v>
      </c>
      <c r="F414" s="18" t="s">
        <v>109</v>
      </c>
      <c r="G414" s="18" t="s">
        <v>109</v>
      </c>
      <c r="H414" s="18" t="s">
        <v>109</v>
      </c>
      <c r="I414" s="18" t="s">
        <v>19</v>
      </c>
      <c r="J414" s="18" t="s">
        <v>19</v>
      </c>
      <c r="K414" s="18" t="s">
        <v>19</v>
      </c>
      <c r="L414" s="18" t="s">
        <v>19</v>
      </c>
      <c r="M414" s="15" t="s">
        <v>1035</v>
      </c>
      <c r="N414" s="4" t="s">
        <v>1037</v>
      </c>
      <c r="O414" s="33" t="s">
        <v>1651</v>
      </c>
      <c r="P414" s="4" t="s">
        <v>1038</v>
      </c>
      <c r="S414" s="15" t="e" cm="1">
        <f t="array" aca="1" ref="S414" ca="1">COMMONMARKETCOUNT(H414:AV414)</f>
        <v>#NAME?</v>
      </c>
      <c r="T414" s="6" t="e" cm="1">
        <f t="array" aca="1" ref="T414" ca="1">AUTOMATEDCOUNT(H414:AV414)</f>
        <v>#NAME?</v>
      </c>
      <c r="V414" s="18" t="s">
        <v>109</v>
      </c>
      <c r="W414" s="18" t="s">
        <v>109</v>
      </c>
      <c r="X414" s="18" t="s">
        <v>109</v>
      </c>
      <c r="Y414" s="18" t="s">
        <v>109</v>
      </c>
      <c r="Z414" s="18" t="s">
        <v>109</v>
      </c>
      <c r="AA414" s="18" t="s">
        <v>19</v>
      </c>
      <c r="AB414" s="18" t="s">
        <v>19</v>
      </c>
      <c r="AC414" s="18" t="s">
        <v>19</v>
      </c>
      <c r="AD414" s="18" t="s">
        <v>19</v>
      </c>
      <c r="AE414" s="18" t="s">
        <v>19</v>
      </c>
      <c r="AF414" s="15" t="s">
        <v>109</v>
      </c>
      <c r="AG414" s="18" t="s">
        <v>109</v>
      </c>
      <c r="AH414" s="18" t="s">
        <v>109</v>
      </c>
      <c r="AI414" s="18" t="s">
        <v>109</v>
      </c>
      <c r="AJ414" s="18" t="s">
        <v>109</v>
      </c>
      <c r="AK414" s="18" t="s">
        <v>109</v>
      </c>
      <c r="AL414" s="18" t="s">
        <v>109</v>
      </c>
      <c r="AM414" s="18" t="s">
        <v>109</v>
      </c>
      <c r="AN414" s="18" t="s">
        <v>109</v>
      </c>
      <c r="AO414" s="18" t="s">
        <v>109</v>
      </c>
      <c r="AP414" s="18" t="s">
        <v>109</v>
      </c>
      <c r="AQ414" s="18" t="s">
        <v>109</v>
      </c>
      <c r="AR414" s="18" t="s">
        <v>109</v>
      </c>
      <c r="AS414" s="18" t="s">
        <v>109</v>
      </c>
      <c r="AT414" s="18" t="s">
        <v>109</v>
      </c>
      <c r="AU414" s="18" t="s">
        <v>109</v>
      </c>
      <c r="AV414" s="36"/>
    </row>
    <row r="415" spans="1:264" ht="66" hidden="1" customHeight="1" x14ac:dyDescent="0.3">
      <c r="A415" s="15" t="s">
        <v>315</v>
      </c>
      <c r="B415" s="15" t="s">
        <v>1324</v>
      </c>
      <c r="C415" s="15" t="s">
        <v>1155</v>
      </c>
      <c r="D415" s="15" t="s">
        <v>32</v>
      </c>
      <c r="E415" s="18" t="s">
        <v>109</v>
      </c>
      <c r="F415" s="18" t="s">
        <v>109</v>
      </c>
      <c r="G415" s="18" t="s">
        <v>109</v>
      </c>
      <c r="H415" s="18" t="s">
        <v>109</v>
      </c>
      <c r="I415" s="18" t="s">
        <v>19</v>
      </c>
      <c r="J415" s="18" t="s">
        <v>19</v>
      </c>
      <c r="K415" s="18" t="s">
        <v>19</v>
      </c>
      <c r="L415" s="18" t="s">
        <v>19</v>
      </c>
      <c r="M415" s="15" t="s">
        <v>1659</v>
      </c>
      <c r="N415" s="4" t="s">
        <v>1059</v>
      </c>
      <c r="O415" s="33" t="s">
        <v>1648</v>
      </c>
      <c r="P415" s="4" t="s">
        <v>1061</v>
      </c>
      <c r="S415" s="15" t="e" cm="1">
        <f t="array" aca="1" ref="S415" ca="1">COMMONMARKETCOUNT(H415:AV415)</f>
        <v>#NAME?</v>
      </c>
      <c r="T415" s="6" t="e" cm="1">
        <f t="array" aca="1" ref="T415" ca="1">AUTOMATEDCOUNT(H415:AV415)</f>
        <v>#NAME?</v>
      </c>
      <c r="V415" s="18" t="s">
        <v>109</v>
      </c>
      <c r="W415" s="18" t="s">
        <v>109</v>
      </c>
      <c r="X415" s="18" t="s">
        <v>109</v>
      </c>
      <c r="Y415" s="18" t="s">
        <v>109</v>
      </c>
      <c r="Z415" s="18" t="s">
        <v>109</v>
      </c>
      <c r="AA415" s="18" t="s">
        <v>19</v>
      </c>
      <c r="AB415" s="18" t="s">
        <v>19</v>
      </c>
      <c r="AC415" s="18" t="s">
        <v>19</v>
      </c>
      <c r="AD415" s="18" t="s">
        <v>19</v>
      </c>
      <c r="AE415" s="18" t="s">
        <v>19</v>
      </c>
      <c r="AF415" s="15" t="s">
        <v>109</v>
      </c>
      <c r="AG415" s="18" t="s">
        <v>109</v>
      </c>
      <c r="AH415" s="18" t="s">
        <v>109</v>
      </c>
      <c r="AI415" s="18" t="s">
        <v>109</v>
      </c>
      <c r="AJ415" s="18" t="s">
        <v>109</v>
      </c>
      <c r="AK415" s="18" t="s">
        <v>109</v>
      </c>
      <c r="AL415" s="18" t="s">
        <v>109</v>
      </c>
      <c r="AM415" s="18" t="s">
        <v>109</v>
      </c>
      <c r="AN415" s="18" t="s">
        <v>109</v>
      </c>
      <c r="AO415" s="18" t="s">
        <v>109</v>
      </c>
      <c r="AP415" s="18" t="s">
        <v>109</v>
      </c>
      <c r="AQ415" s="18" t="s">
        <v>109</v>
      </c>
      <c r="AR415" s="18" t="s">
        <v>109</v>
      </c>
      <c r="AS415" s="18" t="s">
        <v>109</v>
      </c>
      <c r="AT415" s="18" t="s">
        <v>109</v>
      </c>
      <c r="AU415" s="18" t="s">
        <v>109</v>
      </c>
      <c r="AV415" s="36"/>
    </row>
    <row r="416" spans="1:264" ht="62.25" hidden="1" customHeight="1" x14ac:dyDescent="0.3">
      <c r="A416" s="15" t="s">
        <v>315</v>
      </c>
      <c r="B416" s="15" t="s">
        <v>174</v>
      </c>
      <c r="C416" s="15" t="s">
        <v>1156</v>
      </c>
      <c r="D416" s="15" t="s">
        <v>32</v>
      </c>
      <c r="E416" s="15" t="s">
        <v>19</v>
      </c>
      <c r="F416" s="15" t="s">
        <v>19</v>
      </c>
      <c r="G416" s="15" t="s">
        <v>19</v>
      </c>
      <c r="H416" s="15" t="s">
        <v>19</v>
      </c>
      <c r="I416" s="15" t="s">
        <v>19</v>
      </c>
      <c r="J416" s="15" t="s">
        <v>19</v>
      </c>
      <c r="K416" s="15" t="s">
        <v>19</v>
      </c>
      <c r="L416" s="15" t="s">
        <v>19</v>
      </c>
      <c r="M416" s="15" t="s">
        <v>1094</v>
      </c>
      <c r="N416" s="4" t="s">
        <v>1757</v>
      </c>
      <c r="O416" s="33" t="s">
        <v>1648</v>
      </c>
      <c r="P416" s="4" t="s">
        <v>1095</v>
      </c>
      <c r="S416" s="15" t="e" cm="1">
        <f t="array" aca="1" ref="S416" ca="1">COMMONMARKETCOUNT(H416:AV416)</f>
        <v>#NAME?</v>
      </c>
      <c r="T416" s="6" t="e" cm="1">
        <f t="array" aca="1" ref="T416" ca="1">AUTOMATEDCOUNT(H416:AV416)</f>
        <v>#NAME?</v>
      </c>
      <c r="V416" s="15" t="s">
        <v>19</v>
      </c>
      <c r="W416" s="15" t="s">
        <v>19</v>
      </c>
      <c r="X416" s="15" t="s">
        <v>19</v>
      </c>
      <c r="Y416" s="15" t="s">
        <v>19</v>
      </c>
      <c r="Z416" s="15" t="s">
        <v>19</v>
      </c>
      <c r="AA416" s="15" t="s">
        <v>19</v>
      </c>
      <c r="AB416" s="15" t="s">
        <v>19</v>
      </c>
      <c r="AC416" s="15" t="s">
        <v>19</v>
      </c>
      <c r="AD416" s="18" t="s">
        <v>19</v>
      </c>
      <c r="AE416" s="18" t="s">
        <v>19</v>
      </c>
      <c r="AF416" s="15" t="s">
        <v>19</v>
      </c>
      <c r="AG416" s="15" t="s">
        <v>19</v>
      </c>
      <c r="AH416" s="15" t="s">
        <v>19</v>
      </c>
      <c r="AI416" s="15" t="s">
        <v>19</v>
      </c>
      <c r="AJ416" s="15" t="s">
        <v>19</v>
      </c>
      <c r="AK416" s="15" t="s">
        <v>19</v>
      </c>
      <c r="AL416" s="15" t="s">
        <v>19</v>
      </c>
      <c r="AM416" s="15" t="s">
        <v>19</v>
      </c>
      <c r="AN416" s="15" t="s">
        <v>19</v>
      </c>
      <c r="AO416" s="15" t="s">
        <v>19</v>
      </c>
      <c r="AP416" s="15" t="s">
        <v>19</v>
      </c>
      <c r="AQ416" s="15" t="s">
        <v>19</v>
      </c>
      <c r="AR416" s="15" t="s">
        <v>19</v>
      </c>
      <c r="AS416" s="15" t="s">
        <v>19</v>
      </c>
      <c r="AT416" s="15" t="s">
        <v>19</v>
      </c>
      <c r="AU416" s="15" t="s">
        <v>3153</v>
      </c>
      <c r="AV416" s="36" t="s">
        <v>19</v>
      </c>
    </row>
    <row r="417" spans="1:48" ht="96" hidden="1" customHeight="1" x14ac:dyDescent="0.3">
      <c r="A417" s="15" t="s">
        <v>315</v>
      </c>
      <c r="B417" s="15" t="s">
        <v>1310</v>
      </c>
      <c r="C417" s="15" t="s">
        <v>1157</v>
      </c>
      <c r="D417" s="15" t="s">
        <v>32</v>
      </c>
      <c r="E417" s="18" t="s">
        <v>109</v>
      </c>
      <c r="F417" s="18" t="s">
        <v>109</v>
      </c>
      <c r="G417" s="18" t="s">
        <v>109</v>
      </c>
      <c r="H417" s="18" t="s">
        <v>109</v>
      </c>
      <c r="I417" s="18" t="s">
        <v>19</v>
      </c>
      <c r="J417" s="18" t="s">
        <v>19</v>
      </c>
      <c r="K417" s="18" t="s">
        <v>19</v>
      </c>
      <c r="L417" s="18" t="s">
        <v>19</v>
      </c>
      <c r="M417" s="15" t="s">
        <v>1104</v>
      </c>
      <c r="N417" s="4" t="s">
        <v>1105</v>
      </c>
      <c r="O417" s="33" t="s">
        <v>1654</v>
      </c>
      <c r="P417" s="4" t="s">
        <v>1758</v>
      </c>
      <c r="S417" s="15" t="e" cm="1">
        <f t="array" aca="1" ref="S417" ca="1">COMMONMARKETCOUNT(H417:AV417)</f>
        <v>#NAME?</v>
      </c>
      <c r="T417" s="6" t="e" cm="1">
        <f t="array" aca="1" ref="T417" ca="1">AUTOMATEDCOUNT(H417:AV417)</f>
        <v>#NAME?</v>
      </c>
      <c r="V417" s="18" t="s">
        <v>109</v>
      </c>
      <c r="W417" s="18" t="s">
        <v>109</v>
      </c>
      <c r="X417" s="18" t="s">
        <v>109</v>
      </c>
      <c r="Y417" s="18" t="s">
        <v>109</v>
      </c>
      <c r="Z417" s="18" t="s">
        <v>109</v>
      </c>
      <c r="AA417" s="18" t="s">
        <v>19</v>
      </c>
      <c r="AB417" s="18" t="s">
        <v>19</v>
      </c>
      <c r="AC417" s="18" t="s">
        <v>19</v>
      </c>
      <c r="AD417" s="15" t="s">
        <v>19</v>
      </c>
      <c r="AE417" s="15" t="s">
        <v>19</v>
      </c>
      <c r="AF417" s="15" t="s">
        <v>109</v>
      </c>
      <c r="AG417" s="18" t="s">
        <v>109</v>
      </c>
      <c r="AH417" s="18" t="s">
        <v>109</v>
      </c>
      <c r="AI417" s="18" t="s">
        <v>109</v>
      </c>
      <c r="AJ417" s="18" t="s">
        <v>109</v>
      </c>
      <c r="AK417" s="18" t="s">
        <v>109</v>
      </c>
      <c r="AL417" s="18" t="s">
        <v>109</v>
      </c>
      <c r="AM417" s="18" t="s">
        <v>109</v>
      </c>
      <c r="AN417" s="18" t="s">
        <v>109</v>
      </c>
      <c r="AO417" s="18" t="s">
        <v>109</v>
      </c>
      <c r="AP417" s="18" t="s">
        <v>109</v>
      </c>
      <c r="AQ417" s="18" t="s">
        <v>109</v>
      </c>
      <c r="AR417" s="18" t="s">
        <v>109</v>
      </c>
      <c r="AS417" s="18" t="s">
        <v>109</v>
      </c>
      <c r="AT417" s="18" t="s">
        <v>109</v>
      </c>
      <c r="AU417" s="18" t="s">
        <v>109</v>
      </c>
      <c r="AV417" s="36"/>
    </row>
    <row r="418" spans="1:48" ht="90" hidden="1" customHeight="1" x14ac:dyDescent="0.3">
      <c r="A418" s="15" t="s">
        <v>56</v>
      </c>
      <c r="B418" s="15" t="s">
        <v>17</v>
      </c>
      <c r="C418" s="15" t="s">
        <v>1158</v>
      </c>
      <c r="D418" s="15" t="s">
        <v>32</v>
      </c>
      <c r="E418" s="15" t="s">
        <v>19</v>
      </c>
      <c r="F418" s="15" t="s">
        <v>19</v>
      </c>
      <c r="G418" s="15" t="s">
        <v>19</v>
      </c>
      <c r="H418" s="15" t="s">
        <v>19</v>
      </c>
      <c r="I418" s="15" t="s">
        <v>19</v>
      </c>
      <c r="J418" s="15" t="s">
        <v>19</v>
      </c>
      <c r="K418" s="15" t="s">
        <v>19</v>
      </c>
      <c r="L418" s="15" t="s">
        <v>19</v>
      </c>
      <c r="M418" s="15" t="s">
        <v>1393</v>
      </c>
      <c r="N418" s="4" t="s">
        <v>1114</v>
      </c>
      <c r="O418" s="33" t="s">
        <v>1654</v>
      </c>
      <c r="P418" s="4" t="s">
        <v>1900</v>
      </c>
      <c r="S418" s="15" t="e" cm="1">
        <f t="array" aca="1" ref="S418" ca="1">COMMONMARKETCOUNT(H418:AV418)</f>
        <v>#NAME?</v>
      </c>
      <c r="T418" s="6" t="e" cm="1">
        <f t="array" aca="1" ref="T418" ca="1">AUTOMATEDCOUNT(H418:AV418)</f>
        <v>#NAME?</v>
      </c>
      <c r="V418" s="15" t="s">
        <v>19</v>
      </c>
      <c r="W418" s="15" t="s">
        <v>19</v>
      </c>
      <c r="X418" s="15" t="s">
        <v>19</v>
      </c>
      <c r="Y418" s="15" t="s">
        <v>19</v>
      </c>
      <c r="Z418" s="15" t="s">
        <v>19</v>
      </c>
      <c r="AA418" s="15" t="s">
        <v>19</v>
      </c>
      <c r="AB418" s="15" t="s">
        <v>19</v>
      </c>
      <c r="AC418" s="15" t="s">
        <v>19</v>
      </c>
      <c r="AD418" s="18" t="s">
        <v>19</v>
      </c>
      <c r="AE418" s="18" t="s">
        <v>19</v>
      </c>
      <c r="AF418" s="15" t="s">
        <v>19</v>
      </c>
      <c r="AG418" s="15" t="s">
        <v>19</v>
      </c>
      <c r="AH418" s="15" t="s">
        <v>19</v>
      </c>
      <c r="AI418" s="15" t="s">
        <v>19</v>
      </c>
      <c r="AJ418" s="15" t="s">
        <v>19</v>
      </c>
      <c r="AK418" s="15" t="s">
        <v>19</v>
      </c>
      <c r="AL418" s="15" t="s">
        <v>19</v>
      </c>
      <c r="AM418" s="15" t="s">
        <v>19</v>
      </c>
      <c r="AN418" s="15" t="s">
        <v>19</v>
      </c>
      <c r="AO418" s="15" t="s">
        <v>19</v>
      </c>
      <c r="AP418" s="15" t="s">
        <v>19</v>
      </c>
      <c r="AQ418" s="15" t="s">
        <v>19</v>
      </c>
      <c r="AR418" s="15" t="s">
        <v>19</v>
      </c>
      <c r="AS418" s="15" t="s">
        <v>19</v>
      </c>
      <c r="AT418" s="15" t="s">
        <v>19</v>
      </c>
      <c r="AU418" s="15" t="s">
        <v>3153</v>
      </c>
      <c r="AV418" s="36" t="s">
        <v>19</v>
      </c>
    </row>
    <row r="419" spans="1:48" ht="96.75" hidden="1" customHeight="1" x14ac:dyDescent="0.3">
      <c r="A419" s="15" t="s">
        <v>315</v>
      </c>
      <c r="B419" s="15" t="s">
        <v>55</v>
      </c>
      <c r="C419" s="15" t="s">
        <v>1367</v>
      </c>
      <c r="D419" s="15" t="s">
        <v>32</v>
      </c>
      <c r="E419" s="18" t="s">
        <v>109</v>
      </c>
      <c r="F419" s="18" t="s">
        <v>109</v>
      </c>
      <c r="G419" s="18" t="s">
        <v>109</v>
      </c>
      <c r="H419" s="18" t="s">
        <v>109</v>
      </c>
      <c r="I419" s="18" t="s">
        <v>19</v>
      </c>
      <c r="J419" s="18" t="s">
        <v>19</v>
      </c>
      <c r="K419" s="18" t="s">
        <v>19</v>
      </c>
      <c r="L419" s="18" t="s">
        <v>19</v>
      </c>
      <c r="M419" s="15" t="s">
        <v>1397</v>
      </c>
      <c r="N419" s="4" t="s">
        <v>1339</v>
      </c>
      <c r="O419" s="15" t="s">
        <v>1653</v>
      </c>
      <c r="P419" s="4" t="s">
        <v>1338</v>
      </c>
      <c r="S419" s="15" t="e" cm="1">
        <f t="array" aca="1" ref="S419" ca="1">COMMONMARKETCOUNT(H419:AV419)</f>
        <v>#NAME?</v>
      </c>
      <c r="T419" s="6" t="e" cm="1">
        <f t="array" aca="1" ref="T419" ca="1">AUTOMATEDCOUNT(H419:AV419)</f>
        <v>#NAME?</v>
      </c>
      <c r="V419" s="18" t="s">
        <v>109</v>
      </c>
      <c r="W419" s="18" t="s">
        <v>109</v>
      </c>
      <c r="X419" s="18" t="s">
        <v>109</v>
      </c>
      <c r="Y419" s="18" t="s">
        <v>109</v>
      </c>
      <c r="Z419" s="18" t="s">
        <v>109</v>
      </c>
      <c r="AA419" s="18" t="s">
        <v>19</v>
      </c>
      <c r="AB419" s="18" t="s">
        <v>19</v>
      </c>
      <c r="AC419" s="18" t="s">
        <v>19</v>
      </c>
      <c r="AD419" s="18" t="s">
        <v>109</v>
      </c>
      <c r="AE419" s="18" t="s">
        <v>109</v>
      </c>
      <c r="AF419" s="15" t="s">
        <v>109</v>
      </c>
      <c r="AG419" s="18" t="s">
        <v>109</v>
      </c>
      <c r="AH419" s="18" t="s">
        <v>109</v>
      </c>
      <c r="AI419" s="18" t="s">
        <v>109</v>
      </c>
      <c r="AJ419" s="18" t="s">
        <v>109</v>
      </c>
      <c r="AK419" s="18" t="s">
        <v>109</v>
      </c>
      <c r="AL419" s="18" t="s">
        <v>109</v>
      </c>
      <c r="AM419" s="18" t="s">
        <v>109</v>
      </c>
      <c r="AN419" s="18" t="s">
        <v>109</v>
      </c>
      <c r="AO419" s="18" t="s">
        <v>109</v>
      </c>
      <c r="AP419" s="18" t="s">
        <v>109</v>
      </c>
      <c r="AQ419" s="18" t="s">
        <v>109</v>
      </c>
      <c r="AR419" s="18" t="s">
        <v>109</v>
      </c>
      <c r="AS419" s="18" t="s">
        <v>109</v>
      </c>
      <c r="AT419" s="18" t="s">
        <v>109</v>
      </c>
      <c r="AU419" s="18" t="s">
        <v>109</v>
      </c>
      <c r="AV419" s="36" t="s">
        <v>109</v>
      </c>
    </row>
    <row r="420" spans="1:48" ht="115.5" hidden="1" customHeight="1" x14ac:dyDescent="0.3">
      <c r="A420" s="18" t="s">
        <v>25</v>
      </c>
      <c r="B420" s="18" t="s">
        <v>17</v>
      </c>
      <c r="C420" s="15" t="s">
        <v>1368</v>
      </c>
      <c r="D420" s="15" t="s">
        <v>32</v>
      </c>
      <c r="E420" s="18" t="s">
        <v>109</v>
      </c>
      <c r="F420" s="18" t="s">
        <v>109</v>
      </c>
      <c r="G420" s="18" t="s">
        <v>109</v>
      </c>
      <c r="H420" s="18" t="s">
        <v>109</v>
      </c>
      <c r="I420" s="18" t="s">
        <v>109</v>
      </c>
      <c r="J420" s="18" t="s">
        <v>109</v>
      </c>
      <c r="K420" s="18" t="s">
        <v>109</v>
      </c>
      <c r="L420" s="18" t="s">
        <v>109</v>
      </c>
      <c r="M420" s="15" t="s">
        <v>2346</v>
      </c>
      <c r="N420" s="4" t="s">
        <v>1340</v>
      </c>
      <c r="O420" s="15" t="s">
        <v>1653</v>
      </c>
      <c r="P420" s="4" t="s">
        <v>2345</v>
      </c>
      <c r="S420" s="15" t="e" cm="1">
        <f t="array" aca="1" ref="S420" ca="1">COMMONMARKETCOUNT(H420:AV420)</f>
        <v>#NAME?</v>
      </c>
      <c r="T420" s="6" t="e" cm="1">
        <f t="array" aca="1" ref="T420" ca="1">AUTOMATEDCOUNT(H420:AV420)</f>
        <v>#NAME?</v>
      </c>
      <c r="V420" s="18" t="s">
        <v>109</v>
      </c>
      <c r="W420" s="18" t="s">
        <v>109</v>
      </c>
      <c r="X420" s="18" t="s">
        <v>109</v>
      </c>
      <c r="Y420" s="18" t="s">
        <v>109</v>
      </c>
      <c r="Z420" s="18" t="s">
        <v>109</v>
      </c>
      <c r="AA420" s="18" t="s">
        <v>109</v>
      </c>
      <c r="AB420" s="18" t="s">
        <v>109</v>
      </c>
      <c r="AC420" s="18" t="s">
        <v>109</v>
      </c>
      <c r="AD420" s="15" t="s">
        <v>19</v>
      </c>
      <c r="AE420" s="15" t="s">
        <v>19</v>
      </c>
      <c r="AF420" s="18" t="s">
        <v>109</v>
      </c>
      <c r="AG420" s="18" t="s">
        <v>109</v>
      </c>
      <c r="AH420" s="18" t="s">
        <v>109</v>
      </c>
      <c r="AI420" s="18" t="s">
        <v>109</v>
      </c>
      <c r="AJ420" s="18" t="s">
        <v>109</v>
      </c>
      <c r="AK420" s="18" t="s">
        <v>109</v>
      </c>
      <c r="AL420" s="18" t="s">
        <v>109</v>
      </c>
      <c r="AM420" s="18" t="s">
        <v>109</v>
      </c>
      <c r="AN420" s="18" t="s">
        <v>109</v>
      </c>
      <c r="AO420" s="18" t="s">
        <v>109</v>
      </c>
      <c r="AP420" s="18" t="s">
        <v>109</v>
      </c>
      <c r="AQ420" s="18" t="s">
        <v>109</v>
      </c>
      <c r="AR420" s="18" t="s">
        <v>109</v>
      </c>
      <c r="AS420" s="18" t="s">
        <v>109</v>
      </c>
      <c r="AT420" s="18" t="s">
        <v>109</v>
      </c>
      <c r="AU420" s="18" t="s">
        <v>109</v>
      </c>
      <c r="AV420" s="36" t="s">
        <v>109</v>
      </c>
    </row>
    <row r="421" spans="1:48" ht="126.75" hidden="1" customHeight="1" x14ac:dyDescent="0.3">
      <c r="A421" s="15" t="s">
        <v>25</v>
      </c>
      <c r="B421" s="18" t="s">
        <v>37</v>
      </c>
      <c r="C421" s="15" t="s">
        <v>1369</v>
      </c>
      <c r="D421" s="15" t="s">
        <v>32</v>
      </c>
      <c r="E421" s="15" t="s">
        <v>19</v>
      </c>
      <c r="F421" s="15" t="s">
        <v>19</v>
      </c>
      <c r="G421" s="15" t="s">
        <v>19</v>
      </c>
      <c r="H421" s="15" t="s">
        <v>19</v>
      </c>
      <c r="I421" s="15" t="s">
        <v>19</v>
      </c>
      <c r="J421" s="15" t="s">
        <v>19</v>
      </c>
      <c r="K421" s="15" t="s">
        <v>19</v>
      </c>
      <c r="L421" s="15" t="s">
        <v>19</v>
      </c>
      <c r="M421" s="15" t="s">
        <v>1345</v>
      </c>
      <c r="N421" s="4" t="s">
        <v>1347</v>
      </c>
      <c r="O421" s="15" t="s">
        <v>1655</v>
      </c>
      <c r="P421" s="4" t="s">
        <v>1346</v>
      </c>
      <c r="S421" s="15" t="e" cm="1">
        <f t="array" aca="1" ref="S421" ca="1">COMMONMARKETCOUNT(H421:AV421)</f>
        <v>#NAME?</v>
      </c>
      <c r="T421" s="6" t="e" cm="1">
        <f t="array" aca="1" ref="T421" ca="1">AUTOMATEDCOUNT(H421:AV421)</f>
        <v>#NAME?</v>
      </c>
      <c r="V421" s="15" t="s">
        <v>19</v>
      </c>
      <c r="W421" s="15" t="s">
        <v>19</v>
      </c>
      <c r="X421" s="15" t="s">
        <v>19</v>
      </c>
      <c r="Y421" s="15" t="s">
        <v>19</v>
      </c>
      <c r="Z421" s="15" t="s">
        <v>19</v>
      </c>
      <c r="AA421" s="15" t="s">
        <v>19</v>
      </c>
      <c r="AB421" s="15" t="s">
        <v>19</v>
      </c>
      <c r="AC421" s="15" t="s">
        <v>19</v>
      </c>
      <c r="AD421" s="15" t="s">
        <v>19</v>
      </c>
      <c r="AE421" s="15" t="s">
        <v>19</v>
      </c>
      <c r="AF421" s="15" t="s">
        <v>19</v>
      </c>
      <c r="AG421" s="15" t="s">
        <v>19</v>
      </c>
      <c r="AH421" s="15" t="s">
        <v>19</v>
      </c>
      <c r="AI421" s="15" t="s">
        <v>19</v>
      </c>
      <c r="AJ421" s="15" t="s">
        <v>19</v>
      </c>
      <c r="AK421" s="15" t="s">
        <v>19</v>
      </c>
      <c r="AL421" s="15" t="s">
        <v>19</v>
      </c>
      <c r="AM421" s="15" t="s">
        <v>19</v>
      </c>
      <c r="AN421" s="15" t="s">
        <v>19</v>
      </c>
      <c r="AO421" s="15" t="s">
        <v>19</v>
      </c>
      <c r="AP421" s="15" t="s">
        <v>19</v>
      </c>
      <c r="AQ421" s="15" t="s">
        <v>19</v>
      </c>
      <c r="AR421" s="15" t="s">
        <v>19</v>
      </c>
      <c r="AS421" s="15" t="s">
        <v>19</v>
      </c>
      <c r="AT421" s="15" t="s">
        <v>19</v>
      </c>
      <c r="AU421" s="15" t="s">
        <v>3153</v>
      </c>
      <c r="AV421" s="36" t="s">
        <v>19</v>
      </c>
    </row>
    <row r="422" spans="1:48" ht="120" hidden="1" customHeight="1" x14ac:dyDescent="0.3">
      <c r="A422" s="15" t="s">
        <v>25</v>
      </c>
      <c r="B422" s="18" t="s">
        <v>37</v>
      </c>
      <c r="C422" s="15" t="s">
        <v>1370</v>
      </c>
      <c r="D422" s="15" t="s">
        <v>32</v>
      </c>
      <c r="E422" s="15" t="s">
        <v>19</v>
      </c>
      <c r="F422" s="15" t="s">
        <v>19</v>
      </c>
      <c r="G422" s="15" t="s">
        <v>19</v>
      </c>
      <c r="H422" s="15" t="s">
        <v>19</v>
      </c>
      <c r="I422" s="15" t="s">
        <v>19</v>
      </c>
      <c r="J422" s="15" t="s">
        <v>19</v>
      </c>
      <c r="K422" s="15" t="s">
        <v>19</v>
      </c>
      <c r="L422" s="15" t="s">
        <v>19</v>
      </c>
      <c r="M422" s="15" t="s">
        <v>1348</v>
      </c>
      <c r="N422" s="4" t="s">
        <v>1350</v>
      </c>
      <c r="O422" s="15" t="s">
        <v>1656</v>
      </c>
      <c r="P422" s="4" t="s">
        <v>1349</v>
      </c>
      <c r="S422" s="15" t="e" cm="1">
        <f t="array" aca="1" ref="S422" ca="1">COMMONMARKETCOUNT(H422:AV422)</f>
        <v>#NAME?</v>
      </c>
      <c r="T422" s="6" t="e" cm="1">
        <f t="array" aca="1" ref="T422" ca="1">AUTOMATEDCOUNT(H422:AV422)</f>
        <v>#NAME?</v>
      </c>
      <c r="V422" s="15" t="s">
        <v>19</v>
      </c>
      <c r="W422" s="15" t="s">
        <v>19</v>
      </c>
      <c r="X422" s="15" t="s">
        <v>19</v>
      </c>
      <c r="Y422" s="15" t="s">
        <v>19</v>
      </c>
      <c r="Z422" s="15" t="s">
        <v>19</v>
      </c>
      <c r="AA422" s="15" t="s">
        <v>19</v>
      </c>
      <c r="AB422" s="15" t="s">
        <v>19</v>
      </c>
      <c r="AC422" s="15" t="s">
        <v>19</v>
      </c>
      <c r="AD422" s="18" t="s">
        <v>19</v>
      </c>
      <c r="AE422" s="18" t="s">
        <v>19</v>
      </c>
      <c r="AF422" s="15" t="s">
        <v>19</v>
      </c>
      <c r="AG422" s="15" t="s">
        <v>19</v>
      </c>
      <c r="AH422" s="15" t="s">
        <v>19</v>
      </c>
      <c r="AI422" s="15" t="s">
        <v>19</v>
      </c>
      <c r="AJ422" s="15" t="s">
        <v>19</v>
      </c>
      <c r="AK422" s="15" t="s">
        <v>19</v>
      </c>
      <c r="AL422" s="15" t="s">
        <v>19</v>
      </c>
      <c r="AM422" s="15" t="s">
        <v>19</v>
      </c>
      <c r="AN422" s="15" t="s">
        <v>19</v>
      </c>
      <c r="AO422" s="15" t="s">
        <v>19</v>
      </c>
      <c r="AP422" s="15" t="s">
        <v>19</v>
      </c>
      <c r="AQ422" s="15" t="s">
        <v>19</v>
      </c>
      <c r="AR422" s="15" t="s">
        <v>19</v>
      </c>
      <c r="AS422" s="15" t="s">
        <v>19</v>
      </c>
      <c r="AT422" s="15" t="s">
        <v>19</v>
      </c>
      <c r="AU422" s="15" t="s">
        <v>3153</v>
      </c>
      <c r="AV422" s="36" t="s">
        <v>19</v>
      </c>
    </row>
    <row r="423" spans="1:48" ht="72.75" hidden="1" customHeight="1" x14ac:dyDescent="0.3">
      <c r="A423" s="15" t="s">
        <v>25</v>
      </c>
      <c r="B423" s="15" t="s">
        <v>1298</v>
      </c>
      <c r="C423" s="15" t="s">
        <v>1371</v>
      </c>
      <c r="D423" s="15" t="s">
        <v>32</v>
      </c>
      <c r="E423" s="18" t="s">
        <v>109</v>
      </c>
      <c r="F423" s="18" t="s">
        <v>109</v>
      </c>
      <c r="G423" s="18" t="s">
        <v>109</v>
      </c>
      <c r="H423" s="18" t="s">
        <v>109</v>
      </c>
      <c r="I423" s="18" t="s">
        <v>19</v>
      </c>
      <c r="J423" s="18" t="s">
        <v>19</v>
      </c>
      <c r="K423" s="18" t="s">
        <v>19</v>
      </c>
      <c r="L423" s="18" t="s">
        <v>19</v>
      </c>
      <c r="M423" s="15" t="s">
        <v>1353</v>
      </c>
      <c r="N423" s="4" t="s">
        <v>1352</v>
      </c>
      <c r="O423" s="32" t="s">
        <v>1649</v>
      </c>
      <c r="P423" s="4" t="s">
        <v>1759</v>
      </c>
      <c r="S423" s="15" t="e" cm="1">
        <f t="array" aca="1" ref="S423" ca="1">COMMONMARKETCOUNT(H423:AV423)</f>
        <v>#NAME?</v>
      </c>
      <c r="T423" s="6" t="e" cm="1">
        <f t="array" aca="1" ref="T423" ca="1">AUTOMATEDCOUNT(H423:AV423)</f>
        <v>#NAME?</v>
      </c>
      <c r="V423" s="18" t="s">
        <v>109</v>
      </c>
      <c r="W423" s="18" t="s">
        <v>109</v>
      </c>
      <c r="X423" s="18" t="s">
        <v>109</v>
      </c>
      <c r="Y423" s="18" t="s">
        <v>109</v>
      </c>
      <c r="Z423" s="18" t="s">
        <v>109</v>
      </c>
      <c r="AA423" s="18" t="s">
        <v>19</v>
      </c>
      <c r="AB423" s="18" t="s">
        <v>19</v>
      </c>
      <c r="AC423" s="18" t="s">
        <v>19</v>
      </c>
      <c r="AD423" s="18" t="s">
        <v>19</v>
      </c>
      <c r="AE423" s="18" t="s">
        <v>19</v>
      </c>
      <c r="AF423" s="15" t="s">
        <v>109</v>
      </c>
      <c r="AG423" s="18" t="s">
        <v>109</v>
      </c>
      <c r="AH423" s="18" t="s">
        <v>109</v>
      </c>
      <c r="AI423" s="18" t="s">
        <v>109</v>
      </c>
      <c r="AJ423" s="18" t="s">
        <v>109</v>
      </c>
      <c r="AK423" s="18" t="s">
        <v>109</v>
      </c>
      <c r="AL423" s="18" t="s">
        <v>109</v>
      </c>
      <c r="AM423" s="18" t="s">
        <v>109</v>
      </c>
      <c r="AN423" s="18" t="s">
        <v>109</v>
      </c>
      <c r="AO423" s="18" t="s">
        <v>109</v>
      </c>
      <c r="AP423" s="18" t="s">
        <v>109</v>
      </c>
      <c r="AQ423" s="18" t="s">
        <v>109</v>
      </c>
      <c r="AR423" s="18" t="s">
        <v>109</v>
      </c>
      <c r="AS423" s="18" t="s">
        <v>109</v>
      </c>
      <c r="AT423" s="18" t="s">
        <v>109</v>
      </c>
      <c r="AU423" s="18" t="s">
        <v>109</v>
      </c>
      <c r="AV423" s="36" t="s">
        <v>109</v>
      </c>
    </row>
    <row r="424" spans="1:48" ht="66.75" hidden="1" customHeight="1" x14ac:dyDescent="0.3">
      <c r="A424" s="15" t="s">
        <v>25</v>
      </c>
      <c r="B424" s="15" t="s">
        <v>1365</v>
      </c>
      <c r="C424" s="15" t="s">
        <v>1372</v>
      </c>
      <c r="D424" s="15" t="s">
        <v>32</v>
      </c>
      <c r="E424" s="18" t="s">
        <v>109</v>
      </c>
      <c r="F424" s="18" t="s">
        <v>109</v>
      </c>
      <c r="G424" s="18" t="s">
        <v>109</v>
      </c>
      <c r="H424" s="18" t="s">
        <v>109</v>
      </c>
      <c r="I424" s="18" t="s">
        <v>19</v>
      </c>
      <c r="J424" s="18" t="s">
        <v>19</v>
      </c>
      <c r="K424" s="18" t="s">
        <v>19</v>
      </c>
      <c r="L424" s="18" t="s">
        <v>19</v>
      </c>
      <c r="M424" s="15" t="s">
        <v>1361</v>
      </c>
      <c r="N424" s="4" t="s">
        <v>1363</v>
      </c>
      <c r="O424" s="31" t="s">
        <v>1649</v>
      </c>
      <c r="P424" s="4" t="s">
        <v>1360</v>
      </c>
      <c r="S424" s="15" t="e" cm="1">
        <f t="array" aca="1" ref="S424" ca="1">COMMONMARKETCOUNT(H424:AV424)</f>
        <v>#NAME?</v>
      </c>
      <c r="T424" s="6" t="e" cm="1">
        <f t="array" aca="1" ref="T424" ca="1">AUTOMATEDCOUNT(H424:AV424)</f>
        <v>#NAME?</v>
      </c>
      <c r="V424" s="18" t="s">
        <v>109</v>
      </c>
      <c r="W424" s="18" t="s">
        <v>109</v>
      </c>
      <c r="X424" s="18" t="s">
        <v>109</v>
      </c>
      <c r="Y424" s="18" t="s">
        <v>109</v>
      </c>
      <c r="Z424" s="18" t="s">
        <v>109</v>
      </c>
      <c r="AA424" s="18" t="s">
        <v>19</v>
      </c>
      <c r="AB424" s="18" t="s">
        <v>19</v>
      </c>
      <c r="AC424" s="18" t="s">
        <v>19</v>
      </c>
      <c r="AD424" s="18" t="s">
        <v>19</v>
      </c>
      <c r="AE424" s="18" t="s">
        <v>19</v>
      </c>
      <c r="AF424" s="15" t="s">
        <v>109</v>
      </c>
      <c r="AG424" s="18" t="s">
        <v>109</v>
      </c>
      <c r="AH424" s="18" t="s">
        <v>109</v>
      </c>
      <c r="AI424" s="18" t="s">
        <v>109</v>
      </c>
      <c r="AJ424" s="18" t="s">
        <v>109</v>
      </c>
      <c r="AK424" s="18" t="s">
        <v>109</v>
      </c>
      <c r="AL424" s="18" t="s">
        <v>109</v>
      </c>
      <c r="AM424" s="18" t="s">
        <v>109</v>
      </c>
      <c r="AN424" s="18" t="s">
        <v>109</v>
      </c>
      <c r="AO424" s="18" t="s">
        <v>109</v>
      </c>
      <c r="AP424" s="18" t="s">
        <v>109</v>
      </c>
      <c r="AQ424" s="18" t="s">
        <v>109</v>
      </c>
      <c r="AR424" s="18" t="s">
        <v>109</v>
      </c>
      <c r="AS424" s="18" t="s">
        <v>109</v>
      </c>
      <c r="AT424" s="18" t="s">
        <v>109</v>
      </c>
      <c r="AU424" s="18" t="s">
        <v>109</v>
      </c>
      <c r="AV424" s="36" t="s">
        <v>109</v>
      </c>
    </row>
    <row r="425" spans="1:48" ht="75.75" hidden="1" customHeight="1" x14ac:dyDescent="0.3">
      <c r="A425" s="15" t="s">
        <v>25</v>
      </c>
      <c r="B425" s="15" t="s">
        <v>1365</v>
      </c>
      <c r="C425" s="15" t="s">
        <v>1373</v>
      </c>
      <c r="D425" s="15" t="s">
        <v>32</v>
      </c>
      <c r="E425" s="18" t="s">
        <v>109</v>
      </c>
      <c r="F425" s="18" t="s">
        <v>109</v>
      </c>
      <c r="G425" s="18" t="s">
        <v>109</v>
      </c>
      <c r="H425" s="18" t="s">
        <v>109</v>
      </c>
      <c r="I425" s="18" t="s">
        <v>19</v>
      </c>
      <c r="J425" s="18" t="s">
        <v>19</v>
      </c>
      <c r="K425" s="18" t="s">
        <v>19</v>
      </c>
      <c r="L425" s="18" t="s">
        <v>19</v>
      </c>
      <c r="M425" s="15" t="s">
        <v>1362</v>
      </c>
      <c r="N425" s="4" t="s">
        <v>1364</v>
      </c>
      <c r="O425" s="31" t="s">
        <v>1649</v>
      </c>
      <c r="P425" s="4" t="s">
        <v>1360</v>
      </c>
      <c r="S425" s="15" t="e" cm="1">
        <f t="array" aca="1" ref="S425" ca="1">COMMONMARKETCOUNT(H425:AV425)</f>
        <v>#NAME?</v>
      </c>
      <c r="T425" s="6" t="e" cm="1">
        <f t="array" aca="1" ref="T425" ca="1">AUTOMATEDCOUNT(H425:AV425)</f>
        <v>#NAME?</v>
      </c>
      <c r="V425" s="18" t="s">
        <v>109</v>
      </c>
      <c r="W425" s="18" t="s">
        <v>109</v>
      </c>
      <c r="X425" s="18" t="s">
        <v>109</v>
      </c>
      <c r="Y425" s="18" t="s">
        <v>109</v>
      </c>
      <c r="Z425" s="18" t="s">
        <v>109</v>
      </c>
      <c r="AA425" s="18" t="s">
        <v>19</v>
      </c>
      <c r="AB425" s="18" t="s">
        <v>19</v>
      </c>
      <c r="AC425" s="18" t="s">
        <v>19</v>
      </c>
      <c r="AD425" s="15" t="s">
        <v>19</v>
      </c>
      <c r="AE425" s="15" t="s">
        <v>19</v>
      </c>
      <c r="AF425" s="15" t="s">
        <v>109</v>
      </c>
      <c r="AG425" s="18" t="s">
        <v>109</v>
      </c>
      <c r="AH425" s="18" t="s">
        <v>109</v>
      </c>
      <c r="AI425" s="18" t="s">
        <v>109</v>
      </c>
      <c r="AJ425" s="18" t="s">
        <v>109</v>
      </c>
      <c r="AK425" s="18" t="s">
        <v>109</v>
      </c>
      <c r="AL425" s="18" t="s">
        <v>109</v>
      </c>
      <c r="AM425" s="18" t="s">
        <v>109</v>
      </c>
      <c r="AN425" s="18" t="s">
        <v>109</v>
      </c>
      <c r="AO425" s="18" t="s">
        <v>109</v>
      </c>
      <c r="AP425" s="18" t="s">
        <v>109</v>
      </c>
      <c r="AQ425" s="18" t="s">
        <v>109</v>
      </c>
      <c r="AR425" s="18" t="s">
        <v>109</v>
      </c>
      <c r="AS425" s="18" t="s">
        <v>109</v>
      </c>
      <c r="AT425" s="18" t="s">
        <v>109</v>
      </c>
      <c r="AU425" s="18" t="s">
        <v>109</v>
      </c>
      <c r="AV425" s="36" t="s">
        <v>109</v>
      </c>
    </row>
    <row r="426" spans="1:48" ht="82.5" hidden="1" customHeight="1" x14ac:dyDescent="0.3">
      <c r="A426" s="18" t="s">
        <v>1356</v>
      </c>
      <c r="B426" s="18" t="s">
        <v>17</v>
      </c>
      <c r="C426" s="15" t="s">
        <v>1374</v>
      </c>
      <c r="D426" s="15" t="s">
        <v>32</v>
      </c>
      <c r="E426" s="15" t="s">
        <v>19</v>
      </c>
      <c r="F426" s="15" t="s">
        <v>19</v>
      </c>
      <c r="G426" s="15" t="s">
        <v>19</v>
      </c>
      <c r="H426" s="15" t="s">
        <v>19</v>
      </c>
      <c r="I426" s="15" t="s">
        <v>19</v>
      </c>
      <c r="J426" s="15" t="s">
        <v>19</v>
      </c>
      <c r="K426" s="15" t="s">
        <v>19</v>
      </c>
      <c r="L426" s="15" t="s">
        <v>19</v>
      </c>
      <c r="M426" s="15" t="s">
        <v>1357</v>
      </c>
      <c r="N426" s="4" t="s">
        <v>1354</v>
      </c>
      <c r="O426" s="31" t="s">
        <v>1649</v>
      </c>
      <c r="P426" s="4" t="s">
        <v>1355</v>
      </c>
      <c r="S426" s="15" t="e" cm="1">
        <f t="array" aca="1" ref="S426" ca="1">COMMONMARKETCOUNT(H426:AV426)</f>
        <v>#NAME?</v>
      </c>
      <c r="T426" s="6" t="e" cm="1">
        <f t="array" aca="1" ref="T426" ca="1">AUTOMATEDCOUNT(H426:AV426)</f>
        <v>#NAME?</v>
      </c>
      <c r="V426" s="15" t="s">
        <v>19</v>
      </c>
      <c r="W426" s="15" t="s">
        <v>19</v>
      </c>
      <c r="X426" s="15" t="s">
        <v>19</v>
      </c>
      <c r="Y426" s="15" t="s">
        <v>19</v>
      </c>
      <c r="Z426" s="15" t="s">
        <v>19</v>
      </c>
      <c r="AA426" s="15" t="s">
        <v>19</v>
      </c>
      <c r="AB426" s="15" t="s">
        <v>19</v>
      </c>
      <c r="AC426" s="15" t="s">
        <v>19</v>
      </c>
      <c r="AD426" s="18" t="s">
        <v>19</v>
      </c>
      <c r="AE426" s="18" t="s">
        <v>19</v>
      </c>
      <c r="AF426" s="15" t="s">
        <v>19</v>
      </c>
      <c r="AG426" s="15" t="s">
        <v>19</v>
      </c>
      <c r="AH426" s="15" t="s">
        <v>19</v>
      </c>
      <c r="AI426" s="15" t="s">
        <v>19</v>
      </c>
      <c r="AJ426" s="15" t="s">
        <v>19</v>
      </c>
      <c r="AK426" s="15" t="s">
        <v>19</v>
      </c>
      <c r="AL426" s="15" t="s">
        <v>19</v>
      </c>
      <c r="AM426" s="15" t="s">
        <v>19</v>
      </c>
      <c r="AN426" s="15" t="s">
        <v>19</v>
      </c>
      <c r="AO426" s="15" t="s">
        <v>19</v>
      </c>
      <c r="AP426" s="15" t="s">
        <v>19</v>
      </c>
      <c r="AQ426" s="15" t="s">
        <v>19</v>
      </c>
      <c r="AR426" s="15" t="s">
        <v>19</v>
      </c>
      <c r="AS426" s="15" t="s">
        <v>19</v>
      </c>
      <c r="AT426" s="15" t="s">
        <v>19</v>
      </c>
      <c r="AU426" s="15" t="s">
        <v>3153</v>
      </c>
      <c r="AV426" s="36" t="s">
        <v>19</v>
      </c>
    </row>
    <row r="427" spans="1:48" ht="74.25" hidden="1" customHeight="1" x14ac:dyDescent="0.3">
      <c r="A427" s="18" t="s">
        <v>315</v>
      </c>
      <c r="B427" s="18" t="s">
        <v>55</v>
      </c>
      <c r="C427" s="15" t="s">
        <v>1375</v>
      </c>
      <c r="D427" s="15" t="s">
        <v>32</v>
      </c>
      <c r="E427" s="18" t="s">
        <v>109</v>
      </c>
      <c r="F427" s="18" t="s">
        <v>109</v>
      </c>
      <c r="G427" s="18" t="s">
        <v>109</v>
      </c>
      <c r="H427" s="18" t="s">
        <v>109</v>
      </c>
      <c r="I427" s="18" t="s">
        <v>19</v>
      </c>
      <c r="J427" s="18" t="s">
        <v>19</v>
      </c>
      <c r="K427" s="18" t="s">
        <v>19</v>
      </c>
      <c r="L427" s="18" t="s">
        <v>19</v>
      </c>
      <c r="M427" s="15" t="s">
        <v>1760</v>
      </c>
      <c r="N427" s="4" t="s">
        <v>1359</v>
      </c>
      <c r="O427" s="31" t="s">
        <v>1649</v>
      </c>
      <c r="P427" s="4" t="s">
        <v>1358</v>
      </c>
      <c r="S427" s="15" t="e" cm="1">
        <f t="array" aca="1" ref="S427" ca="1">COMMONMARKETCOUNT(H427:AV427)</f>
        <v>#NAME?</v>
      </c>
      <c r="T427" s="6" t="e" cm="1">
        <f t="array" aca="1" ref="T427" ca="1">AUTOMATEDCOUNT(H427:AV427)</f>
        <v>#NAME?</v>
      </c>
      <c r="V427" s="18" t="s">
        <v>109</v>
      </c>
      <c r="W427" s="18" t="s">
        <v>109</v>
      </c>
      <c r="X427" s="18" t="s">
        <v>109</v>
      </c>
      <c r="Y427" s="18" t="s">
        <v>109</v>
      </c>
      <c r="Z427" s="18" t="s">
        <v>109</v>
      </c>
      <c r="AA427" s="18" t="s">
        <v>19</v>
      </c>
      <c r="AB427" s="18" t="s">
        <v>19</v>
      </c>
      <c r="AC427" s="18" t="s">
        <v>19</v>
      </c>
      <c r="AD427" s="15" t="s">
        <v>19</v>
      </c>
      <c r="AE427" s="15" t="s">
        <v>19</v>
      </c>
      <c r="AF427" s="15" t="s">
        <v>109</v>
      </c>
      <c r="AG427" s="18" t="s">
        <v>109</v>
      </c>
      <c r="AH427" s="18" t="s">
        <v>109</v>
      </c>
      <c r="AI427" s="18" t="s">
        <v>109</v>
      </c>
      <c r="AJ427" s="18" t="s">
        <v>109</v>
      </c>
      <c r="AK427" s="18" t="s">
        <v>109</v>
      </c>
      <c r="AL427" s="18" t="s">
        <v>109</v>
      </c>
      <c r="AM427" s="18" t="s">
        <v>109</v>
      </c>
      <c r="AN427" s="18" t="s">
        <v>109</v>
      </c>
      <c r="AO427" s="18" t="s">
        <v>109</v>
      </c>
      <c r="AP427" s="18" t="s">
        <v>109</v>
      </c>
      <c r="AQ427" s="18" t="s">
        <v>109</v>
      </c>
      <c r="AR427" s="18" t="s">
        <v>109</v>
      </c>
      <c r="AS427" s="18" t="s">
        <v>109</v>
      </c>
      <c r="AT427" s="18" t="s">
        <v>109</v>
      </c>
      <c r="AU427" s="18" t="s">
        <v>109</v>
      </c>
      <c r="AV427" s="36"/>
    </row>
    <row r="428" spans="1:48" ht="87.75" hidden="1" customHeight="1" x14ac:dyDescent="0.3">
      <c r="A428" s="18" t="s">
        <v>315</v>
      </c>
      <c r="B428" s="18" t="s">
        <v>55</v>
      </c>
      <c r="C428" s="15" t="s">
        <v>1376</v>
      </c>
      <c r="D428" s="15" t="s">
        <v>32</v>
      </c>
      <c r="E428" s="15" t="s">
        <v>19</v>
      </c>
      <c r="F428" s="15" t="s">
        <v>19</v>
      </c>
      <c r="G428" s="15" t="s">
        <v>19</v>
      </c>
      <c r="H428" s="15" t="s">
        <v>19</v>
      </c>
      <c r="I428" s="15" t="s">
        <v>19</v>
      </c>
      <c r="J428" s="15" t="s">
        <v>19</v>
      </c>
      <c r="K428" s="15" t="s">
        <v>19</v>
      </c>
      <c r="L428" s="15" t="s">
        <v>19</v>
      </c>
      <c r="M428" s="15" t="s">
        <v>1366</v>
      </c>
      <c r="N428" s="4" t="s">
        <v>2256</v>
      </c>
      <c r="O428" s="15" t="s">
        <v>1656</v>
      </c>
      <c r="P428" s="4" t="s">
        <v>2257</v>
      </c>
      <c r="S428" s="15" t="e" cm="1">
        <f t="array" aca="1" ref="S428" ca="1">COMMONMARKETCOUNT(H428:AV428)</f>
        <v>#NAME?</v>
      </c>
      <c r="T428" s="6" t="e" cm="1">
        <f t="array" aca="1" ref="T428" ca="1">AUTOMATEDCOUNT(H428:AV428)</f>
        <v>#NAME?</v>
      </c>
      <c r="V428" s="15" t="s">
        <v>19</v>
      </c>
      <c r="W428" s="15" t="s">
        <v>19</v>
      </c>
      <c r="X428" s="15" t="s">
        <v>19</v>
      </c>
      <c r="Y428" s="15" t="s">
        <v>19</v>
      </c>
      <c r="Z428" s="15" t="s">
        <v>19</v>
      </c>
      <c r="AA428" s="15" t="s">
        <v>19</v>
      </c>
      <c r="AB428" s="15" t="s">
        <v>19</v>
      </c>
      <c r="AC428" s="15" t="s">
        <v>19</v>
      </c>
      <c r="AD428" s="15" t="s">
        <v>19</v>
      </c>
      <c r="AE428" s="15" t="s">
        <v>19</v>
      </c>
      <c r="AF428" s="15" t="s">
        <v>19</v>
      </c>
      <c r="AG428" s="15" t="s">
        <v>19</v>
      </c>
      <c r="AH428" s="15" t="s">
        <v>19</v>
      </c>
      <c r="AI428" s="15" t="s">
        <v>19</v>
      </c>
      <c r="AJ428" s="15" t="s">
        <v>19</v>
      </c>
      <c r="AK428" s="15" t="s">
        <v>19</v>
      </c>
      <c r="AL428" s="15" t="s">
        <v>19</v>
      </c>
      <c r="AM428" s="15" t="s">
        <v>19</v>
      </c>
      <c r="AN428" s="15" t="s">
        <v>19</v>
      </c>
      <c r="AO428" s="15" t="s">
        <v>19</v>
      </c>
      <c r="AP428" s="15" t="s">
        <v>19</v>
      </c>
      <c r="AQ428" s="15" t="s">
        <v>19</v>
      </c>
      <c r="AR428" s="15" t="s">
        <v>19</v>
      </c>
      <c r="AS428" s="15" t="s">
        <v>19</v>
      </c>
      <c r="AT428" s="15" t="s">
        <v>19</v>
      </c>
      <c r="AU428" s="15" t="s">
        <v>3153</v>
      </c>
      <c r="AV428" s="36" t="s">
        <v>19</v>
      </c>
    </row>
    <row r="429" spans="1:48" ht="77.25" hidden="1" customHeight="1" x14ac:dyDescent="0.3">
      <c r="A429" s="15" t="s">
        <v>56</v>
      </c>
      <c r="B429" s="15" t="s">
        <v>17</v>
      </c>
      <c r="C429" s="15" t="s">
        <v>1903</v>
      </c>
      <c r="D429" s="15" t="s">
        <v>32</v>
      </c>
      <c r="E429" s="15" t="s">
        <v>19</v>
      </c>
      <c r="F429" s="15" t="s">
        <v>19</v>
      </c>
      <c r="G429" s="15" t="s">
        <v>19</v>
      </c>
      <c r="H429" s="15" t="s">
        <v>19</v>
      </c>
      <c r="I429" s="15" t="s">
        <v>19</v>
      </c>
      <c r="J429" s="15" t="s">
        <v>19</v>
      </c>
      <c r="K429" s="15" t="s">
        <v>19</v>
      </c>
      <c r="L429" s="15" t="s">
        <v>19</v>
      </c>
      <c r="M429" s="15" t="s">
        <v>1630</v>
      </c>
      <c r="N429" s="4" t="s">
        <v>2369</v>
      </c>
      <c r="O429" s="31" t="s">
        <v>1649</v>
      </c>
      <c r="P429" s="4" t="s">
        <v>1402</v>
      </c>
      <c r="S429" s="15" t="e" cm="1">
        <f t="array" aca="1" ref="S429" ca="1">COMMONMARKETCOUNT(H429:AV429)</f>
        <v>#NAME?</v>
      </c>
      <c r="T429" s="6" t="e" cm="1">
        <f t="array" aca="1" ref="T429" ca="1">AUTOMATEDCOUNT(H429:AV429)</f>
        <v>#NAME?</v>
      </c>
      <c r="V429" s="15" t="s">
        <v>19</v>
      </c>
      <c r="W429" s="15" t="s">
        <v>19</v>
      </c>
      <c r="X429" s="15" t="s">
        <v>19</v>
      </c>
      <c r="Y429" s="15" t="s">
        <v>19</v>
      </c>
      <c r="Z429" s="15" t="s">
        <v>19</v>
      </c>
      <c r="AA429" s="15" t="s">
        <v>19</v>
      </c>
      <c r="AB429" s="15" t="s">
        <v>19</v>
      </c>
      <c r="AC429" s="15" t="s">
        <v>19</v>
      </c>
      <c r="AD429" s="15" t="s">
        <v>109</v>
      </c>
      <c r="AE429" s="15" t="s">
        <v>109</v>
      </c>
      <c r="AF429" s="15" t="s">
        <v>19</v>
      </c>
      <c r="AG429" s="15" t="s">
        <v>19</v>
      </c>
      <c r="AH429" s="15" t="s">
        <v>19</v>
      </c>
      <c r="AI429" s="15" t="s">
        <v>19</v>
      </c>
      <c r="AJ429" s="15" t="s">
        <v>19</v>
      </c>
      <c r="AK429" s="15" t="s">
        <v>19</v>
      </c>
      <c r="AL429" s="15" t="s">
        <v>19</v>
      </c>
      <c r="AM429" s="15" t="s">
        <v>19</v>
      </c>
      <c r="AN429" s="15" t="s">
        <v>19</v>
      </c>
      <c r="AO429" s="15" t="s">
        <v>19</v>
      </c>
      <c r="AP429" s="15" t="s">
        <v>19</v>
      </c>
      <c r="AQ429" s="15" t="s">
        <v>19</v>
      </c>
      <c r="AR429" s="15" t="s">
        <v>19</v>
      </c>
      <c r="AS429" s="15" t="s">
        <v>19</v>
      </c>
      <c r="AT429" s="15" t="s">
        <v>19</v>
      </c>
      <c r="AU429" s="15" t="s">
        <v>3153</v>
      </c>
      <c r="AV429" s="36" t="s">
        <v>19</v>
      </c>
    </row>
    <row r="430" spans="1:48" ht="73.5" hidden="1" customHeight="1" x14ac:dyDescent="0.3">
      <c r="A430" s="15" t="s">
        <v>25</v>
      </c>
      <c r="B430" s="15" t="s">
        <v>37</v>
      </c>
      <c r="C430" s="15" t="s">
        <v>1403</v>
      </c>
      <c r="D430" s="15" t="s">
        <v>32</v>
      </c>
      <c r="E430" s="15" t="s">
        <v>109</v>
      </c>
      <c r="F430" s="15" t="s">
        <v>109</v>
      </c>
      <c r="G430" s="15" t="s">
        <v>109</v>
      </c>
      <c r="H430" s="15" t="s">
        <v>109</v>
      </c>
      <c r="I430" s="15" t="s">
        <v>109</v>
      </c>
      <c r="J430" s="15" t="s">
        <v>109</v>
      </c>
      <c r="K430" s="18" t="s">
        <v>19</v>
      </c>
      <c r="L430" s="18" t="s">
        <v>19</v>
      </c>
      <c r="M430" s="15" t="s">
        <v>1386</v>
      </c>
      <c r="N430" s="4" t="s">
        <v>1559</v>
      </c>
      <c r="O430" s="31" t="s">
        <v>1649</v>
      </c>
      <c r="P430" s="4" t="s">
        <v>1389</v>
      </c>
      <c r="S430" s="15" t="e" cm="1">
        <f t="array" aca="1" ref="S430" ca="1">COMMONMARKETCOUNT(H430:AV430)</f>
        <v>#NAME?</v>
      </c>
      <c r="T430" s="6" t="e" cm="1">
        <f t="array" aca="1" ref="T430" ca="1">AUTOMATEDCOUNT(H430:AV430)</f>
        <v>#NAME?</v>
      </c>
      <c r="V430" s="15" t="s">
        <v>109</v>
      </c>
      <c r="W430" s="15" t="s">
        <v>109</v>
      </c>
      <c r="X430" s="15" t="s">
        <v>109</v>
      </c>
      <c r="Y430" s="15" t="s">
        <v>109</v>
      </c>
      <c r="Z430" s="15" t="s">
        <v>109</v>
      </c>
      <c r="AA430" s="15" t="s">
        <v>109</v>
      </c>
      <c r="AB430" s="15" t="s">
        <v>109</v>
      </c>
      <c r="AC430" s="15" t="s">
        <v>109</v>
      </c>
      <c r="AD430" s="18" t="s">
        <v>19</v>
      </c>
      <c r="AE430" s="18" t="s">
        <v>19</v>
      </c>
      <c r="AF430" s="18" t="s">
        <v>19</v>
      </c>
      <c r="AG430" s="15" t="s">
        <v>109</v>
      </c>
      <c r="AH430" s="15" t="s">
        <v>109</v>
      </c>
      <c r="AI430" s="15" t="s">
        <v>109</v>
      </c>
      <c r="AJ430" s="15" t="s">
        <v>109</v>
      </c>
      <c r="AK430" s="15" t="s">
        <v>109</v>
      </c>
      <c r="AL430" s="15" t="s">
        <v>109</v>
      </c>
      <c r="AM430" s="15" t="s">
        <v>109</v>
      </c>
      <c r="AN430" s="15" t="s">
        <v>109</v>
      </c>
      <c r="AO430" s="15" t="s">
        <v>109</v>
      </c>
      <c r="AP430" s="15" t="s">
        <v>109</v>
      </c>
      <c r="AQ430" s="15" t="s">
        <v>109</v>
      </c>
      <c r="AR430" s="15" t="s">
        <v>109</v>
      </c>
      <c r="AS430" s="15" t="s">
        <v>109</v>
      </c>
      <c r="AT430" s="15" t="s">
        <v>109</v>
      </c>
      <c r="AU430" s="15" t="s">
        <v>109</v>
      </c>
      <c r="AV430" s="36" t="s">
        <v>109</v>
      </c>
    </row>
    <row r="431" spans="1:48" ht="62.25" customHeight="1" x14ac:dyDescent="0.3">
      <c r="A431" s="15" t="s">
        <v>25</v>
      </c>
      <c r="B431" s="15" t="s">
        <v>1365</v>
      </c>
      <c r="C431" s="15" t="s">
        <v>573</v>
      </c>
      <c r="D431" s="15" t="s">
        <v>19</v>
      </c>
      <c r="E431" s="70" t="s">
        <v>19</v>
      </c>
      <c r="F431" s="70" t="s">
        <v>19</v>
      </c>
      <c r="G431" s="70" t="s">
        <v>19</v>
      </c>
      <c r="H431" s="70" t="s">
        <v>19</v>
      </c>
      <c r="I431" s="72" t="s">
        <v>19</v>
      </c>
      <c r="J431" s="72" t="s">
        <v>19</v>
      </c>
      <c r="K431" s="18" t="s">
        <v>109</v>
      </c>
      <c r="L431" s="18" t="s">
        <v>109</v>
      </c>
      <c r="M431" s="15" t="s">
        <v>574</v>
      </c>
      <c r="N431" s="4" t="s">
        <v>2321</v>
      </c>
      <c r="O431" s="15"/>
      <c r="P431" s="4" t="s">
        <v>3108</v>
      </c>
      <c r="S431" s="15" t="e" cm="1">
        <f t="array" aca="1" ref="S431" ca="1">COMMONMARKETCOUNT(H431:AV431)</f>
        <v>#NAME?</v>
      </c>
      <c r="T431" s="6" t="e" cm="1">
        <f t="array" aca="1" ref="T431" ca="1">AUTOMATEDCOUNT(H431:AV431)</f>
        <v>#NAME?</v>
      </c>
      <c r="V431" s="100" t="s">
        <v>19</v>
      </c>
      <c r="W431" s="70" t="s">
        <v>19</v>
      </c>
      <c r="X431" s="70" t="s">
        <v>19</v>
      </c>
      <c r="Y431" s="70" t="s">
        <v>19</v>
      </c>
      <c r="Z431" s="70" t="s">
        <v>19</v>
      </c>
      <c r="AA431" s="72" t="s">
        <v>19</v>
      </c>
      <c r="AB431" s="72" t="s">
        <v>19</v>
      </c>
      <c r="AC431" s="72" t="s">
        <v>19</v>
      </c>
      <c r="AD431" s="72" t="s">
        <v>19</v>
      </c>
      <c r="AE431" s="18" t="s">
        <v>19</v>
      </c>
      <c r="AF431" s="18" t="s">
        <v>109</v>
      </c>
      <c r="AG431" s="18" t="s">
        <v>109</v>
      </c>
      <c r="AH431" s="18" t="s">
        <v>109</v>
      </c>
      <c r="AI431" s="18" t="s">
        <v>109</v>
      </c>
      <c r="AJ431" s="18" t="s">
        <v>109</v>
      </c>
      <c r="AK431" s="18" t="s">
        <v>109</v>
      </c>
      <c r="AL431" s="18" t="s">
        <v>109</v>
      </c>
      <c r="AM431" s="18" t="s">
        <v>109</v>
      </c>
      <c r="AN431" s="18" t="s">
        <v>109</v>
      </c>
      <c r="AO431" s="18" t="s">
        <v>109</v>
      </c>
      <c r="AP431" s="18" t="s">
        <v>19</v>
      </c>
      <c r="AQ431" s="18" t="s">
        <v>19</v>
      </c>
      <c r="AR431" s="18" t="s">
        <v>19</v>
      </c>
      <c r="AS431" s="18" t="s">
        <v>19</v>
      </c>
      <c r="AT431" s="18" t="s">
        <v>19</v>
      </c>
      <c r="AU431" s="18" t="s">
        <v>109</v>
      </c>
      <c r="AV431" s="36" t="s">
        <v>19</v>
      </c>
    </row>
    <row r="432" spans="1:48" ht="63.75" customHeight="1" x14ac:dyDescent="0.3">
      <c r="A432" s="6" t="s">
        <v>25</v>
      </c>
      <c r="B432" s="6" t="s">
        <v>24</v>
      </c>
      <c r="C432" s="4" t="s">
        <v>2259</v>
      </c>
      <c r="D432" s="6" t="s">
        <v>19</v>
      </c>
      <c r="E432" s="70" t="s">
        <v>19</v>
      </c>
      <c r="F432" s="70" t="s">
        <v>19</v>
      </c>
      <c r="G432" s="44" t="s">
        <v>19</v>
      </c>
      <c r="H432" s="44" t="s">
        <v>19</v>
      </c>
      <c r="I432" s="72" t="s">
        <v>19</v>
      </c>
      <c r="J432" s="72" t="s">
        <v>19</v>
      </c>
      <c r="K432" s="96" t="s">
        <v>19</v>
      </c>
      <c r="L432" s="96" t="s">
        <v>19</v>
      </c>
      <c r="M432" s="15" t="s">
        <v>576</v>
      </c>
      <c r="N432" s="4" t="s">
        <v>2358</v>
      </c>
      <c r="O432" s="4"/>
      <c r="P432" s="4" t="s">
        <v>2353</v>
      </c>
      <c r="S432" s="15" t="e" cm="1">
        <f t="array" aca="1" ref="S432" ca="1">COMMONMARKETCOUNT(H432:AV432)</f>
        <v>#NAME?</v>
      </c>
      <c r="T432" s="6" t="e" cm="1">
        <f t="array" aca="1" ref="T432" ca="1">AUTOMATEDCOUNT(H432:AV432)</f>
        <v>#NAME?</v>
      </c>
      <c r="V432" s="44" t="s">
        <v>19</v>
      </c>
      <c r="W432" s="44" t="s">
        <v>19</v>
      </c>
      <c r="X432" s="70" t="s">
        <v>19</v>
      </c>
      <c r="Y432" s="70" t="s">
        <v>19</v>
      </c>
      <c r="Z432" s="70" t="s">
        <v>19</v>
      </c>
      <c r="AA432" s="72" t="s">
        <v>19</v>
      </c>
      <c r="AB432" s="72" t="s">
        <v>19</v>
      </c>
      <c r="AC432" s="72" t="s">
        <v>19</v>
      </c>
      <c r="AD432" s="15" t="s">
        <v>109</v>
      </c>
      <c r="AE432" s="15" t="s">
        <v>109</v>
      </c>
      <c r="AF432" s="6" t="s">
        <v>19</v>
      </c>
      <c r="AG432" s="44" t="s">
        <v>19</v>
      </c>
      <c r="AH432" s="6" t="s">
        <v>19</v>
      </c>
      <c r="AI432" s="6" t="s">
        <v>19</v>
      </c>
      <c r="AJ432" s="6" t="s">
        <v>19</v>
      </c>
      <c r="AK432" s="6" t="s">
        <v>19</v>
      </c>
      <c r="AL432" s="6" t="s">
        <v>19</v>
      </c>
      <c r="AM432" s="6" t="s">
        <v>19</v>
      </c>
      <c r="AN432" s="6" t="s">
        <v>19</v>
      </c>
      <c r="AO432" s="6" t="s">
        <v>19</v>
      </c>
      <c r="AP432" s="6" t="s">
        <v>19</v>
      </c>
      <c r="AQ432" s="6" t="s">
        <v>19</v>
      </c>
      <c r="AR432" s="6" t="s">
        <v>19</v>
      </c>
      <c r="AS432" s="6" t="s">
        <v>19</v>
      </c>
      <c r="AT432" s="6" t="s">
        <v>19</v>
      </c>
      <c r="AU432" s="6" t="s">
        <v>3153</v>
      </c>
      <c r="AV432" s="36" t="s">
        <v>19</v>
      </c>
    </row>
    <row r="433" spans="1:48" ht="69.75" hidden="1" customHeight="1" x14ac:dyDescent="0.3">
      <c r="A433" s="15" t="s">
        <v>25</v>
      </c>
      <c r="B433" s="15" t="s">
        <v>37</v>
      </c>
      <c r="C433" s="15" t="s">
        <v>1404</v>
      </c>
      <c r="D433" s="15" t="s">
        <v>32</v>
      </c>
      <c r="E433" s="15" t="s">
        <v>109</v>
      </c>
      <c r="F433" s="15" t="s">
        <v>109</v>
      </c>
      <c r="G433" s="15" t="s">
        <v>109</v>
      </c>
      <c r="H433" s="15" t="s">
        <v>109</v>
      </c>
      <c r="I433" s="15" t="s">
        <v>109</v>
      </c>
      <c r="J433" s="15" t="s">
        <v>109</v>
      </c>
      <c r="K433" s="18" t="s">
        <v>19</v>
      </c>
      <c r="L433" s="18" t="s">
        <v>19</v>
      </c>
      <c r="M433" s="15" t="s">
        <v>1387</v>
      </c>
      <c r="N433" s="4" t="s">
        <v>1560</v>
      </c>
      <c r="O433" s="31" t="s">
        <v>1649</v>
      </c>
      <c r="P433" s="4" t="s">
        <v>1390</v>
      </c>
      <c r="S433" s="15" t="e" cm="1">
        <f t="array" aca="1" ref="S433" ca="1">COMMONMARKETCOUNT(H433:AV433)</f>
        <v>#NAME?</v>
      </c>
      <c r="T433" s="6" t="e" cm="1">
        <f t="array" aca="1" ref="T433" ca="1">AUTOMATEDCOUNT(H433:AV433)</f>
        <v>#NAME?</v>
      </c>
      <c r="V433" s="15" t="s">
        <v>109</v>
      </c>
      <c r="W433" s="15" t="s">
        <v>109</v>
      </c>
      <c r="X433" s="15" t="s">
        <v>109</v>
      </c>
      <c r="Y433" s="15" t="s">
        <v>109</v>
      </c>
      <c r="Z433" s="15" t="s">
        <v>109</v>
      </c>
      <c r="AA433" s="15" t="s">
        <v>109</v>
      </c>
      <c r="AB433" s="15" t="s">
        <v>109</v>
      </c>
      <c r="AC433" s="15" t="s">
        <v>109</v>
      </c>
      <c r="AD433" s="15" t="s">
        <v>109</v>
      </c>
      <c r="AE433" s="15" t="s">
        <v>109</v>
      </c>
      <c r="AF433" s="18" t="s">
        <v>19</v>
      </c>
      <c r="AG433" s="15" t="s">
        <v>109</v>
      </c>
      <c r="AH433" s="15" t="s">
        <v>109</v>
      </c>
      <c r="AI433" s="15" t="s">
        <v>109</v>
      </c>
      <c r="AJ433" s="15" t="s">
        <v>109</v>
      </c>
      <c r="AK433" s="15" t="s">
        <v>109</v>
      </c>
      <c r="AL433" s="15" t="s">
        <v>109</v>
      </c>
      <c r="AM433" s="15" t="s">
        <v>109</v>
      </c>
      <c r="AN433" s="15" t="s">
        <v>109</v>
      </c>
      <c r="AO433" s="15" t="s">
        <v>109</v>
      </c>
      <c r="AP433" s="15" t="s">
        <v>109</v>
      </c>
      <c r="AQ433" s="15" t="s">
        <v>109</v>
      </c>
      <c r="AR433" s="15" t="s">
        <v>109</v>
      </c>
      <c r="AS433" s="15" t="s">
        <v>109</v>
      </c>
      <c r="AT433" s="15" t="s">
        <v>109</v>
      </c>
      <c r="AU433" s="15" t="s">
        <v>109</v>
      </c>
      <c r="AV433" s="36" t="s">
        <v>109</v>
      </c>
    </row>
    <row r="434" spans="1:48" ht="69.75" hidden="1" customHeight="1" x14ac:dyDescent="0.3">
      <c r="A434" s="15" t="s">
        <v>25</v>
      </c>
      <c r="B434" s="15" t="s">
        <v>37</v>
      </c>
      <c r="C434" s="15" t="s">
        <v>1405</v>
      </c>
      <c r="D434" s="15" t="s">
        <v>32</v>
      </c>
      <c r="E434" s="15" t="s">
        <v>109</v>
      </c>
      <c r="F434" s="15" t="s">
        <v>109</v>
      </c>
      <c r="G434" s="15" t="s">
        <v>109</v>
      </c>
      <c r="H434" s="15" t="s">
        <v>109</v>
      </c>
      <c r="I434" s="15" t="s">
        <v>109</v>
      </c>
      <c r="J434" s="15" t="s">
        <v>109</v>
      </c>
      <c r="K434" s="18" t="s">
        <v>19</v>
      </c>
      <c r="L434" s="18" t="s">
        <v>19</v>
      </c>
      <c r="M434" s="15" t="s">
        <v>1388</v>
      </c>
      <c r="N434" s="4" t="s">
        <v>1561</v>
      </c>
      <c r="O434" s="31" t="s">
        <v>1649</v>
      </c>
      <c r="P434" s="4" t="s">
        <v>1391</v>
      </c>
      <c r="S434" s="15" t="e" cm="1">
        <f t="array" aca="1" ref="S434" ca="1">COMMONMARKETCOUNT(H434:AV434)</f>
        <v>#NAME?</v>
      </c>
      <c r="T434" s="6" t="e" cm="1">
        <f t="array" aca="1" ref="T434" ca="1">AUTOMATEDCOUNT(H434:AV434)</f>
        <v>#NAME?</v>
      </c>
      <c r="V434" s="15" t="s">
        <v>109</v>
      </c>
      <c r="W434" s="15" t="s">
        <v>109</v>
      </c>
      <c r="X434" s="15" t="s">
        <v>109</v>
      </c>
      <c r="Y434" s="15" t="s">
        <v>109</v>
      </c>
      <c r="Z434" s="15" t="s">
        <v>109</v>
      </c>
      <c r="AA434" s="15" t="s">
        <v>109</v>
      </c>
      <c r="AB434" s="15" t="s">
        <v>109</v>
      </c>
      <c r="AC434" s="15" t="s">
        <v>109</v>
      </c>
      <c r="AD434" s="18" t="s">
        <v>19</v>
      </c>
      <c r="AE434" s="18" t="s">
        <v>19</v>
      </c>
      <c r="AF434" s="18" t="s">
        <v>19</v>
      </c>
      <c r="AG434" s="15" t="s">
        <v>109</v>
      </c>
      <c r="AH434" s="15" t="s">
        <v>109</v>
      </c>
      <c r="AI434" s="15" t="s">
        <v>109</v>
      </c>
      <c r="AJ434" s="15" t="s">
        <v>109</v>
      </c>
      <c r="AK434" s="15" t="s">
        <v>109</v>
      </c>
      <c r="AL434" s="15" t="s">
        <v>109</v>
      </c>
      <c r="AM434" s="15" t="s">
        <v>109</v>
      </c>
      <c r="AN434" s="15" t="s">
        <v>109</v>
      </c>
      <c r="AO434" s="15" t="s">
        <v>109</v>
      </c>
      <c r="AP434" s="15" t="s">
        <v>109</v>
      </c>
      <c r="AQ434" s="15" t="s">
        <v>109</v>
      </c>
      <c r="AR434" s="15" t="s">
        <v>109</v>
      </c>
      <c r="AS434" s="15" t="s">
        <v>109</v>
      </c>
      <c r="AT434" s="15" t="s">
        <v>109</v>
      </c>
      <c r="AU434" s="15" t="s">
        <v>109</v>
      </c>
      <c r="AV434" s="36" t="s">
        <v>109</v>
      </c>
    </row>
    <row r="435" spans="1:48" ht="69.75" hidden="1" customHeight="1" x14ac:dyDescent="0.3">
      <c r="A435" s="15" t="s">
        <v>315</v>
      </c>
      <c r="B435" s="15" t="s">
        <v>55</v>
      </c>
      <c r="C435" s="15" t="s">
        <v>1406</v>
      </c>
      <c r="D435" s="15" t="s">
        <v>32</v>
      </c>
      <c r="E435" s="18" t="s">
        <v>109</v>
      </c>
      <c r="F435" s="18" t="s">
        <v>109</v>
      </c>
      <c r="G435" s="18" t="s">
        <v>109</v>
      </c>
      <c r="H435" s="18" t="s">
        <v>109</v>
      </c>
      <c r="I435" s="18" t="s">
        <v>19</v>
      </c>
      <c r="J435" s="18" t="s">
        <v>19</v>
      </c>
      <c r="K435" s="18" t="s">
        <v>19</v>
      </c>
      <c r="L435" s="18" t="s">
        <v>19</v>
      </c>
      <c r="M435" s="15" t="s">
        <v>1398</v>
      </c>
      <c r="N435" s="4" t="s">
        <v>1399</v>
      </c>
      <c r="O435" s="15" t="s">
        <v>1653</v>
      </c>
      <c r="P435" s="4" t="s">
        <v>1400</v>
      </c>
      <c r="S435" s="15" t="e" cm="1">
        <f t="array" aca="1" ref="S435" ca="1">COMMONMARKETCOUNT(H435:AV435)</f>
        <v>#NAME?</v>
      </c>
      <c r="T435" s="6" t="e" cm="1">
        <f t="array" aca="1" ref="T435" ca="1">AUTOMATEDCOUNT(H435:AV435)</f>
        <v>#NAME?</v>
      </c>
      <c r="V435" s="18" t="s">
        <v>109</v>
      </c>
      <c r="W435" s="18" t="s">
        <v>109</v>
      </c>
      <c r="X435" s="18" t="s">
        <v>109</v>
      </c>
      <c r="Y435" s="18" t="s">
        <v>109</v>
      </c>
      <c r="Z435" s="18" t="s">
        <v>109</v>
      </c>
      <c r="AA435" s="18" t="s">
        <v>19</v>
      </c>
      <c r="AB435" s="18" t="s">
        <v>19</v>
      </c>
      <c r="AC435" s="18" t="s">
        <v>19</v>
      </c>
      <c r="AD435" s="18" t="s">
        <v>19</v>
      </c>
      <c r="AE435" s="18" t="s">
        <v>19</v>
      </c>
      <c r="AF435" s="15" t="s">
        <v>109</v>
      </c>
      <c r="AG435" s="18" t="s">
        <v>109</v>
      </c>
      <c r="AH435" s="18" t="s">
        <v>109</v>
      </c>
      <c r="AI435" s="18" t="s">
        <v>109</v>
      </c>
      <c r="AJ435" s="18" t="s">
        <v>109</v>
      </c>
      <c r="AK435" s="18" t="s">
        <v>109</v>
      </c>
      <c r="AL435" s="18" t="s">
        <v>109</v>
      </c>
      <c r="AM435" s="18" t="s">
        <v>109</v>
      </c>
      <c r="AN435" s="18" t="s">
        <v>109</v>
      </c>
      <c r="AO435" s="18" t="s">
        <v>109</v>
      </c>
      <c r="AP435" s="18" t="s">
        <v>109</v>
      </c>
      <c r="AQ435" s="18" t="s">
        <v>109</v>
      </c>
      <c r="AR435" s="18" t="s">
        <v>109</v>
      </c>
      <c r="AS435" s="18" t="s">
        <v>109</v>
      </c>
      <c r="AT435" s="18" t="s">
        <v>109</v>
      </c>
      <c r="AU435" s="18" t="s">
        <v>109</v>
      </c>
      <c r="AV435" s="36" t="s">
        <v>109</v>
      </c>
    </row>
    <row r="436" spans="1:48" ht="69.75" hidden="1" customHeight="1" x14ac:dyDescent="0.3">
      <c r="A436" s="18" t="s">
        <v>18</v>
      </c>
      <c r="B436" s="15" t="s">
        <v>1823</v>
      </c>
      <c r="C436" s="15" t="s">
        <v>1423</v>
      </c>
      <c r="D436" s="18" t="s">
        <v>32</v>
      </c>
      <c r="E436" s="18" t="s">
        <v>19</v>
      </c>
      <c r="F436" s="18" t="s">
        <v>19</v>
      </c>
      <c r="G436" s="18" t="s">
        <v>19</v>
      </c>
      <c r="H436" s="18" t="s">
        <v>19</v>
      </c>
      <c r="I436" s="18" t="s">
        <v>19</v>
      </c>
      <c r="J436" s="18" t="s">
        <v>19</v>
      </c>
      <c r="K436" s="18" t="s">
        <v>19</v>
      </c>
      <c r="L436" s="18" t="s">
        <v>19</v>
      </c>
      <c r="M436" s="15" t="s">
        <v>1815</v>
      </c>
      <c r="N436" s="4" t="s">
        <v>1816</v>
      </c>
      <c r="O436" s="15" t="s">
        <v>1650</v>
      </c>
      <c r="P436" s="4" t="s">
        <v>1664</v>
      </c>
      <c r="S436" s="15" t="e" cm="1">
        <f t="array" aca="1" ref="S436" ca="1">COMMONMARKETCOUNT(H436:AV436)</f>
        <v>#NAME?</v>
      </c>
      <c r="T436" s="6" t="e" cm="1">
        <f t="array" aca="1" ref="T436" ca="1">AUTOMATEDCOUNT(H436:AV436)</f>
        <v>#NAME?</v>
      </c>
      <c r="V436" s="15" t="s">
        <v>109</v>
      </c>
      <c r="W436" s="15" t="s">
        <v>109</v>
      </c>
      <c r="X436" s="18" t="s">
        <v>19</v>
      </c>
      <c r="Y436" s="18" t="s">
        <v>19</v>
      </c>
      <c r="Z436" s="18" t="s">
        <v>19</v>
      </c>
      <c r="AA436" s="18" t="s">
        <v>19</v>
      </c>
      <c r="AB436" s="18" t="s">
        <v>19</v>
      </c>
      <c r="AC436" s="18" t="s">
        <v>19</v>
      </c>
      <c r="AD436" s="18" t="s">
        <v>19</v>
      </c>
      <c r="AE436" s="18" t="s">
        <v>19</v>
      </c>
      <c r="AF436" s="18" t="s">
        <v>19</v>
      </c>
      <c r="AG436" s="18" t="s">
        <v>19</v>
      </c>
      <c r="AH436" s="18" t="s">
        <v>19</v>
      </c>
      <c r="AI436" s="18" t="s">
        <v>19</v>
      </c>
      <c r="AJ436" s="18" t="s">
        <v>19</v>
      </c>
      <c r="AK436" s="18" t="s">
        <v>19</v>
      </c>
      <c r="AL436" s="18" t="s">
        <v>19</v>
      </c>
      <c r="AM436" s="18" t="s">
        <v>19</v>
      </c>
      <c r="AN436" s="18" t="s">
        <v>19</v>
      </c>
      <c r="AO436" s="18" t="s">
        <v>19</v>
      </c>
      <c r="AP436" s="18" t="s">
        <v>19</v>
      </c>
      <c r="AQ436" s="18" t="s">
        <v>19</v>
      </c>
      <c r="AR436" s="18" t="s">
        <v>19</v>
      </c>
      <c r="AS436" s="18" t="s">
        <v>19</v>
      </c>
      <c r="AT436" s="18" t="s">
        <v>19</v>
      </c>
      <c r="AU436" s="18" t="s">
        <v>3153</v>
      </c>
      <c r="AV436" s="36" t="s">
        <v>19</v>
      </c>
    </row>
    <row r="437" spans="1:48" ht="98.25" hidden="1" customHeight="1" x14ac:dyDescent="0.3">
      <c r="A437" s="18" t="s">
        <v>315</v>
      </c>
      <c r="B437" s="15" t="s">
        <v>1324</v>
      </c>
      <c r="C437" s="15" t="s">
        <v>1424</v>
      </c>
      <c r="D437" s="18" t="s">
        <v>32</v>
      </c>
      <c r="E437" s="18" t="s">
        <v>19</v>
      </c>
      <c r="F437" s="18" t="s">
        <v>19</v>
      </c>
      <c r="G437" s="18" t="s">
        <v>19</v>
      </c>
      <c r="H437" s="18" t="s">
        <v>19</v>
      </c>
      <c r="I437" s="18" t="s">
        <v>19</v>
      </c>
      <c r="J437" s="18" t="s">
        <v>19</v>
      </c>
      <c r="K437" s="18" t="s">
        <v>19</v>
      </c>
      <c r="L437" s="18" t="s">
        <v>19</v>
      </c>
      <c r="M437" s="15" t="s">
        <v>1417</v>
      </c>
      <c r="N437" s="4" t="s">
        <v>1419</v>
      </c>
      <c r="O437" s="15" t="s">
        <v>1650</v>
      </c>
      <c r="P437" s="4" t="s">
        <v>1418</v>
      </c>
      <c r="S437" s="15" t="e" cm="1">
        <f t="array" aca="1" ref="S437" ca="1">COMMONMARKETCOUNT(H437:AV437)</f>
        <v>#NAME?</v>
      </c>
      <c r="T437" s="6" t="e" cm="1">
        <f t="array" aca="1" ref="T437" ca="1">AUTOMATEDCOUNT(H437:AV437)</f>
        <v>#NAME?</v>
      </c>
      <c r="V437" s="15" t="s">
        <v>109</v>
      </c>
      <c r="W437" s="15" t="s">
        <v>109</v>
      </c>
      <c r="X437" s="18" t="s">
        <v>19</v>
      </c>
      <c r="Y437" s="18" t="s">
        <v>19</v>
      </c>
      <c r="Z437" s="18" t="s">
        <v>19</v>
      </c>
      <c r="AA437" s="18" t="s">
        <v>19</v>
      </c>
      <c r="AB437" s="18" t="s">
        <v>19</v>
      </c>
      <c r="AC437" s="18" t="s">
        <v>19</v>
      </c>
      <c r="AD437" s="18" t="s">
        <v>19</v>
      </c>
      <c r="AE437" s="18" t="s">
        <v>19</v>
      </c>
      <c r="AF437" s="18" t="s">
        <v>19</v>
      </c>
      <c r="AG437" s="18" t="s">
        <v>109</v>
      </c>
      <c r="AH437" s="18" t="s">
        <v>109</v>
      </c>
      <c r="AI437" s="18" t="s">
        <v>109</v>
      </c>
      <c r="AJ437" s="18" t="s">
        <v>109</v>
      </c>
      <c r="AK437" s="18" t="s">
        <v>109</v>
      </c>
      <c r="AL437" s="18" t="s">
        <v>109</v>
      </c>
      <c r="AM437" s="18" t="s">
        <v>109</v>
      </c>
      <c r="AN437" s="18" t="s">
        <v>109</v>
      </c>
      <c r="AO437" s="18" t="s">
        <v>109</v>
      </c>
      <c r="AP437" s="18" t="s">
        <v>109</v>
      </c>
      <c r="AQ437" s="18" t="s">
        <v>109</v>
      </c>
      <c r="AR437" s="18" t="s">
        <v>109</v>
      </c>
      <c r="AS437" s="18" t="s">
        <v>109</v>
      </c>
      <c r="AT437" s="18" t="s">
        <v>109</v>
      </c>
      <c r="AU437" s="18" t="s">
        <v>109</v>
      </c>
      <c r="AV437" s="36" t="s">
        <v>109</v>
      </c>
    </row>
    <row r="438" spans="1:48" ht="69.75" hidden="1" customHeight="1" x14ac:dyDescent="0.3">
      <c r="A438" s="18" t="s">
        <v>25</v>
      </c>
      <c r="B438" s="18" t="s">
        <v>2350</v>
      </c>
      <c r="C438" s="15" t="s">
        <v>1426</v>
      </c>
      <c r="D438" s="18" t="s">
        <v>32</v>
      </c>
      <c r="E438" s="18" t="s">
        <v>109</v>
      </c>
      <c r="F438" s="18" t="s">
        <v>109</v>
      </c>
      <c r="G438" s="18" t="s">
        <v>109</v>
      </c>
      <c r="H438" s="18" t="s">
        <v>109</v>
      </c>
      <c r="I438" s="18" t="s">
        <v>19</v>
      </c>
      <c r="J438" s="18" t="s">
        <v>19</v>
      </c>
      <c r="K438" s="18" t="s">
        <v>19</v>
      </c>
      <c r="L438" s="18" t="s">
        <v>19</v>
      </c>
      <c r="M438" s="15" t="s">
        <v>1420</v>
      </c>
      <c r="N438" s="4" t="s">
        <v>1421</v>
      </c>
      <c r="O438" s="15" t="s">
        <v>1650</v>
      </c>
      <c r="P438" s="4" t="s">
        <v>1422</v>
      </c>
      <c r="S438" s="15" t="e" cm="1">
        <f t="array" aca="1" ref="S438" ca="1">COMMONMARKETCOUNT(H438:AV438)</f>
        <v>#NAME?</v>
      </c>
      <c r="T438" s="6" t="e" cm="1">
        <f t="array" aca="1" ref="T438" ca="1">AUTOMATEDCOUNT(H438:AV438)</f>
        <v>#NAME?</v>
      </c>
      <c r="V438" s="18" t="s">
        <v>109</v>
      </c>
      <c r="W438" s="18" t="s">
        <v>109</v>
      </c>
      <c r="X438" s="18" t="s">
        <v>109</v>
      </c>
      <c r="Y438" s="18" t="s">
        <v>109</v>
      </c>
      <c r="Z438" s="18" t="s">
        <v>109</v>
      </c>
      <c r="AA438" s="18" t="s">
        <v>19</v>
      </c>
      <c r="AB438" s="18" t="s">
        <v>19</v>
      </c>
      <c r="AC438" s="18" t="s">
        <v>19</v>
      </c>
      <c r="AD438" s="15" t="s">
        <v>109</v>
      </c>
      <c r="AE438" s="15" t="s">
        <v>109</v>
      </c>
      <c r="AF438" s="15" t="s">
        <v>109</v>
      </c>
      <c r="AG438" s="18" t="s">
        <v>109</v>
      </c>
      <c r="AH438" s="18" t="s">
        <v>109</v>
      </c>
      <c r="AI438" s="18" t="s">
        <v>109</v>
      </c>
      <c r="AJ438" s="18" t="s">
        <v>109</v>
      </c>
      <c r="AK438" s="18" t="s">
        <v>109</v>
      </c>
      <c r="AL438" s="18" t="s">
        <v>109</v>
      </c>
      <c r="AM438" s="18" t="s">
        <v>109</v>
      </c>
      <c r="AN438" s="18" t="s">
        <v>109</v>
      </c>
      <c r="AO438" s="18" t="s">
        <v>109</v>
      </c>
      <c r="AP438" s="18" t="s">
        <v>109</v>
      </c>
      <c r="AQ438" s="18" t="s">
        <v>109</v>
      </c>
      <c r="AR438" s="18" t="s">
        <v>109</v>
      </c>
      <c r="AS438" s="18" t="s">
        <v>109</v>
      </c>
      <c r="AT438" s="18" t="s">
        <v>109</v>
      </c>
      <c r="AU438" s="18" t="s">
        <v>109</v>
      </c>
      <c r="AV438" s="36"/>
    </row>
    <row r="439" spans="1:48" ht="79.5" hidden="1" customHeight="1" x14ac:dyDescent="0.3">
      <c r="A439" s="15" t="s">
        <v>25</v>
      </c>
      <c r="B439" s="18" t="s">
        <v>17</v>
      </c>
      <c r="C439" s="15" t="s">
        <v>1429</v>
      </c>
      <c r="D439" s="15" t="s">
        <v>32</v>
      </c>
      <c r="E439" s="15" t="s">
        <v>109</v>
      </c>
      <c r="F439" s="15" t="s">
        <v>109</v>
      </c>
      <c r="G439" s="15" t="s">
        <v>109</v>
      </c>
      <c r="H439" s="15" t="s">
        <v>109</v>
      </c>
      <c r="I439" s="15" t="s">
        <v>109</v>
      </c>
      <c r="J439" s="15" t="s">
        <v>109</v>
      </c>
      <c r="K439" s="15" t="s">
        <v>109</v>
      </c>
      <c r="L439" s="15" t="s">
        <v>109</v>
      </c>
      <c r="M439" s="15" t="s">
        <v>1439</v>
      </c>
      <c r="N439" s="4" t="s">
        <v>1440</v>
      </c>
      <c r="O439" s="15" t="s">
        <v>1650</v>
      </c>
      <c r="P439" s="4" t="s">
        <v>3109</v>
      </c>
      <c r="S439" s="15" t="e" cm="1">
        <f t="array" aca="1" ref="S439" ca="1">COMMONMARKETCOUNT(H439:AV439)</f>
        <v>#NAME?</v>
      </c>
      <c r="T439" s="6" t="e" cm="1">
        <f t="array" aca="1" ref="T439" ca="1">AUTOMATEDCOUNT(H439:AV439)</f>
        <v>#NAME?</v>
      </c>
      <c r="V439" s="15" t="s">
        <v>109</v>
      </c>
      <c r="W439" s="15" t="s">
        <v>109</v>
      </c>
      <c r="X439" s="15" t="s">
        <v>109</v>
      </c>
      <c r="Y439" s="15" t="s">
        <v>109</v>
      </c>
      <c r="Z439" s="15" t="s">
        <v>109</v>
      </c>
      <c r="AA439" s="15" t="s">
        <v>109</v>
      </c>
      <c r="AB439" s="15" t="s">
        <v>109</v>
      </c>
      <c r="AC439" s="15" t="s">
        <v>109</v>
      </c>
      <c r="AD439" s="15" t="s">
        <v>109</v>
      </c>
      <c r="AE439" s="15" t="s">
        <v>109</v>
      </c>
      <c r="AF439" s="15" t="s">
        <v>109</v>
      </c>
      <c r="AG439" s="15" t="s">
        <v>109</v>
      </c>
      <c r="AH439" s="15" t="s">
        <v>109</v>
      </c>
      <c r="AI439" s="15" t="s">
        <v>109</v>
      </c>
      <c r="AJ439" s="15" t="s">
        <v>109</v>
      </c>
      <c r="AK439" s="15" t="s">
        <v>109</v>
      </c>
      <c r="AL439" s="15" t="s">
        <v>109</v>
      </c>
      <c r="AM439" s="15" t="s">
        <v>109</v>
      </c>
      <c r="AN439" s="15" t="s">
        <v>109</v>
      </c>
      <c r="AO439" s="15" t="s">
        <v>109</v>
      </c>
      <c r="AP439" s="15" t="s">
        <v>19</v>
      </c>
      <c r="AQ439" s="15" t="s">
        <v>19</v>
      </c>
      <c r="AR439" s="15" t="s">
        <v>19</v>
      </c>
      <c r="AS439" s="15" t="s">
        <v>19</v>
      </c>
      <c r="AT439" s="15" t="s">
        <v>19</v>
      </c>
      <c r="AU439" s="15" t="s">
        <v>109</v>
      </c>
      <c r="AV439" s="36" t="s">
        <v>19</v>
      </c>
    </row>
    <row r="440" spans="1:48" ht="88.5" hidden="1" customHeight="1" x14ac:dyDescent="0.3">
      <c r="A440" s="18" t="s">
        <v>17</v>
      </c>
      <c r="B440" s="18" t="s">
        <v>17</v>
      </c>
      <c r="C440" s="15" t="s">
        <v>1430</v>
      </c>
      <c r="D440" s="15" t="s">
        <v>32</v>
      </c>
      <c r="E440" s="15" t="s">
        <v>109</v>
      </c>
      <c r="F440" s="15" t="s">
        <v>109</v>
      </c>
      <c r="G440" s="15" t="s">
        <v>109</v>
      </c>
      <c r="H440" s="15" t="s">
        <v>109</v>
      </c>
      <c r="I440" s="15" t="s">
        <v>109</v>
      </c>
      <c r="J440" s="15" t="s">
        <v>109</v>
      </c>
      <c r="K440" s="15" t="s">
        <v>109</v>
      </c>
      <c r="L440" s="15" t="s">
        <v>109</v>
      </c>
      <c r="M440" s="15" t="s">
        <v>1441</v>
      </c>
      <c r="N440" s="4" t="s">
        <v>1442</v>
      </c>
      <c r="O440" s="15" t="s">
        <v>1650</v>
      </c>
      <c r="P440" s="4" t="s">
        <v>1443</v>
      </c>
      <c r="S440" s="15" t="e" cm="1">
        <f t="array" aca="1" ref="S440" ca="1">COMMONMARKETCOUNT(H440:AV440)</f>
        <v>#NAME?</v>
      </c>
      <c r="T440" s="6" t="e" cm="1">
        <f t="array" aca="1" ref="T440" ca="1">AUTOMATEDCOUNT(H440:AV440)</f>
        <v>#NAME?</v>
      </c>
      <c r="V440" s="15" t="s">
        <v>109</v>
      </c>
      <c r="W440" s="15" t="s">
        <v>109</v>
      </c>
      <c r="X440" s="15" t="s">
        <v>109</v>
      </c>
      <c r="Y440" s="15" t="s">
        <v>109</v>
      </c>
      <c r="Z440" s="15" t="s">
        <v>109</v>
      </c>
      <c r="AA440" s="15" t="s">
        <v>109</v>
      </c>
      <c r="AB440" s="15" t="s">
        <v>109</v>
      </c>
      <c r="AC440" s="15" t="s">
        <v>109</v>
      </c>
      <c r="AD440" s="18" t="s">
        <v>109</v>
      </c>
      <c r="AE440" s="18" t="s">
        <v>109</v>
      </c>
      <c r="AF440" s="15" t="s">
        <v>109</v>
      </c>
      <c r="AG440" s="15" t="s">
        <v>109</v>
      </c>
      <c r="AH440" s="15" t="s">
        <v>109</v>
      </c>
      <c r="AI440" s="15" t="s">
        <v>109</v>
      </c>
      <c r="AJ440" s="15" t="s">
        <v>109</v>
      </c>
      <c r="AK440" s="15" t="s">
        <v>109</v>
      </c>
      <c r="AL440" s="15" t="s">
        <v>109</v>
      </c>
      <c r="AM440" s="15" t="s">
        <v>109</v>
      </c>
      <c r="AN440" s="15" t="s">
        <v>109</v>
      </c>
      <c r="AO440" s="15" t="s">
        <v>109</v>
      </c>
      <c r="AP440" s="15" t="s">
        <v>19</v>
      </c>
      <c r="AQ440" s="15" t="s">
        <v>19</v>
      </c>
      <c r="AR440" s="15" t="s">
        <v>19</v>
      </c>
      <c r="AS440" s="15" t="s">
        <v>19</v>
      </c>
      <c r="AT440" s="15" t="s">
        <v>19</v>
      </c>
      <c r="AU440" s="15" t="s">
        <v>109</v>
      </c>
      <c r="AV440" s="36" t="s">
        <v>19</v>
      </c>
    </row>
    <row r="441" spans="1:48" ht="70.5" hidden="1" customHeight="1" x14ac:dyDescent="0.3">
      <c r="A441" s="18" t="s">
        <v>315</v>
      </c>
      <c r="B441" s="18" t="s">
        <v>55</v>
      </c>
      <c r="C441" s="15" t="s">
        <v>1431</v>
      </c>
      <c r="D441" s="18" t="s">
        <v>32</v>
      </c>
      <c r="E441" s="18" t="s">
        <v>19</v>
      </c>
      <c r="F441" s="18" t="s">
        <v>19</v>
      </c>
      <c r="G441" s="18" t="s">
        <v>109</v>
      </c>
      <c r="H441" s="18" t="s">
        <v>109</v>
      </c>
      <c r="I441" s="18" t="s">
        <v>109</v>
      </c>
      <c r="J441" s="18" t="s">
        <v>109</v>
      </c>
      <c r="K441" s="18" t="s">
        <v>109</v>
      </c>
      <c r="L441" s="18" t="s">
        <v>109</v>
      </c>
      <c r="M441" s="15" t="s">
        <v>1434</v>
      </c>
      <c r="N441" s="4" t="s">
        <v>1435</v>
      </c>
      <c r="O441" s="31" t="s">
        <v>1644</v>
      </c>
      <c r="P441" s="4" t="s">
        <v>1433</v>
      </c>
      <c r="S441" s="15" t="e" cm="1">
        <f t="array" aca="1" ref="S441" ca="1">COMMONMARKETCOUNT(H441:AV441)</f>
        <v>#NAME?</v>
      </c>
      <c r="T441" s="6" t="e" cm="1">
        <f t="array" aca="1" ref="T441" ca="1">AUTOMATEDCOUNT(H441:AV441)</f>
        <v>#NAME?</v>
      </c>
      <c r="V441" s="18" t="s">
        <v>109</v>
      </c>
      <c r="W441" s="18" t="s">
        <v>109</v>
      </c>
      <c r="X441" s="18" t="s">
        <v>19</v>
      </c>
      <c r="Y441" s="18" t="s">
        <v>19</v>
      </c>
      <c r="Z441" s="18" t="s">
        <v>19</v>
      </c>
      <c r="AA441" s="18" t="s">
        <v>109</v>
      </c>
      <c r="AB441" s="18" t="s">
        <v>109</v>
      </c>
      <c r="AC441" s="18" t="s">
        <v>109</v>
      </c>
      <c r="AD441" s="18" t="s">
        <v>109</v>
      </c>
      <c r="AE441" s="18" t="s">
        <v>109</v>
      </c>
      <c r="AF441" s="18" t="s">
        <v>109</v>
      </c>
      <c r="AG441" s="18" t="s">
        <v>109</v>
      </c>
      <c r="AH441" s="18" t="s">
        <v>109</v>
      </c>
      <c r="AI441" s="18" t="s">
        <v>109</v>
      </c>
      <c r="AJ441" s="18" t="s">
        <v>109</v>
      </c>
      <c r="AK441" s="18" t="s">
        <v>109</v>
      </c>
      <c r="AL441" s="18" t="s">
        <v>109</v>
      </c>
      <c r="AM441" s="18" t="s">
        <v>109</v>
      </c>
      <c r="AN441" s="18" t="s">
        <v>109</v>
      </c>
      <c r="AO441" s="18" t="s">
        <v>109</v>
      </c>
      <c r="AP441" s="18" t="s">
        <v>109</v>
      </c>
      <c r="AQ441" s="18" t="s">
        <v>109</v>
      </c>
      <c r="AR441" s="18" t="s">
        <v>109</v>
      </c>
      <c r="AS441" s="18" t="s">
        <v>109</v>
      </c>
      <c r="AT441" s="18" t="s">
        <v>109</v>
      </c>
      <c r="AU441" s="18" t="s">
        <v>109</v>
      </c>
      <c r="AV441" s="36" t="s">
        <v>109</v>
      </c>
    </row>
    <row r="442" spans="1:48" ht="61.5" hidden="1" customHeight="1" x14ac:dyDescent="0.3">
      <c r="A442" s="18" t="s">
        <v>315</v>
      </c>
      <c r="B442" s="18" t="s">
        <v>55</v>
      </c>
      <c r="C442" s="15" t="s">
        <v>1432</v>
      </c>
      <c r="D442" s="18" t="s">
        <v>32</v>
      </c>
      <c r="E442" s="18" t="s">
        <v>109</v>
      </c>
      <c r="F442" s="18" t="s">
        <v>109</v>
      </c>
      <c r="G442" s="18" t="s">
        <v>109</v>
      </c>
      <c r="H442" s="18" t="s">
        <v>109</v>
      </c>
      <c r="I442" s="18" t="s">
        <v>109</v>
      </c>
      <c r="J442" s="18" t="s">
        <v>109</v>
      </c>
      <c r="K442" s="18" t="s">
        <v>109</v>
      </c>
      <c r="L442" s="18" t="s">
        <v>109</v>
      </c>
      <c r="M442" s="15" t="s">
        <v>2957</v>
      </c>
      <c r="N442" s="4" t="s">
        <v>1428</v>
      </c>
      <c r="O442" s="31" t="s">
        <v>1644</v>
      </c>
      <c r="P442" s="4" t="s">
        <v>1436</v>
      </c>
      <c r="S442" s="15" t="e" cm="1">
        <f t="array" aca="1" ref="S442" ca="1">COMMONMARKETCOUNT(H442:AV442)</f>
        <v>#NAME?</v>
      </c>
      <c r="T442" s="6" t="e" cm="1">
        <f t="array" aca="1" ref="T442" ca="1">AUTOMATEDCOUNT(H442:AV442)</f>
        <v>#NAME?</v>
      </c>
      <c r="V442" s="18" t="s">
        <v>109</v>
      </c>
      <c r="W442" s="18" t="s">
        <v>109</v>
      </c>
      <c r="X442" s="18" t="s">
        <v>109</v>
      </c>
      <c r="Y442" s="18" t="s">
        <v>109</v>
      </c>
      <c r="Z442" s="18" t="s">
        <v>109</v>
      </c>
      <c r="AA442" s="18" t="s">
        <v>109</v>
      </c>
      <c r="AB442" s="18" t="s">
        <v>109</v>
      </c>
      <c r="AC442" s="18" t="s">
        <v>109</v>
      </c>
      <c r="AD442" s="18" t="s">
        <v>19</v>
      </c>
      <c r="AE442" s="18" t="s">
        <v>19</v>
      </c>
      <c r="AF442" s="18" t="s">
        <v>109</v>
      </c>
      <c r="AG442" s="18" t="s">
        <v>109</v>
      </c>
      <c r="AH442" s="18" t="s">
        <v>109</v>
      </c>
      <c r="AI442" s="18" t="s">
        <v>109</v>
      </c>
      <c r="AJ442" s="18" t="s">
        <v>109</v>
      </c>
      <c r="AK442" s="18" t="s">
        <v>109</v>
      </c>
      <c r="AL442" s="18" t="s">
        <v>109</v>
      </c>
      <c r="AM442" s="18" t="s">
        <v>109</v>
      </c>
      <c r="AN442" s="18" t="s">
        <v>109</v>
      </c>
      <c r="AO442" s="18" t="s">
        <v>109</v>
      </c>
      <c r="AP442" s="18" t="s">
        <v>19</v>
      </c>
      <c r="AQ442" s="18" t="s">
        <v>19</v>
      </c>
      <c r="AR442" s="18" t="s">
        <v>19</v>
      </c>
      <c r="AS442" s="18" t="s">
        <v>19</v>
      </c>
      <c r="AT442" s="18" t="s">
        <v>19</v>
      </c>
      <c r="AU442" s="15" t="s">
        <v>109</v>
      </c>
      <c r="AV442" s="36" t="s">
        <v>19</v>
      </c>
    </row>
    <row r="443" spans="1:48" ht="62.25" customHeight="1" x14ac:dyDescent="0.3">
      <c r="A443" s="15" t="s">
        <v>25</v>
      </c>
      <c r="B443" s="15" t="s">
        <v>24</v>
      </c>
      <c r="C443" s="15" t="s">
        <v>575</v>
      </c>
      <c r="D443" s="15" t="s">
        <v>19</v>
      </c>
      <c r="E443" s="20" t="s">
        <v>19</v>
      </c>
      <c r="F443" s="20" t="s">
        <v>19</v>
      </c>
      <c r="G443" s="20" t="s">
        <v>19</v>
      </c>
      <c r="H443" s="20" t="s">
        <v>19</v>
      </c>
      <c r="I443" s="29" t="s">
        <v>19</v>
      </c>
      <c r="J443" s="29" t="s">
        <v>19</v>
      </c>
      <c r="K443" s="18" t="s">
        <v>19</v>
      </c>
      <c r="L443" s="18" t="s">
        <v>19</v>
      </c>
      <c r="M443" s="15" t="s">
        <v>2958</v>
      </c>
      <c r="N443" s="4" t="s">
        <v>2356</v>
      </c>
      <c r="O443" s="15"/>
      <c r="P443" s="4" t="s">
        <v>2359</v>
      </c>
      <c r="S443" s="15" t="e" cm="1">
        <f t="array" aca="1" ref="S443" ca="1">COMMONMARKETCOUNT(H443:AV443)</f>
        <v>#NAME?</v>
      </c>
      <c r="T443" s="6" t="e" cm="1">
        <f t="array" aca="1" ref="T443" ca="1">AUTOMATEDCOUNT(H443:AV443)</f>
        <v>#NAME?</v>
      </c>
      <c r="V443" s="15" t="s">
        <v>109</v>
      </c>
      <c r="W443" s="15" t="s">
        <v>109</v>
      </c>
      <c r="X443" s="20" t="s">
        <v>19</v>
      </c>
      <c r="Y443" s="20" t="s">
        <v>19</v>
      </c>
      <c r="Z443" s="20" t="s">
        <v>19</v>
      </c>
      <c r="AA443" s="29" t="s">
        <v>19</v>
      </c>
      <c r="AB443" s="29" t="s">
        <v>19</v>
      </c>
      <c r="AC443" s="29" t="s">
        <v>19</v>
      </c>
      <c r="AD443" s="20" t="s">
        <v>19</v>
      </c>
      <c r="AE443" s="15" t="s">
        <v>19</v>
      </c>
      <c r="AF443" s="18" t="s">
        <v>19</v>
      </c>
      <c r="AG443" s="18" t="s">
        <v>19</v>
      </c>
      <c r="AH443" s="18" t="s">
        <v>19</v>
      </c>
      <c r="AI443" s="18" t="s">
        <v>19</v>
      </c>
      <c r="AJ443" s="18" t="s">
        <v>19</v>
      </c>
      <c r="AK443" s="18" t="s">
        <v>19</v>
      </c>
      <c r="AL443" s="18" t="s">
        <v>19</v>
      </c>
      <c r="AM443" s="18" t="s">
        <v>19</v>
      </c>
      <c r="AN443" s="18" t="s">
        <v>19</v>
      </c>
      <c r="AO443" s="18" t="s">
        <v>19</v>
      </c>
      <c r="AP443" s="18" t="s">
        <v>19</v>
      </c>
      <c r="AQ443" s="18" t="s">
        <v>19</v>
      </c>
      <c r="AR443" s="18" t="s">
        <v>19</v>
      </c>
      <c r="AS443" s="18" t="s">
        <v>19</v>
      </c>
      <c r="AT443" s="18" t="s">
        <v>19</v>
      </c>
      <c r="AU443" s="18" t="s">
        <v>3153</v>
      </c>
      <c r="AV443" s="36" t="s">
        <v>19</v>
      </c>
    </row>
    <row r="444" spans="1:48" ht="66.75" customHeight="1" x14ac:dyDescent="0.3">
      <c r="A444" s="15" t="s">
        <v>25</v>
      </c>
      <c r="B444" s="15" t="s">
        <v>24</v>
      </c>
      <c r="C444" s="15" t="s">
        <v>577</v>
      </c>
      <c r="D444" s="15" t="s">
        <v>19</v>
      </c>
      <c r="E444" s="70" t="s">
        <v>19</v>
      </c>
      <c r="F444" s="70" t="s">
        <v>19</v>
      </c>
      <c r="G444" s="15" t="s">
        <v>19</v>
      </c>
      <c r="H444" s="15" t="s">
        <v>19</v>
      </c>
      <c r="I444" s="15" t="s">
        <v>19</v>
      </c>
      <c r="J444" s="15" t="s">
        <v>19</v>
      </c>
      <c r="K444" s="15" t="s">
        <v>19</v>
      </c>
      <c r="L444" s="15" t="s">
        <v>19</v>
      </c>
      <c r="M444" s="15" t="s">
        <v>2959</v>
      </c>
      <c r="N444" s="4" t="s">
        <v>2361</v>
      </c>
      <c r="O444" s="15"/>
      <c r="P444" s="4" t="s">
        <v>3110</v>
      </c>
      <c r="S444" s="15" t="e" cm="1">
        <f t="array" aca="1" ref="S444" ca="1">COMMONMARKETCOUNT(H444:AV444)</f>
        <v>#NAME?</v>
      </c>
      <c r="T444" s="6" t="e" cm="1">
        <f t="array" aca="1" ref="T444" ca="1">AUTOMATEDCOUNT(H444:AV444)</f>
        <v>#NAME?</v>
      </c>
      <c r="V444" s="15" t="s">
        <v>19</v>
      </c>
      <c r="W444" s="15" t="s">
        <v>19</v>
      </c>
      <c r="X444" s="70" t="s">
        <v>19</v>
      </c>
      <c r="Y444" s="70" t="s">
        <v>19</v>
      </c>
      <c r="Z444" s="70" t="s">
        <v>19</v>
      </c>
      <c r="AA444" s="15" t="s">
        <v>19</v>
      </c>
      <c r="AB444" s="15" t="s">
        <v>19</v>
      </c>
      <c r="AC444" s="15" t="s">
        <v>19</v>
      </c>
      <c r="AD444" s="15" t="s">
        <v>19</v>
      </c>
      <c r="AE444" s="15" t="s">
        <v>19</v>
      </c>
      <c r="AF444" s="15" t="s">
        <v>19</v>
      </c>
      <c r="AG444" s="15" t="s">
        <v>19</v>
      </c>
      <c r="AH444" s="15" t="s">
        <v>19</v>
      </c>
      <c r="AI444" s="15" t="s">
        <v>19</v>
      </c>
      <c r="AJ444" s="15" t="s">
        <v>19</v>
      </c>
      <c r="AK444" s="15" t="s">
        <v>19</v>
      </c>
      <c r="AL444" s="15" t="s">
        <v>19</v>
      </c>
      <c r="AM444" s="18" t="s">
        <v>19</v>
      </c>
      <c r="AN444" s="18" t="s">
        <v>19</v>
      </c>
      <c r="AO444" s="18" t="s">
        <v>19</v>
      </c>
      <c r="AP444" s="15" t="s">
        <v>19</v>
      </c>
      <c r="AQ444" s="15" t="s">
        <v>19</v>
      </c>
      <c r="AR444" s="15" t="s">
        <v>19</v>
      </c>
      <c r="AS444" s="15" t="s">
        <v>19</v>
      </c>
      <c r="AT444" s="15" t="s">
        <v>19</v>
      </c>
      <c r="AU444" s="15" t="s">
        <v>3153</v>
      </c>
      <c r="AV444" s="36" t="s">
        <v>19</v>
      </c>
    </row>
    <row r="445" spans="1:48" ht="69" hidden="1" customHeight="1" x14ac:dyDescent="0.3">
      <c r="A445" s="15" t="s">
        <v>25</v>
      </c>
      <c r="B445" s="15" t="s">
        <v>24</v>
      </c>
      <c r="C445" s="15" t="s">
        <v>2370</v>
      </c>
      <c r="D445" s="15" t="s">
        <v>32</v>
      </c>
      <c r="E445" s="15" t="s">
        <v>19</v>
      </c>
      <c r="F445" s="15" t="s">
        <v>19</v>
      </c>
      <c r="G445" s="15" t="s">
        <v>19</v>
      </c>
      <c r="H445" s="15" t="s">
        <v>19</v>
      </c>
      <c r="I445" s="15" t="s">
        <v>19</v>
      </c>
      <c r="J445" s="15" t="s">
        <v>19</v>
      </c>
      <c r="K445" s="15" t="s">
        <v>19</v>
      </c>
      <c r="L445" s="15" t="s">
        <v>19</v>
      </c>
      <c r="M445" s="15" t="s">
        <v>2960</v>
      </c>
      <c r="N445" s="4" t="s">
        <v>2362</v>
      </c>
      <c r="O445" s="15"/>
      <c r="P445" s="4" t="s">
        <v>2365</v>
      </c>
      <c r="S445" s="15" t="e" cm="1">
        <f t="array" aca="1" ref="S445" ca="1">COMMONMARKETCOUNT(H445:AV445)</f>
        <v>#NAME?</v>
      </c>
      <c r="T445" s="6" t="e" cm="1">
        <f t="array" aca="1" ref="T445" ca="1">AUTOMATEDCOUNT(H445:AV445)</f>
        <v>#NAME?</v>
      </c>
      <c r="V445" s="15" t="s">
        <v>19</v>
      </c>
      <c r="W445" s="15" t="s">
        <v>19</v>
      </c>
      <c r="X445" s="15" t="s">
        <v>19</v>
      </c>
      <c r="Y445" s="15" t="s">
        <v>19</v>
      </c>
      <c r="Z445" s="15" t="s">
        <v>19</v>
      </c>
      <c r="AA445" s="15" t="s">
        <v>19</v>
      </c>
      <c r="AB445" s="15" t="s">
        <v>19</v>
      </c>
      <c r="AC445" s="15" t="s">
        <v>19</v>
      </c>
      <c r="AD445" s="15" t="s">
        <v>19</v>
      </c>
      <c r="AE445" s="15" t="s">
        <v>19</v>
      </c>
      <c r="AF445" s="15" t="s">
        <v>19</v>
      </c>
      <c r="AG445" s="15" t="s">
        <v>19</v>
      </c>
      <c r="AH445" s="15" t="s">
        <v>19</v>
      </c>
      <c r="AI445" s="15" t="s">
        <v>19</v>
      </c>
      <c r="AJ445" s="15" t="s">
        <v>19</v>
      </c>
      <c r="AK445" s="15" t="s">
        <v>19</v>
      </c>
      <c r="AL445" s="15" t="s">
        <v>19</v>
      </c>
      <c r="AM445" s="18" t="s">
        <v>19</v>
      </c>
      <c r="AN445" s="18" t="s">
        <v>19</v>
      </c>
      <c r="AO445" s="18" t="s">
        <v>19</v>
      </c>
      <c r="AP445" s="15" t="s">
        <v>19</v>
      </c>
      <c r="AQ445" s="15" t="s">
        <v>19</v>
      </c>
      <c r="AR445" s="15" t="s">
        <v>19</v>
      </c>
      <c r="AS445" s="15" t="s">
        <v>19</v>
      </c>
      <c r="AT445" s="15" t="s">
        <v>19</v>
      </c>
      <c r="AU445" s="15" t="s">
        <v>3153</v>
      </c>
      <c r="AV445" s="36" t="s">
        <v>19</v>
      </c>
    </row>
    <row r="446" spans="1:48" ht="87" hidden="1" customHeight="1" x14ac:dyDescent="0.3">
      <c r="A446" s="15" t="s">
        <v>25</v>
      </c>
      <c r="B446" s="15" t="s">
        <v>24</v>
      </c>
      <c r="C446" s="15" t="s">
        <v>881</v>
      </c>
      <c r="D446" s="15" t="s">
        <v>32</v>
      </c>
      <c r="E446" s="15" t="s">
        <v>19</v>
      </c>
      <c r="F446" s="15" t="s">
        <v>19</v>
      </c>
      <c r="G446" s="15" t="s">
        <v>19</v>
      </c>
      <c r="H446" s="15" t="s">
        <v>19</v>
      </c>
      <c r="I446" s="15" t="s">
        <v>19</v>
      </c>
      <c r="J446" s="15" t="s">
        <v>19</v>
      </c>
      <c r="K446" s="15" t="s">
        <v>19</v>
      </c>
      <c r="L446" s="15" t="s">
        <v>19</v>
      </c>
      <c r="M446" s="15" t="s">
        <v>2961</v>
      </c>
      <c r="N446" s="4" t="s">
        <v>2363</v>
      </c>
      <c r="O446" s="15"/>
      <c r="P446" s="4" t="s">
        <v>2366</v>
      </c>
      <c r="S446" s="15" t="e" cm="1">
        <f t="array" aca="1" ref="S446" ca="1">COMMONMARKETCOUNT(H446:AV446)</f>
        <v>#NAME?</v>
      </c>
      <c r="T446" s="6" t="e" cm="1">
        <f t="array" aca="1" ref="T446" ca="1">AUTOMATEDCOUNT(H446:AV446)</f>
        <v>#NAME?</v>
      </c>
      <c r="V446" s="15" t="s">
        <v>19</v>
      </c>
      <c r="W446" s="15" t="s">
        <v>19</v>
      </c>
      <c r="X446" s="15" t="s">
        <v>19</v>
      </c>
      <c r="Y446" s="15" t="s">
        <v>19</v>
      </c>
      <c r="Z446" s="15" t="s">
        <v>19</v>
      </c>
      <c r="AA446" s="15" t="s">
        <v>19</v>
      </c>
      <c r="AB446" s="15" t="s">
        <v>19</v>
      </c>
      <c r="AC446" s="15" t="s">
        <v>19</v>
      </c>
      <c r="AD446" s="15" t="s">
        <v>19</v>
      </c>
      <c r="AE446" s="15" t="s">
        <v>19</v>
      </c>
      <c r="AF446" s="15" t="s">
        <v>19</v>
      </c>
      <c r="AG446" s="15" t="s">
        <v>19</v>
      </c>
      <c r="AH446" s="15" t="s">
        <v>19</v>
      </c>
      <c r="AI446" s="15" t="s">
        <v>19</v>
      </c>
      <c r="AJ446" s="15" t="s">
        <v>19</v>
      </c>
      <c r="AK446" s="15" t="s">
        <v>19</v>
      </c>
      <c r="AL446" s="15" t="s">
        <v>19</v>
      </c>
      <c r="AM446" s="18" t="s">
        <v>19</v>
      </c>
      <c r="AN446" s="18" t="s">
        <v>19</v>
      </c>
      <c r="AO446" s="18" t="s">
        <v>19</v>
      </c>
      <c r="AP446" s="15" t="s">
        <v>19</v>
      </c>
      <c r="AQ446" s="15" t="s">
        <v>19</v>
      </c>
      <c r="AR446" s="15" t="s">
        <v>19</v>
      </c>
      <c r="AS446" s="15" t="s">
        <v>19</v>
      </c>
      <c r="AT446" s="15" t="s">
        <v>19</v>
      </c>
      <c r="AU446" s="15" t="s">
        <v>3153</v>
      </c>
      <c r="AV446" s="36" t="s">
        <v>19</v>
      </c>
    </row>
    <row r="447" spans="1:48" ht="93.75" hidden="1" customHeight="1" x14ac:dyDescent="0.3">
      <c r="A447" s="15" t="s">
        <v>25</v>
      </c>
      <c r="B447" s="15" t="s">
        <v>24</v>
      </c>
      <c r="C447" s="15" t="s">
        <v>882</v>
      </c>
      <c r="D447" s="15" t="s">
        <v>32</v>
      </c>
      <c r="E447" s="15" t="s">
        <v>19</v>
      </c>
      <c r="F447" s="15" t="s">
        <v>19</v>
      </c>
      <c r="G447" s="15" t="s">
        <v>19</v>
      </c>
      <c r="H447" s="15" t="s">
        <v>19</v>
      </c>
      <c r="I447" s="15" t="s">
        <v>19</v>
      </c>
      <c r="J447" s="15" t="s">
        <v>19</v>
      </c>
      <c r="K447" s="15" t="s">
        <v>19</v>
      </c>
      <c r="L447" s="15" t="s">
        <v>19</v>
      </c>
      <c r="M447" s="15" t="s">
        <v>2962</v>
      </c>
      <c r="N447" s="4" t="s">
        <v>2364</v>
      </c>
      <c r="O447" s="15"/>
      <c r="P447" s="4" t="s">
        <v>2367</v>
      </c>
      <c r="S447" s="15" t="e" cm="1">
        <f t="array" aca="1" ref="S447" ca="1">COMMONMARKETCOUNT(H447:AV447)</f>
        <v>#NAME?</v>
      </c>
      <c r="T447" s="6" t="e" cm="1">
        <f t="array" aca="1" ref="T447" ca="1">AUTOMATEDCOUNT(H447:AV447)</f>
        <v>#NAME?</v>
      </c>
      <c r="V447" s="15" t="s">
        <v>19</v>
      </c>
      <c r="W447" s="15" t="s">
        <v>19</v>
      </c>
      <c r="X447" s="15" t="s">
        <v>19</v>
      </c>
      <c r="Y447" s="15" t="s">
        <v>19</v>
      </c>
      <c r="Z447" s="15" t="s">
        <v>19</v>
      </c>
      <c r="AA447" s="15" t="s">
        <v>19</v>
      </c>
      <c r="AB447" s="15" t="s">
        <v>19</v>
      </c>
      <c r="AC447" s="15" t="s">
        <v>19</v>
      </c>
      <c r="AD447" s="18" t="s">
        <v>19</v>
      </c>
      <c r="AE447" s="18" t="s">
        <v>19</v>
      </c>
      <c r="AF447" s="15" t="s">
        <v>19</v>
      </c>
      <c r="AG447" s="15" t="s">
        <v>19</v>
      </c>
      <c r="AH447" s="15" t="s">
        <v>19</v>
      </c>
      <c r="AI447" s="15" t="s">
        <v>19</v>
      </c>
      <c r="AJ447" s="15" t="s">
        <v>19</v>
      </c>
      <c r="AK447" s="15" t="s">
        <v>19</v>
      </c>
      <c r="AL447" s="15" t="s">
        <v>19</v>
      </c>
      <c r="AM447" s="18" t="s">
        <v>19</v>
      </c>
      <c r="AN447" s="18" t="s">
        <v>19</v>
      </c>
      <c r="AO447" s="18" t="s">
        <v>19</v>
      </c>
      <c r="AP447" s="15" t="s">
        <v>19</v>
      </c>
      <c r="AQ447" s="15" t="s">
        <v>19</v>
      </c>
      <c r="AR447" s="15" t="s">
        <v>19</v>
      </c>
      <c r="AS447" s="15" t="s">
        <v>19</v>
      </c>
      <c r="AT447" s="15" t="s">
        <v>19</v>
      </c>
      <c r="AU447" s="15" t="s">
        <v>3153</v>
      </c>
      <c r="AV447" s="36" t="s">
        <v>19</v>
      </c>
    </row>
    <row r="448" spans="1:48" ht="52.5" customHeight="1" x14ac:dyDescent="0.3">
      <c r="A448" s="15" t="s">
        <v>25</v>
      </c>
      <c r="B448" s="15" t="s">
        <v>1365</v>
      </c>
      <c r="C448" s="15" t="s">
        <v>578</v>
      </c>
      <c r="D448" s="15" t="s">
        <v>19</v>
      </c>
      <c r="E448" s="70" t="s">
        <v>19</v>
      </c>
      <c r="F448" s="70" t="s">
        <v>19</v>
      </c>
      <c r="G448" s="70" t="s">
        <v>19</v>
      </c>
      <c r="H448" s="70" t="s">
        <v>19</v>
      </c>
      <c r="I448" s="72" t="s">
        <v>19</v>
      </c>
      <c r="J448" s="72" t="s">
        <v>19</v>
      </c>
      <c r="K448" s="72" t="s">
        <v>19</v>
      </c>
      <c r="L448" s="72" t="s">
        <v>19</v>
      </c>
      <c r="M448" s="15" t="s">
        <v>1631</v>
      </c>
      <c r="N448" s="4" t="s">
        <v>1562</v>
      </c>
      <c r="O448" s="15"/>
      <c r="P448" s="4" t="s">
        <v>1761</v>
      </c>
      <c r="S448" s="15" t="e" cm="1">
        <f t="array" aca="1" ref="S448" ca="1">COMMONMARKETCOUNT(H448:AV448)</f>
        <v>#NAME?</v>
      </c>
      <c r="T448" s="6" t="e" cm="1">
        <f t="array" aca="1" ref="T448" ca="1">AUTOMATEDCOUNT(H448:AV448)</f>
        <v>#NAME?</v>
      </c>
      <c r="V448" s="70" t="s">
        <v>19</v>
      </c>
      <c r="W448" s="70" t="s">
        <v>19</v>
      </c>
      <c r="X448" s="70" t="s">
        <v>19</v>
      </c>
      <c r="Y448" s="70" t="s">
        <v>19</v>
      </c>
      <c r="Z448" s="70" t="s">
        <v>19</v>
      </c>
      <c r="AA448" s="72" t="s">
        <v>19</v>
      </c>
      <c r="AB448" s="72" t="s">
        <v>19</v>
      </c>
      <c r="AC448" s="72" t="s">
        <v>19</v>
      </c>
      <c r="AD448" s="72" t="s">
        <v>19</v>
      </c>
      <c r="AE448" s="18" t="s">
        <v>19</v>
      </c>
      <c r="AF448" s="18" t="s">
        <v>19</v>
      </c>
      <c r="AG448" s="18" t="s">
        <v>19</v>
      </c>
      <c r="AH448" s="18" t="s">
        <v>19</v>
      </c>
      <c r="AI448" s="18" t="s">
        <v>19</v>
      </c>
      <c r="AJ448" s="18" t="s">
        <v>19</v>
      </c>
      <c r="AK448" s="18" t="s">
        <v>19</v>
      </c>
      <c r="AL448" s="18" t="s">
        <v>19</v>
      </c>
      <c r="AM448" s="18" t="s">
        <v>19</v>
      </c>
      <c r="AN448" s="18" t="s">
        <v>19</v>
      </c>
      <c r="AO448" s="18" t="s">
        <v>19</v>
      </c>
      <c r="AP448" s="18" t="s">
        <v>19</v>
      </c>
      <c r="AQ448" s="18" t="s">
        <v>19</v>
      </c>
      <c r="AR448" s="18" t="s">
        <v>19</v>
      </c>
      <c r="AS448" s="70" t="s">
        <v>19</v>
      </c>
      <c r="AT448" s="72" t="s">
        <v>19</v>
      </c>
      <c r="AU448" s="29" t="s">
        <v>3153</v>
      </c>
      <c r="AV448" s="36" t="s">
        <v>19</v>
      </c>
    </row>
    <row r="449" spans="1:264" ht="76.5" hidden="1" customHeight="1" x14ac:dyDescent="0.3">
      <c r="A449" s="15" t="s">
        <v>18</v>
      </c>
      <c r="B449" s="18" t="s">
        <v>239</v>
      </c>
      <c r="C449" s="15" t="s">
        <v>1450</v>
      </c>
      <c r="D449" s="18" t="s">
        <v>32</v>
      </c>
      <c r="E449" s="18" t="s">
        <v>19</v>
      </c>
      <c r="F449" s="18" t="s">
        <v>19</v>
      </c>
      <c r="G449" s="18" t="s">
        <v>19</v>
      </c>
      <c r="H449" s="18" t="s">
        <v>19</v>
      </c>
      <c r="I449" s="18" t="s">
        <v>19</v>
      </c>
      <c r="J449" s="18" t="s">
        <v>19</v>
      </c>
      <c r="K449" s="18" t="s">
        <v>19</v>
      </c>
      <c r="L449" s="18" t="s">
        <v>19</v>
      </c>
      <c r="M449" s="15" t="s">
        <v>2963</v>
      </c>
      <c r="N449" s="4" t="s">
        <v>1762</v>
      </c>
      <c r="O449" s="31" t="s">
        <v>1644</v>
      </c>
      <c r="P449" s="4" t="s">
        <v>3111</v>
      </c>
      <c r="S449" s="15" t="e" cm="1">
        <f t="array" aca="1" ref="S449" ca="1">COMMONMARKETCOUNT(H449:AV449)</f>
        <v>#NAME?</v>
      </c>
      <c r="T449" s="6" t="e" cm="1">
        <f t="array" aca="1" ref="T449" ca="1">AUTOMATEDCOUNT(H449:AV449)</f>
        <v>#NAME?</v>
      </c>
      <c r="V449" s="18" t="s">
        <v>19</v>
      </c>
      <c r="W449" s="18" t="s">
        <v>19</v>
      </c>
      <c r="X449" s="18" t="s">
        <v>19</v>
      </c>
      <c r="Y449" s="18" t="s">
        <v>19</v>
      </c>
      <c r="Z449" s="18" t="s">
        <v>19</v>
      </c>
      <c r="AA449" s="18" t="s">
        <v>19</v>
      </c>
      <c r="AB449" s="18" t="s">
        <v>19</v>
      </c>
      <c r="AC449" s="18" t="s">
        <v>19</v>
      </c>
      <c r="AD449" s="18" t="s">
        <v>19</v>
      </c>
      <c r="AE449" s="18" t="s">
        <v>19</v>
      </c>
      <c r="AF449" s="15" t="s">
        <v>19</v>
      </c>
      <c r="AG449" s="15" t="s">
        <v>19</v>
      </c>
      <c r="AH449" s="15" t="s">
        <v>19</v>
      </c>
      <c r="AI449" s="15" t="s">
        <v>19</v>
      </c>
      <c r="AJ449" s="15" t="s">
        <v>19</v>
      </c>
      <c r="AK449" s="15" t="s">
        <v>19</v>
      </c>
      <c r="AL449" s="15" t="s">
        <v>19</v>
      </c>
      <c r="AM449" s="15" t="s">
        <v>19</v>
      </c>
      <c r="AN449" s="15" t="s">
        <v>19</v>
      </c>
      <c r="AO449" s="15" t="s">
        <v>19</v>
      </c>
      <c r="AP449" s="15" t="s">
        <v>19</v>
      </c>
      <c r="AQ449" s="15" t="s">
        <v>19</v>
      </c>
      <c r="AR449" s="15" t="s">
        <v>19</v>
      </c>
      <c r="AS449" s="15" t="s">
        <v>19</v>
      </c>
      <c r="AT449" s="15" t="s">
        <v>19</v>
      </c>
      <c r="AU449" s="15" t="s">
        <v>3153</v>
      </c>
      <c r="AV449" s="36"/>
    </row>
    <row r="450" spans="1:264" ht="76.5" hidden="1" customHeight="1" x14ac:dyDescent="0.3">
      <c r="A450" s="15" t="s">
        <v>18</v>
      </c>
      <c r="B450" s="18" t="s">
        <v>239</v>
      </c>
      <c r="C450" s="15" t="s">
        <v>1818</v>
      </c>
      <c r="D450" s="18" t="s">
        <v>32</v>
      </c>
      <c r="E450" s="18" t="s">
        <v>19</v>
      </c>
      <c r="F450" s="18" t="s">
        <v>19</v>
      </c>
      <c r="G450" s="18" t="s">
        <v>19</v>
      </c>
      <c r="H450" s="18" t="s">
        <v>19</v>
      </c>
      <c r="I450" s="18" t="s">
        <v>19</v>
      </c>
      <c r="J450" s="18" t="s">
        <v>19</v>
      </c>
      <c r="K450" s="18" t="s">
        <v>19</v>
      </c>
      <c r="L450" s="18" t="s">
        <v>19</v>
      </c>
      <c r="M450" s="15" t="s">
        <v>1451</v>
      </c>
      <c r="N450" s="4" t="s">
        <v>1447</v>
      </c>
      <c r="O450" s="31" t="s">
        <v>1644</v>
      </c>
      <c r="P450" s="4" t="s">
        <v>3112</v>
      </c>
      <c r="S450" s="15" t="e" cm="1">
        <f t="array" aca="1" ref="S450" ca="1">COMMONMARKETCOUNT(H450:AV450)</f>
        <v>#NAME?</v>
      </c>
      <c r="T450" s="6" t="e" cm="1">
        <f t="array" aca="1" ref="T450" ca="1">AUTOMATEDCOUNT(H450:AV450)</f>
        <v>#NAME?</v>
      </c>
      <c r="V450" s="18" t="s">
        <v>19</v>
      </c>
      <c r="W450" s="18" t="s">
        <v>19</v>
      </c>
      <c r="X450" s="18" t="s">
        <v>19</v>
      </c>
      <c r="Y450" s="18" t="s">
        <v>19</v>
      </c>
      <c r="Z450" s="18" t="s">
        <v>19</v>
      </c>
      <c r="AA450" s="18" t="s">
        <v>19</v>
      </c>
      <c r="AB450" s="18" t="s">
        <v>19</v>
      </c>
      <c r="AC450" s="18" t="s">
        <v>19</v>
      </c>
      <c r="AD450" s="18" t="s">
        <v>19</v>
      </c>
      <c r="AE450" s="18" t="s">
        <v>19</v>
      </c>
      <c r="AF450" s="15" t="s">
        <v>19</v>
      </c>
      <c r="AG450" s="15" t="s">
        <v>19</v>
      </c>
      <c r="AH450" s="15" t="s">
        <v>19</v>
      </c>
      <c r="AI450" s="15" t="s">
        <v>19</v>
      </c>
      <c r="AJ450" s="15" t="s">
        <v>19</v>
      </c>
      <c r="AK450" s="15" t="s">
        <v>19</v>
      </c>
      <c r="AL450" s="15" t="s">
        <v>19</v>
      </c>
      <c r="AM450" s="15" t="s">
        <v>19</v>
      </c>
      <c r="AN450" s="15" t="s">
        <v>19</v>
      </c>
      <c r="AO450" s="15" t="s">
        <v>19</v>
      </c>
      <c r="AP450" s="15" t="s">
        <v>19</v>
      </c>
      <c r="AQ450" s="15" t="s">
        <v>19</v>
      </c>
      <c r="AR450" s="15" t="s">
        <v>19</v>
      </c>
      <c r="AS450" s="15" t="s">
        <v>19</v>
      </c>
      <c r="AT450" s="15" t="s">
        <v>19</v>
      </c>
      <c r="AU450" s="15" t="s">
        <v>3153</v>
      </c>
      <c r="AV450" s="36"/>
    </row>
    <row r="451" spans="1:264" ht="81" hidden="1" customHeight="1" x14ac:dyDescent="0.3">
      <c r="A451" s="15" t="s">
        <v>18</v>
      </c>
      <c r="B451" s="18" t="s">
        <v>239</v>
      </c>
      <c r="C451" s="15" t="s">
        <v>1819</v>
      </c>
      <c r="D451" s="18" t="s">
        <v>32</v>
      </c>
      <c r="E451" s="18" t="s">
        <v>19</v>
      </c>
      <c r="F451" s="18" t="s">
        <v>19</v>
      </c>
      <c r="G451" s="18" t="s">
        <v>19</v>
      </c>
      <c r="H451" s="18" t="s">
        <v>19</v>
      </c>
      <c r="I451" s="18" t="s">
        <v>19</v>
      </c>
      <c r="J451" s="18" t="s">
        <v>19</v>
      </c>
      <c r="K451" s="18" t="s">
        <v>19</v>
      </c>
      <c r="L451" s="18" t="s">
        <v>19</v>
      </c>
      <c r="M451" s="15" t="s">
        <v>1446</v>
      </c>
      <c r="N451" s="4" t="s">
        <v>1449</v>
      </c>
      <c r="O451" s="31" t="s">
        <v>1644</v>
      </c>
      <c r="P451" s="4" t="s">
        <v>1448</v>
      </c>
      <c r="S451" s="15" t="e" cm="1">
        <f t="array" aca="1" ref="S451" ca="1">COMMONMARKETCOUNT(H451:AV451)</f>
        <v>#NAME?</v>
      </c>
      <c r="T451" s="6" t="e" cm="1">
        <f t="array" aca="1" ref="T451" ca="1">AUTOMATEDCOUNT(H451:AV451)</f>
        <v>#NAME?</v>
      </c>
      <c r="V451" s="18" t="s">
        <v>19</v>
      </c>
      <c r="W451" s="18" t="s">
        <v>19</v>
      </c>
      <c r="X451" s="18" t="s">
        <v>19</v>
      </c>
      <c r="Y451" s="18" t="s">
        <v>19</v>
      </c>
      <c r="Z451" s="18" t="s">
        <v>19</v>
      </c>
      <c r="AA451" s="18" t="s">
        <v>19</v>
      </c>
      <c r="AB451" s="18" t="s">
        <v>19</v>
      </c>
      <c r="AC451" s="18" t="s">
        <v>19</v>
      </c>
      <c r="AD451" s="18" t="s">
        <v>19</v>
      </c>
      <c r="AE451" s="18" t="s">
        <v>19</v>
      </c>
      <c r="AF451" s="15" t="s">
        <v>19</v>
      </c>
      <c r="AG451" s="15" t="s">
        <v>19</v>
      </c>
      <c r="AH451" s="15" t="s">
        <v>19</v>
      </c>
      <c r="AI451" s="15" t="s">
        <v>19</v>
      </c>
      <c r="AJ451" s="15" t="s">
        <v>19</v>
      </c>
      <c r="AK451" s="15" t="s">
        <v>19</v>
      </c>
      <c r="AL451" s="15" t="s">
        <v>19</v>
      </c>
      <c r="AM451" s="15" t="s">
        <v>19</v>
      </c>
      <c r="AN451" s="15" t="s">
        <v>19</v>
      </c>
      <c r="AO451" s="15" t="s">
        <v>19</v>
      </c>
      <c r="AP451" s="15" t="s">
        <v>19</v>
      </c>
      <c r="AQ451" s="15" t="s">
        <v>19</v>
      </c>
      <c r="AR451" s="15" t="s">
        <v>19</v>
      </c>
      <c r="AS451" s="15" t="s">
        <v>19</v>
      </c>
      <c r="AT451" s="15" t="s">
        <v>19</v>
      </c>
      <c r="AU451" s="15" t="s">
        <v>3153</v>
      </c>
      <c r="AV451" s="36"/>
    </row>
    <row r="452" spans="1:264" ht="92.25" hidden="1" customHeight="1" x14ac:dyDescent="0.3">
      <c r="A452" s="15" t="s">
        <v>18</v>
      </c>
      <c r="B452" s="18" t="s">
        <v>239</v>
      </c>
      <c r="C452" s="15" t="s">
        <v>1820</v>
      </c>
      <c r="D452" s="18" t="s">
        <v>32</v>
      </c>
      <c r="E452" s="18" t="s">
        <v>109</v>
      </c>
      <c r="F452" s="18" t="s">
        <v>109</v>
      </c>
      <c r="G452" s="18" t="s">
        <v>109</v>
      </c>
      <c r="H452" s="18" t="s">
        <v>109</v>
      </c>
      <c r="I452" s="18" t="s">
        <v>19</v>
      </c>
      <c r="J452" s="18" t="s">
        <v>19</v>
      </c>
      <c r="K452" s="18" t="s">
        <v>19</v>
      </c>
      <c r="L452" s="18" t="s">
        <v>19</v>
      </c>
      <c r="M452" s="15" t="s">
        <v>1893</v>
      </c>
      <c r="N452" s="4" t="s">
        <v>1444</v>
      </c>
      <c r="O452" s="31" t="s">
        <v>1644</v>
      </c>
      <c r="P452" s="4" t="s">
        <v>1445</v>
      </c>
      <c r="S452" s="15" t="e" cm="1">
        <f t="array" aca="1" ref="S452" ca="1">COMMONMARKETCOUNT(H452:AV452)</f>
        <v>#NAME?</v>
      </c>
      <c r="T452" s="6" t="e" cm="1">
        <f t="array" aca="1" ref="T452" ca="1">AUTOMATEDCOUNT(H452:AV452)</f>
        <v>#NAME?</v>
      </c>
      <c r="V452" s="18" t="s">
        <v>109</v>
      </c>
      <c r="W452" s="18" t="s">
        <v>109</v>
      </c>
      <c r="X452" s="18" t="s">
        <v>109</v>
      </c>
      <c r="Y452" s="18" t="s">
        <v>109</v>
      </c>
      <c r="Z452" s="18" t="s">
        <v>109</v>
      </c>
      <c r="AA452" s="18" t="s">
        <v>19</v>
      </c>
      <c r="AB452" s="18" t="s">
        <v>19</v>
      </c>
      <c r="AC452" s="18" t="s">
        <v>19</v>
      </c>
      <c r="AD452" s="18" t="s">
        <v>109</v>
      </c>
      <c r="AE452" s="18" t="s">
        <v>109</v>
      </c>
      <c r="AF452" s="15" t="s">
        <v>109</v>
      </c>
      <c r="AG452" s="18" t="s">
        <v>109</v>
      </c>
      <c r="AH452" s="18" t="s">
        <v>109</v>
      </c>
      <c r="AI452" s="18" t="s">
        <v>109</v>
      </c>
      <c r="AJ452" s="18" t="s">
        <v>109</v>
      </c>
      <c r="AK452" s="18" t="s">
        <v>109</v>
      </c>
      <c r="AL452" s="18" t="s">
        <v>109</v>
      </c>
      <c r="AM452" s="18" t="s">
        <v>109</v>
      </c>
      <c r="AN452" s="18" t="s">
        <v>109</v>
      </c>
      <c r="AO452" s="18" t="s">
        <v>109</v>
      </c>
      <c r="AP452" s="18" t="s">
        <v>109</v>
      </c>
      <c r="AQ452" s="18" t="s">
        <v>109</v>
      </c>
      <c r="AR452" s="18" t="s">
        <v>109</v>
      </c>
      <c r="AS452" s="18" t="s">
        <v>109</v>
      </c>
      <c r="AT452" s="18" t="s">
        <v>109</v>
      </c>
      <c r="AU452" s="18" t="s">
        <v>109</v>
      </c>
      <c r="AV452" s="36" t="s">
        <v>109</v>
      </c>
      <c r="AW452" s="5"/>
      <c r="AX452" s="5"/>
      <c r="AY452" s="5"/>
      <c r="AZ452" s="5"/>
      <c r="BA452" s="5"/>
      <c r="BB452" s="5"/>
      <c r="BC452" s="5"/>
      <c r="BD452" s="5"/>
      <c r="BE452" s="5"/>
      <c r="BF452" s="5"/>
      <c r="BG452" s="5"/>
      <c r="BH452" s="5"/>
      <c r="BI452" s="5"/>
      <c r="BJ452" s="5"/>
      <c r="BK452" s="5"/>
      <c r="BL452" s="5"/>
      <c r="BM452" s="5"/>
      <c r="BN452" s="5"/>
      <c r="BO452" s="5"/>
      <c r="BP452" s="5"/>
      <c r="BQ452" s="5"/>
      <c r="BR452" s="5"/>
      <c r="BS452" s="5"/>
      <c r="BT452" s="5"/>
      <c r="BU452" s="5"/>
      <c r="BV452" s="5"/>
      <c r="BW452" s="5"/>
      <c r="BX452" s="5"/>
      <c r="BY452" s="5"/>
      <c r="BZ452" s="5"/>
      <c r="CA452" s="5"/>
      <c r="CB452" s="5"/>
      <c r="CC452" s="5"/>
      <c r="CD452" s="5"/>
      <c r="CE452" s="5"/>
      <c r="CF452" s="5"/>
      <c r="CG452" s="5"/>
      <c r="CH452" s="5"/>
      <c r="CI452" s="5"/>
      <c r="CJ452" s="5"/>
      <c r="CK452" s="5"/>
      <c r="CL452" s="5"/>
      <c r="CM452" s="5"/>
      <c r="CN452" s="5"/>
      <c r="CO452" s="5"/>
      <c r="CP452" s="5"/>
      <c r="CQ452" s="5"/>
      <c r="CR452" s="5"/>
      <c r="CS452" s="5"/>
      <c r="CT452" s="5"/>
      <c r="CU452" s="5"/>
      <c r="CV452" s="5"/>
      <c r="CW452" s="5"/>
      <c r="CX452" s="5"/>
      <c r="CY452" s="5"/>
      <c r="CZ452" s="5"/>
      <c r="DA452" s="5"/>
      <c r="DB452" s="5"/>
      <c r="DC452" s="5"/>
      <c r="DD452" s="5"/>
      <c r="DE452" s="5"/>
      <c r="DF452" s="5"/>
      <c r="DG452" s="5"/>
      <c r="DH452" s="5"/>
      <c r="DI452" s="5"/>
      <c r="DJ452" s="5"/>
      <c r="DK452" s="5"/>
      <c r="DL452" s="5"/>
      <c r="DM452" s="5"/>
      <c r="DN452" s="5"/>
      <c r="DO452" s="5"/>
      <c r="DP452" s="5"/>
      <c r="DQ452" s="5"/>
      <c r="DR452" s="5"/>
      <c r="DS452" s="5"/>
      <c r="DT452" s="5"/>
      <c r="DU452" s="5"/>
      <c r="DV452" s="5"/>
      <c r="DW452" s="5"/>
      <c r="DX452" s="5"/>
      <c r="DY452" s="5"/>
      <c r="DZ452" s="5"/>
      <c r="EA452" s="5"/>
      <c r="EB452" s="5"/>
      <c r="EC452" s="5"/>
      <c r="ED452" s="5"/>
      <c r="EE452" s="5"/>
      <c r="EF452" s="5"/>
      <c r="EG452" s="5"/>
      <c r="EH452" s="5"/>
      <c r="EI452" s="5"/>
      <c r="EJ452" s="5"/>
      <c r="EK452" s="5"/>
      <c r="EL452" s="5"/>
      <c r="EM452" s="5"/>
      <c r="EN452" s="5"/>
      <c r="EO452" s="5"/>
      <c r="EP452" s="5"/>
      <c r="EQ452" s="5"/>
      <c r="ER452" s="5"/>
      <c r="ES452" s="5"/>
      <c r="ET452" s="5"/>
      <c r="EU452" s="5"/>
      <c r="EV452" s="5"/>
      <c r="EW452" s="5"/>
      <c r="EX452" s="5"/>
      <c r="EY452" s="5"/>
      <c r="EZ452" s="5"/>
      <c r="FA452" s="5"/>
      <c r="FB452" s="5"/>
      <c r="FC452" s="5"/>
      <c r="FD452" s="5"/>
      <c r="FE452" s="5"/>
      <c r="FF452" s="5"/>
      <c r="FG452" s="5"/>
      <c r="FH452" s="5"/>
      <c r="FI452" s="5"/>
      <c r="FJ452" s="5"/>
      <c r="FK452" s="5"/>
      <c r="FL452" s="5"/>
      <c r="FM452" s="5"/>
      <c r="FN452" s="5"/>
      <c r="FO452" s="5"/>
      <c r="FP452" s="5"/>
      <c r="FQ452" s="5"/>
      <c r="FR452" s="5"/>
      <c r="FS452" s="5"/>
      <c r="FT452" s="5"/>
      <c r="FU452" s="5"/>
      <c r="FV452" s="5"/>
      <c r="FW452" s="5"/>
      <c r="FX452" s="5"/>
      <c r="FY452" s="5"/>
      <c r="FZ452" s="5"/>
      <c r="GA452" s="5"/>
      <c r="GB452" s="5"/>
      <c r="GC452" s="5"/>
      <c r="GD452" s="5"/>
      <c r="GE452" s="5"/>
      <c r="GF452" s="5"/>
      <c r="GG452" s="5"/>
      <c r="GH452" s="5"/>
      <c r="GI452" s="5"/>
      <c r="GJ452" s="5"/>
      <c r="GK452" s="5"/>
      <c r="GL452" s="5"/>
      <c r="GM452" s="5"/>
      <c r="GN452" s="5"/>
      <c r="GO452" s="5"/>
      <c r="GP452" s="5"/>
      <c r="GQ452" s="5"/>
      <c r="GR452" s="5"/>
      <c r="GS452" s="5"/>
      <c r="GT452" s="5"/>
      <c r="GU452" s="5"/>
      <c r="GV452" s="5"/>
      <c r="GW452" s="5"/>
      <c r="GX452" s="5"/>
      <c r="GY452" s="5"/>
      <c r="GZ452" s="5"/>
      <c r="HA452" s="5"/>
      <c r="HB452" s="5"/>
      <c r="HC452" s="5"/>
      <c r="HD452" s="5"/>
      <c r="HE452" s="5"/>
      <c r="HF452" s="5"/>
      <c r="HG452" s="5"/>
      <c r="HH452" s="5"/>
      <c r="HI452" s="5"/>
      <c r="HJ452" s="5"/>
      <c r="HK452" s="5"/>
      <c r="HL452" s="5"/>
      <c r="HM452" s="5"/>
      <c r="HN452" s="5"/>
      <c r="HO452" s="5"/>
      <c r="HP452" s="5"/>
      <c r="HQ452" s="5"/>
      <c r="HR452" s="5"/>
      <c r="HS452" s="5"/>
      <c r="HT452" s="5"/>
      <c r="HU452" s="5"/>
      <c r="HV452" s="5"/>
      <c r="HW452" s="5"/>
      <c r="HX452" s="5"/>
      <c r="HY452" s="5"/>
      <c r="HZ452" s="5"/>
      <c r="IA452" s="5"/>
      <c r="IB452" s="5"/>
      <c r="IC452" s="5"/>
      <c r="ID452" s="5"/>
      <c r="IE452" s="5"/>
      <c r="IF452" s="5"/>
      <c r="IG452" s="5"/>
      <c r="IH452" s="5"/>
      <c r="II452" s="5"/>
      <c r="IJ452" s="5"/>
      <c r="IK452" s="5"/>
      <c r="IL452" s="5"/>
      <c r="IM452" s="5"/>
      <c r="IN452" s="5"/>
      <c r="IO452" s="5"/>
      <c r="IP452" s="5"/>
      <c r="IQ452" s="5"/>
      <c r="IR452" s="5"/>
      <c r="IS452" s="5"/>
      <c r="IT452" s="5"/>
      <c r="IU452" s="5"/>
      <c r="IV452" s="5"/>
      <c r="IW452" s="5"/>
      <c r="IX452" s="5"/>
      <c r="IY452" s="5"/>
      <c r="IZ452" s="5"/>
      <c r="JA452" s="5"/>
      <c r="JB452" s="5"/>
      <c r="JC452" s="5"/>
      <c r="JD452" s="5"/>
    </row>
    <row r="453" spans="1:264" ht="63" hidden="1" customHeight="1" x14ac:dyDescent="0.3">
      <c r="A453" s="18" t="s">
        <v>25</v>
      </c>
      <c r="B453" s="15" t="s">
        <v>17</v>
      </c>
      <c r="C453" s="15" t="s">
        <v>1839</v>
      </c>
      <c r="D453" s="18" t="s">
        <v>32</v>
      </c>
      <c r="E453" s="18" t="s">
        <v>109</v>
      </c>
      <c r="F453" s="18" t="s">
        <v>109</v>
      </c>
      <c r="G453" s="18" t="s">
        <v>109</v>
      </c>
      <c r="H453" s="18" t="s">
        <v>109</v>
      </c>
      <c r="I453" s="18" t="s">
        <v>109</v>
      </c>
      <c r="J453" s="18" t="s">
        <v>109</v>
      </c>
      <c r="K453" s="18" t="s">
        <v>19</v>
      </c>
      <c r="L453" s="18" t="s">
        <v>19</v>
      </c>
      <c r="M453" s="15" t="s">
        <v>1673</v>
      </c>
      <c r="N453" s="4" t="s">
        <v>1894</v>
      </c>
      <c r="O453" s="30" t="s">
        <v>1658</v>
      </c>
      <c r="P453" s="4" t="s">
        <v>3113</v>
      </c>
      <c r="S453" s="15" t="e" cm="1">
        <f t="array" aca="1" ref="S453" ca="1">COMMONMARKETCOUNT(H453:AV453)</f>
        <v>#NAME?</v>
      </c>
      <c r="T453" s="6" t="e" cm="1">
        <f t="array" aca="1" ref="T453" ca="1">AUTOMATEDCOUNT(H453:AV453)</f>
        <v>#NAME?</v>
      </c>
      <c r="V453" s="18" t="s">
        <v>109</v>
      </c>
      <c r="W453" s="18" t="s">
        <v>109</v>
      </c>
      <c r="X453" s="18" t="s">
        <v>109</v>
      </c>
      <c r="Y453" s="18" t="s">
        <v>109</v>
      </c>
      <c r="Z453" s="18" t="s">
        <v>109</v>
      </c>
      <c r="AA453" s="18" t="s">
        <v>109</v>
      </c>
      <c r="AB453" s="18" t="s">
        <v>109</v>
      </c>
      <c r="AC453" s="18" t="s">
        <v>109</v>
      </c>
      <c r="AD453" s="18" t="s">
        <v>19</v>
      </c>
      <c r="AE453" s="18" t="s">
        <v>19</v>
      </c>
      <c r="AF453" s="18" t="s">
        <v>19</v>
      </c>
      <c r="AG453" s="18" t="s">
        <v>109</v>
      </c>
      <c r="AH453" s="18" t="s">
        <v>109</v>
      </c>
      <c r="AI453" s="18" t="s">
        <v>109</v>
      </c>
      <c r="AJ453" s="18" t="s">
        <v>109</v>
      </c>
      <c r="AK453" s="18" t="s">
        <v>109</v>
      </c>
      <c r="AL453" s="18" t="s">
        <v>109</v>
      </c>
      <c r="AM453" s="18" t="s">
        <v>109</v>
      </c>
      <c r="AN453" s="18" t="s">
        <v>109</v>
      </c>
      <c r="AO453" s="18" t="s">
        <v>109</v>
      </c>
      <c r="AP453" s="18" t="s">
        <v>893</v>
      </c>
      <c r="AQ453" s="18" t="s">
        <v>893</v>
      </c>
      <c r="AR453" s="18" t="s">
        <v>893</v>
      </c>
      <c r="AS453" s="18" t="s">
        <v>893</v>
      </c>
      <c r="AT453" s="18" t="s">
        <v>893</v>
      </c>
      <c r="AU453" s="18" t="s">
        <v>893</v>
      </c>
      <c r="AV453" s="36" t="s">
        <v>893</v>
      </c>
    </row>
    <row r="454" spans="1:264" ht="92.25" hidden="1" customHeight="1" x14ac:dyDescent="0.3">
      <c r="A454" s="15" t="s">
        <v>56</v>
      </c>
      <c r="B454" s="15" t="s">
        <v>17</v>
      </c>
      <c r="C454" s="15" t="s">
        <v>1840</v>
      </c>
      <c r="D454" s="18" t="s">
        <v>32</v>
      </c>
      <c r="E454" s="18" t="s">
        <v>109</v>
      </c>
      <c r="F454" s="18" t="s">
        <v>109</v>
      </c>
      <c r="G454" s="18" t="s">
        <v>109</v>
      </c>
      <c r="H454" s="18" t="s">
        <v>109</v>
      </c>
      <c r="I454" s="18" t="s">
        <v>19</v>
      </c>
      <c r="J454" s="18" t="s">
        <v>19</v>
      </c>
      <c r="K454" s="18" t="s">
        <v>19</v>
      </c>
      <c r="L454" s="18" t="s">
        <v>19</v>
      </c>
      <c r="M454" s="15" t="s">
        <v>1657</v>
      </c>
      <c r="N454" s="4" t="s">
        <v>1892</v>
      </c>
      <c r="O454" s="30" t="s">
        <v>1658</v>
      </c>
      <c r="P454" s="4" t="s">
        <v>3114</v>
      </c>
      <c r="S454" s="15" t="e" cm="1">
        <f t="array" aca="1" ref="S454" ca="1">COMMONMARKETCOUNT(H454:AV454)</f>
        <v>#NAME?</v>
      </c>
      <c r="T454" s="6" t="e" cm="1">
        <f t="array" aca="1" ref="T454" ca="1">AUTOMATEDCOUNT(H454:AV454)</f>
        <v>#NAME?</v>
      </c>
      <c r="V454" s="18" t="s">
        <v>109</v>
      </c>
      <c r="W454" s="18" t="s">
        <v>109</v>
      </c>
      <c r="X454" s="18" t="s">
        <v>109</v>
      </c>
      <c r="Y454" s="18" t="s">
        <v>109</v>
      </c>
      <c r="Z454" s="18" t="s">
        <v>109</v>
      </c>
      <c r="AA454" s="18" t="s">
        <v>19</v>
      </c>
      <c r="AB454" s="18" t="s">
        <v>19</v>
      </c>
      <c r="AC454" s="18" t="s">
        <v>19</v>
      </c>
      <c r="AD454" s="18" t="s">
        <v>19</v>
      </c>
      <c r="AE454" s="18" t="s">
        <v>19</v>
      </c>
      <c r="AF454" s="18" t="s">
        <v>19</v>
      </c>
      <c r="AG454" s="18" t="s">
        <v>19</v>
      </c>
      <c r="AH454" s="18" t="s">
        <v>19</v>
      </c>
      <c r="AI454" s="18" t="s">
        <v>19</v>
      </c>
      <c r="AJ454" s="18" t="s">
        <v>19</v>
      </c>
      <c r="AK454" s="18" t="s">
        <v>19</v>
      </c>
      <c r="AL454" s="18" t="s">
        <v>19</v>
      </c>
      <c r="AM454" s="18" t="s">
        <v>19</v>
      </c>
      <c r="AN454" s="18" t="s">
        <v>19</v>
      </c>
      <c r="AO454" s="18" t="s">
        <v>19</v>
      </c>
      <c r="AP454" s="18" t="s">
        <v>109</v>
      </c>
      <c r="AQ454" s="18" t="s">
        <v>109</v>
      </c>
      <c r="AR454" s="18" t="s">
        <v>109</v>
      </c>
      <c r="AS454" s="18" t="s">
        <v>109</v>
      </c>
      <c r="AT454" s="18" t="s">
        <v>109</v>
      </c>
      <c r="AU454" s="18" t="s">
        <v>109</v>
      </c>
      <c r="AV454" s="36" t="s">
        <v>109</v>
      </c>
    </row>
    <row r="455" spans="1:264" ht="116.25" hidden="1" customHeight="1" x14ac:dyDescent="0.3">
      <c r="A455" s="15" t="s">
        <v>25</v>
      </c>
      <c r="B455" s="15" t="s">
        <v>239</v>
      </c>
      <c r="C455" s="15" t="s">
        <v>1885</v>
      </c>
      <c r="D455" s="15" t="s">
        <v>32</v>
      </c>
      <c r="E455" s="18" t="s">
        <v>109</v>
      </c>
      <c r="F455" s="18" t="s">
        <v>109</v>
      </c>
      <c r="G455" s="18" t="s">
        <v>109</v>
      </c>
      <c r="H455" s="18" t="s">
        <v>109</v>
      </c>
      <c r="I455" s="18" t="s">
        <v>19</v>
      </c>
      <c r="J455" s="18" t="s">
        <v>19</v>
      </c>
      <c r="K455" s="18" t="s">
        <v>19</v>
      </c>
      <c r="L455" s="18" t="s">
        <v>19</v>
      </c>
      <c r="M455" s="15" t="s">
        <v>1837</v>
      </c>
      <c r="N455" s="4" t="s">
        <v>1838</v>
      </c>
      <c r="O455" s="15"/>
      <c r="P455" s="4" t="s">
        <v>2138</v>
      </c>
      <c r="S455" s="15" t="e" cm="1">
        <f t="array" aca="1" ref="S455" ca="1">COMMONMARKETCOUNT(H455:AV455)</f>
        <v>#NAME?</v>
      </c>
      <c r="T455" s="6" t="e" cm="1">
        <f t="array" aca="1" ref="T455" ca="1">AUTOMATEDCOUNT(H455:AV455)</f>
        <v>#NAME?</v>
      </c>
      <c r="V455" s="18" t="s">
        <v>109</v>
      </c>
      <c r="W455" s="18" t="s">
        <v>109</v>
      </c>
      <c r="X455" s="18" t="s">
        <v>109</v>
      </c>
      <c r="Y455" s="18" t="s">
        <v>109</v>
      </c>
      <c r="Z455" s="18" t="s">
        <v>109</v>
      </c>
      <c r="AA455" s="18" t="s">
        <v>19</v>
      </c>
      <c r="AB455" s="18" t="s">
        <v>19</v>
      </c>
      <c r="AC455" s="18" t="s">
        <v>19</v>
      </c>
      <c r="AD455" s="18" t="s">
        <v>19</v>
      </c>
      <c r="AE455" s="18" t="s">
        <v>19</v>
      </c>
      <c r="AF455" s="15" t="s">
        <v>109</v>
      </c>
      <c r="AG455" s="18" t="s">
        <v>109</v>
      </c>
      <c r="AH455" s="18" t="s">
        <v>109</v>
      </c>
      <c r="AI455" s="18" t="s">
        <v>109</v>
      </c>
      <c r="AJ455" s="18" t="s">
        <v>109</v>
      </c>
      <c r="AK455" s="18" t="s">
        <v>109</v>
      </c>
      <c r="AL455" s="18" t="s">
        <v>109</v>
      </c>
      <c r="AM455" s="18" t="s">
        <v>109</v>
      </c>
      <c r="AN455" s="18" t="s">
        <v>109</v>
      </c>
      <c r="AO455" s="18" t="s">
        <v>109</v>
      </c>
      <c r="AP455" s="18" t="s">
        <v>109</v>
      </c>
      <c r="AQ455" s="18" t="s">
        <v>109</v>
      </c>
      <c r="AR455" s="18" t="s">
        <v>109</v>
      </c>
      <c r="AS455" s="18" t="s">
        <v>109</v>
      </c>
      <c r="AT455" s="18" t="s">
        <v>109</v>
      </c>
      <c r="AU455" s="18" t="s">
        <v>109</v>
      </c>
      <c r="AV455" s="36" t="s">
        <v>109</v>
      </c>
    </row>
    <row r="456" spans="1:264" ht="110.25" hidden="1" customHeight="1" x14ac:dyDescent="0.3">
      <c r="A456" s="15" t="s">
        <v>25</v>
      </c>
      <c r="B456" s="15" t="s">
        <v>239</v>
      </c>
      <c r="C456" s="15" t="s">
        <v>1886</v>
      </c>
      <c r="D456" s="15" t="s">
        <v>32</v>
      </c>
      <c r="E456" s="18" t="s">
        <v>109</v>
      </c>
      <c r="F456" s="18" t="s">
        <v>109</v>
      </c>
      <c r="G456" s="18" t="s">
        <v>109</v>
      </c>
      <c r="H456" s="18" t="s">
        <v>109</v>
      </c>
      <c r="I456" s="18" t="s">
        <v>19</v>
      </c>
      <c r="J456" s="18" t="s">
        <v>19</v>
      </c>
      <c r="K456" s="18" t="s">
        <v>19</v>
      </c>
      <c r="L456" s="18" t="s">
        <v>19</v>
      </c>
      <c r="M456" s="15" t="s">
        <v>1836</v>
      </c>
      <c r="N456" s="4" t="s">
        <v>1834</v>
      </c>
      <c r="O456" s="15"/>
      <c r="P456" s="4" t="s">
        <v>3115</v>
      </c>
      <c r="S456" s="15" t="e" cm="1">
        <f t="array" aca="1" ref="S456" ca="1">COMMONMARKETCOUNT(H456:AV456)</f>
        <v>#NAME?</v>
      </c>
      <c r="T456" s="6" t="e" cm="1">
        <f t="array" aca="1" ref="T456" ca="1">AUTOMATEDCOUNT(H456:AV456)</f>
        <v>#NAME?</v>
      </c>
      <c r="V456" s="18" t="s">
        <v>109</v>
      </c>
      <c r="W456" s="18" t="s">
        <v>109</v>
      </c>
      <c r="X456" s="18" t="s">
        <v>109</v>
      </c>
      <c r="Y456" s="18" t="s">
        <v>109</v>
      </c>
      <c r="Z456" s="18" t="s">
        <v>109</v>
      </c>
      <c r="AA456" s="18" t="s">
        <v>19</v>
      </c>
      <c r="AB456" s="18" t="s">
        <v>19</v>
      </c>
      <c r="AC456" s="18" t="s">
        <v>19</v>
      </c>
      <c r="AD456" s="18" t="s">
        <v>19</v>
      </c>
      <c r="AE456" s="18" t="s">
        <v>19</v>
      </c>
      <c r="AF456" s="15" t="s">
        <v>109</v>
      </c>
      <c r="AG456" s="18" t="s">
        <v>109</v>
      </c>
      <c r="AH456" s="18" t="s">
        <v>109</v>
      </c>
      <c r="AI456" s="18" t="s">
        <v>109</v>
      </c>
      <c r="AJ456" s="18" t="s">
        <v>109</v>
      </c>
      <c r="AK456" s="18" t="s">
        <v>109</v>
      </c>
      <c r="AL456" s="18" t="s">
        <v>109</v>
      </c>
      <c r="AM456" s="18" t="s">
        <v>109</v>
      </c>
      <c r="AN456" s="18" t="s">
        <v>109</v>
      </c>
      <c r="AO456" s="18" t="s">
        <v>109</v>
      </c>
      <c r="AP456" s="18" t="s">
        <v>109</v>
      </c>
      <c r="AQ456" s="18" t="s">
        <v>109</v>
      </c>
      <c r="AR456" s="18" t="s">
        <v>109</v>
      </c>
      <c r="AS456" s="18" t="s">
        <v>109</v>
      </c>
      <c r="AT456" s="18" t="s">
        <v>109</v>
      </c>
      <c r="AU456" s="18" t="s">
        <v>109</v>
      </c>
      <c r="AV456" s="36" t="s">
        <v>109</v>
      </c>
    </row>
    <row r="457" spans="1:264" ht="72" hidden="1" customHeight="1" x14ac:dyDescent="0.3">
      <c r="A457" s="6" t="s">
        <v>1856</v>
      </c>
      <c r="B457" s="6" t="s">
        <v>1855</v>
      </c>
      <c r="C457" s="4" t="s">
        <v>1887</v>
      </c>
      <c r="D457" s="6" t="s">
        <v>32</v>
      </c>
      <c r="E457" s="18" t="s">
        <v>109</v>
      </c>
      <c r="F457" s="18" t="s">
        <v>109</v>
      </c>
      <c r="G457" s="18" t="s">
        <v>109</v>
      </c>
      <c r="H457" s="18" t="s">
        <v>109</v>
      </c>
      <c r="I457" s="18" t="s">
        <v>19</v>
      </c>
      <c r="J457" s="18" t="s">
        <v>19</v>
      </c>
      <c r="K457" s="18" t="s">
        <v>19</v>
      </c>
      <c r="L457" s="18" t="s">
        <v>19</v>
      </c>
      <c r="M457" s="15" t="s">
        <v>1890</v>
      </c>
      <c r="N457" s="4" t="s">
        <v>1891</v>
      </c>
      <c r="O457" s="4"/>
      <c r="P457" s="4" t="s">
        <v>1854</v>
      </c>
      <c r="S457" s="15" t="e" cm="1">
        <f t="array" aca="1" ref="S457" ca="1">COMMONMARKETCOUNT(H457:AV457)</f>
        <v>#NAME?</v>
      </c>
      <c r="T457" s="6" t="e" cm="1">
        <f t="array" aca="1" ref="T457" ca="1">AUTOMATEDCOUNT(H457:AV457)</f>
        <v>#NAME?</v>
      </c>
      <c r="V457" s="18" t="s">
        <v>109</v>
      </c>
      <c r="W457" s="18" t="s">
        <v>109</v>
      </c>
      <c r="X457" s="18" t="s">
        <v>109</v>
      </c>
      <c r="Y457" s="18" t="s">
        <v>109</v>
      </c>
      <c r="Z457" s="18" t="s">
        <v>109</v>
      </c>
      <c r="AA457" s="18" t="s">
        <v>19</v>
      </c>
      <c r="AB457" s="18" t="s">
        <v>19</v>
      </c>
      <c r="AC457" s="18" t="s">
        <v>19</v>
      </c>
      <c r="AD457" s="18" t="s">
        <v>19</v>
      </c>
      <c r="AE457" s="18" t="s">
        <v>19</v>
      </c>
      <c r="AF457" s="15" t="s">
        <v>109</v>
      </c>
      <c r="AG457" s="18" t="s">
        <v>109</v>
      </c>
      <c r="AH457" s="18" t="s">
        <v>109</v>
      </c>
      <c r="AI457" s="18" t="s">
        <v>109</v>
      </c>
      <c r="AJ457" s="18" t="s">
        <v>109</v>
      </c>
      <c r="AK457" s="18" t="s">
        <v>109</v>
      </c>
      <c r="AL457" s="18" t="s">
        <v>109</v>
      </c>
      <c r="AM457" s="18" t="s">
        <v>109</v>
      </c>
      <c r="AN457" s="18" t="s">
        <v>109</v>
      </c>
      <c r="AO457" s="18" t="s">
        <v>109</v>
      </c>
      <c r="AP457" s="18" t="s">
        <v>109</v>
      </c>
      <c r="AQ457" s="18" t="s">
        <v>109</v>
      </c>
      <c r="AR457" s="18" t="s">
        <v>109</v>
      </c>
      <c r="AS457" s="18" t="s">
        <v>109</v>
      </c>
      <c r="AT457" s="18" t="s">
        <v>109</v>
      </c>
      <c r="AU457" s="18" t="s">
        <v>109</v>
      </c>
      <c r="AV457" s="36"/>
      <c r="AW457" s="5"/>
      <c r="AX457" s="5"/>
      <c r="AY457" s="5"/>
      <c r="AZ457" s="5"/>
      <c r="BA457" s="5"/>
      <c r="BB457" s="5"/>
      <c r="BC457" s="5"/>
      <c r="BD457" s="5"/>
      <c r="BE457" s="5"/>
      <c r="BF457" s="5"/>
      <c r="BG457" s="5"/>
      <c r="BH457" s="5"/>
      <c r="BI457" s="5"/>
      <c r="BJ457" s="5"/>
      <c r="BK457" s="5"/>
      <c r="BL457" s="5"/>
      <c r="BM457" s="5"/>
      <c r="BN457" s="5"/>
      <c r="BO457" s="5"/>
      <c r="BP457" s="5"/>
      <c r="BQ457" s="5"/>
      <c r="BR457" s="5"/>
      <c r="BS457" s="5"/>
      <c r="BT457" s="5"/>
      <c r="BU457" s="5"/>
      <c r="BV457" s="5"/>
      <c r="BW457" s="5"/>
      <c r="BX457" s="5"/>
      <c r="BY457" s="5"/>
      <c r="BZ457" s="5"/>
      <c r="CA457" s="5"/>
      <c r="CB457" s="5"/>
      <c r="CC457" s="5"/>
      <c r="CD457" s="5"/>
      <c r="CE457" s="5"/>
      <c r="CF457" s="5"/>
      <c r="CG457" s="5"/>
      <c r="CH457" s="5"/>
      <c r="CI457" s="5"/>
      <c r="CJ457" s="5"/>
      <c r="CK457" s="5"/>
      <c r="CL457" s="5"/>
      <c r="CM457" s="5"/>
      <c r="CN457" s="5"/>
      <c r="CO457" s="5"/>
      <c r="CP457" s="5"/>
      <c r="CQ457" s="5"/>
      <c r="CR457" s="5"/>
      <c r="CS457" s="5"/>
      <c r="CT457" s="5"/>
      <c r="CU457" s="5"/>
      <c r="CV457" s="5"/>
      <c r="CW457" s="5"/>
      <c r="CX457" s="5"/>
      <c r="CY457" s="5"/>
      <c r="CZ457" s="5"/>
      <c r="DA457" s="5"/>
      <c r="DB457" s="5"/>
      <c r="DC457" s="5"/>
      <c r="DD457" s="5"/>
      <c r="DE457" s="5"/>
      <c r="DF457" s="5"/>
      <c r="DG457" s="5"/>
      <c r="DH457" s="5"/>
      <c r="DI457" s="5"/>
      <c r="DJ457" s="5"/>
      <c r="DK457" s="5"/>
      <c r="DL457" s="5"/>
      <c r="DM457" s="5"/>
      <c r="DN457" s="5"/>
      <c r="DO457" s="5"/>
      <c r="DP457" s="5"/>
      <c r="DQ457" s="5"/>
      <c r="DR457" s="5"/>
      <c r="DS457" s="5"/>
      <c r="DT457" s="5"/>
      <c r="DU457" s="5"/>
      <c r="DV457" s="5"/>
      <c r="DW457" s="5"/>
      <c r="DX457" s="5"/>
      <c r="DY457" s="5"/>
      <c r="DZ457" s="5"/>
      <c r="EA457" s="5"/>
      <c r="EB457" s="5"/>
      <c r="EC457" s="5"/>
      <c r="ED457" s="5"/>
      <c r="EE457" s="5"/>
      <c r="EF457" s="5"/>
      <c r="EG457" s="5"/>
      <c r="EH457" s="5"/>
      <c r="EI457" s="5"/>
      <c r="EJ457" s="5"/>
      <c r="EK457" s="5"/>
      <c r="EL457" s="5"/>
      <c r="EM457" s="5"/>
      <c r="EN457" s="5"/>
      <c r="EO457" s="5"/>
      <c r="EP457" s="5"/>
      <c r="EQ457" s="5"/>
      <c r="ER457" s="5"/>
      <c r="ES457" s="5"/>
      <c r="ET457" s="5"/>
      <c r="EU457" s="5"/>
      <c r="EV457" s="5"/>
      <c r="EW457" s="5"/>
      <c r="EX457" s="5"/>
      <c r="EY457" s="5"/>
      <c r="EZ457" s="5"/>
      <c r="FA457" s="5"/>
      <c r="FB457" s="5"/>
      <c r="FC457" s="5"/>
      <c r="FD457" s="5"/>
      <c r="FE457" s="5"/>
      <c r="FF457" s="5"/>
      <c r="FG457" s="5"/>
      <c r="FH457" s="5"/>
      <c r="FI457" s="5"/>
      <c r="FJ457" s="5"/>
      <c r="FK457" s="5"/>
      <c r="FL457" s="5"/>
      <c r="FM457" s="5"/>
      <c r="FN457" s="5"/>
      <c r="FO457" s="5"/>
      <c r="FP457" s="5"/>
      <c r="FQ457" s="5"/>
      <c r="FR457" s="5"/>
      <c r="FS457" s="5"/>
      <c r="FT457" s="5"/>
      <c r="FU457" s="5"/>
      <c r="FV457" s="5"/>
      <c r="FW457" s="5"/>
      <c r="FX457" s="5"/>
      <c r="FY457" s="5"/>
      <c r="FZ457" s="5"/>
      <c r="GA457" s="5"/>
      <c r="GB457" s="5"/>
      <c r="GC457" s="5"/>
      <c r="GD457" s="5"/>
      <c r="GE457" s="5"/>
      <c r="GF457" s="5"/>
      <c r="GG457" s="5"/>
      <c r="GH457" s="5"/>
      <c r="GI457" s="5"/>
      <c r="GJ457" s="5"/>
      <c r="GK457" s="5"/>
      <c r="GL457" s="5"/>
      <c r="GM457" s="5"/>
      <c r="GN457" s="5"/>
      <c r="GO457" s="5"/>
      <c r="GP457" s="5"/>
      <c r="GQ457" s="5"/>
      <c r="GR457" s="5"/>
      <c r="GS457" s="5"/>
      <c r="GT457" s="5"/>
      <c r="GU457" s="5"/>
      <c r="GV457" s="5"/>
      <c r="GW457" s="5"/>
      <c r="GX457" s="5"/>
      <c r="GY457" s="5"/>
      <c r="GZ457" s="5"/>
      <c r="HA457" s="5"/>
      <c r="HB457" s="5"/>
      <c r="HC457" s="5"/>
      <c r="HD457" s="5"/>
      <c r="HE457" s="5"/>
      <c r="HF457" s="5"/>
      <c r="HG457" s="5"/>
      <c r="HH457" s="5"/>
      <c r="HI457" s="5"/>
      <c r="HJ457" s="5"/>
      <c r="HK457" s="5"/>
      <c r="HL457" s="5"/>
      <c r="HM457" s="5"/>
      <c r="HN457" s="5"/>
      <c r="HO457" s="5"/>
      <c r="HP457" s="5"/>
      <c r="HQ457" s="5"/>
      <c r="HR457" s="5"/>
      <c r="HS457" s="5"/>
      <c r="HT457" s="5"/>
      <c r="HU457" s="5"/>
      <c r="HV457" s="5"/>
      <c r="HW457" s="5"/>
      <c r="HX457" s="5"/>
      <c r="HY457" s="5"/>
      <c r="HZ457" s="5"/>
      <c r="IA457" s="5"/>
      <c r="IB457" s="5"/>
      <c r="IC457" s="5"/>
      <c r="ID457" s="5"/>
      <c r="IE457" s="5"/>
      <c r="IF457" s="5"/>
      <c r="IG457" s="5"/>
      <c r="IH457" s="5"/>
      <c r="II457" s="5"/>
      <c r="IJ457" s="5"/>
      <c r="IK457" s="5"/>
      <c r="IL457" s="5"/>
      <c r="IM457" s="5"/>
      <c r="IN457" s="5"/>
      <c r="IO457" s="5"/>
      <c r="IP457" s="5"/>
      <c r="IQ457" s="5"/>
      <c r="IR457" s="5"/>
      <c r="IS457" s="5"/>
      <c r="IT457" s="5"/>
      <c r="IU457" s="5"/>
      <c r="IV457" s="5"/>
      <c r="IW457" s="5"/>
      <c r="IX457" s="5"/>
      <c r="IY457" s="5"/>
      <c r="IZ457" s="5"/>
      <c r="JA457" s="5"/>
      <c r="JB457" s="5"/>
      <c r="JC457" s="5"/>
      <c r="JD457" s="5"/>
    </row>
    <row r="458" spans="1:264" ht="87.75" hidden="1" customHeight="1" x14ac:dyDescent="0.3">
      <c r="A458" s="15" t="s">
        <v>682</v>
      </c>
      <c r="B458" s="15" t="s">
        <v>1365</v>
      </c>
      <c r="C458" s="4" t="s">
        <v>1888</v>
      </c>
      <c r="D458" s="6" t="s">
        <v>32</v>
      </c>
      <c r="E458" s="18" t="s">
        <v>109</v>
      </c>
      <c r="F458" s="18" t="s">
        <v>109</v>
      </c>
      <c r="G458" s="18" t="s">
        <v>109</v>
      </c>
      <c r="H458" s="18" t="s">
        <v>109</v>
      </c>
      <c r="I458" s="18" t="s">
        <v>19</v>
      </c>
      <c r="J458" s="18" t="s">
        <v>19</v>
      </c>
      <c r="K458" s="18" t="s">
        <v>19</v>
      </c>
      <c r="L458" s="18" t="s">
        <v>19</v>
      </c>
      <c r="M458" s="15" t="s">
        <v>1889</v>
      </c>
      <c r="N458" s="4" t="s">
        <v>1875</v>
      </c>
      <c r="O458" s="4" t="s">
        <v>1848</v>
      </c>
      <c r="P458" s="4" t="s">
        <v>1876</v>
      </c>
      <c r="S458" s="15" t="e" cm="1">
        <f t="array" aca="1" ref="S458" ca="1">COMMONMARKETCOUNT(H458:AV458)</f>
        <v>#NAME?</v>
      </c>
      <c r="T458" s="6" t="e" cm="1">
        <f t="array" aca="1" ref="T458" ca="1">AUTOMATEDCOUNT(H458:AV458)</f>
        <v>#NAME?</v>
      </c>
      <c r="V458" s="18" t="s">
        <v>109</v>
      </c>
      <c r="W458" s="18" t="s">
        <v>109</v>
      </c>
      <c r="X458" s="18" t="s">
        <v>109</v>
      </c>
      <c r="Y458" s="18" t="s">
        <v>109</v>
      </c>
      <c r="Z458" s="18" t="s">
        <v>109</v>
      </c>
      <c r="AA458" s="18" t="s">
        <v>19</v>
      </c>
      <c r="AB458" s="18" t="s">
        <v>19</v>
      </c>
      <c r="AC458" s="18" t="s">
        <v>19</v>
      </c>
      <c r="AD458" s="18" t="s">
        <v>19</v>
      </c>
      <c r="AE458" s="18" t="s">
        <v>19</v>
      </c>
      <c r="AF458" s="15" t="s">
        <v>109</v>
      </c>
      <c r="AG458" s="18" t="s">
        <v>109</v>
      </c>
      <c r="AH458" s="18" t="s">
        <v>109</v>
      </c>
      <c r="AI458" s="18" t="s">
        <v>109</v>
      </c>
      <c r="AJ458" s="18" t="s">
        <v>109</v>
      </c>
      <c r="AK458" s="18" t="s">
        <v>109</v>
      </c>
      <c r="AL458" s="18" t="s">
        <v>109</v>
      </c>
      <c r="AM458" s="18" t="s">
        <v>109</v>
      </c>
      <c r="AN458" s="18" t="s">
        <v>109</v>
      </c>
      <c r="AO458" s="18" t="s">
        <v>109</v>
      </c>
      <c r="AP458" s="18" t="s">
        <v>109</v>
      </c>
      <c r="AQ458" s="18" t="s">
        <v>109</v>
      </c>
      <c r="AR458" s="18" t="s">
        <v>109</v>
      </c>
      <c r="AS458" s="18" t="s">
        <v>109</v>
      </c>
      <c r="AT458" s="18" t="s">
        <v>109</v>
      </c>
      <c r="AU458" s="18" t="s">
        <v>109</v>
      </c>
      <c r="AV458" s="36" t="s">
        <v>109</v>
      </c>
    </row>
    <row r="459" spans="1:264" ht="78.75" customHeight="1" x14ac:dyDescent="0.3">
      <c r="A459" s="15" t="s">
        <v>25</v>
      </c>
      <c r="B459" s="15" t="s">
        <v>1365</v>
      </c>
      <c r="C459" s="15" t="s">
        <v>579</v>
      </c>
      <c r="D459" s="15" t="s">
        <v>19</v>
      </c>
      <c r="E459" s="70" t="s">
        <v>19</v>
      </c>
      <c r="F459" s="70" t="s">
        <v>19</v>
      </c>
      <c r="G459" s="70" t="s">
        <v>19</v>
      </c>
      <c r="H459" s="70" t="s">
        <v>19</v>
      </c>
      <c r="I459" s="72" t="s">
        <v>19</v>
      </c>
      <c r="J459" s="72" t="s">
        <v>19</v>
      </c>
      <c r="K459" s="72" t="s">
        <v>19</v>
      </c>
      <c r="L459" s="72" t="s">
        <v>19</v>
      </c>
      <c r="M459" s="15" t="s">
        <v>1824</v>
      </c>
      <c r="N459" s="4" t="s">
        <v>1636</v>
      </c>
      <c r="O459" s="15"/>
      <c r="P459" s="4" t="s">
        <v>1763</v>
      </c>
      <c r="S459" s="15" t="e" cm="1">
        <f t="array" aca="1" ref="S459" ca="1">COMMONMARKETCOUNT(H459:AV459)</f>
        <v>#NAME?</v>
      </c>
      <c r="T459" s="6" t="e" cm="1">
        <f t="array" aca="1" ref="T459" ca="1">AUTOMATEDCOUNT(H459:AV459)</f>
        <v>#NAME?</v>
      </c>
      <c r="V459" s="70" t="s">
        <v>19</v>
      </c>
      <c r="W459" s="70" t="s">
        <v>19</v>
      </c>
      <c r="X459" s="70" t="s">
        <v>19</v>
      </c>
      <c r="Y459" s="70" t="s">
        <v>19</v>
      </c>
      <c r="Z459" s="70" t="s">
        <v>19</v>
      </c>
      <c r="AA459" s="72" t="s">
        <v>19</v>
      </c>
      <c r="AB459" s="72" t="s">
        <v>19</v>
      </c>
      <c r="AC459" s="72" t="s">
        <v>19</v>
      </c>
      <c r="AD459" s="6" t="s">
        <v>109</v>
      </c>
      <c r="AE459" s="6" t="s">
        <v>109</v>
      </c>
      <c r="AF459" s="18" t="s">
        <v>19</v>
      </c>
      <c r="AG459" s="18" t="s">
        <v>19</v>
      </c>
      <c r="AH459" s="18" t="s">
        <v>19</v>
      </c>
      <c r="AI459" s="18" t="s">
        <v>19</v>
      </c>
      <c r="AJ459" s="18" t="s">
        <v>19</v>
      </c>
      <c r="AK459" s="18" t="s">
        <v>19</v>
      </c>
      <c r="AL459" s="18" t="s">
        <v>19</v>
      </c>
      <c r="AM459" s="18" t="s">
        <v>19</v>
      </c>
      <c r="AN459" s="18" t="s">
        <v>19</v>
      </c>
      <c r="AO459" s="18" t="s">
        <v>19</v>
      </c>
      <c r="AP459" s="18" t="s">
        <v>19</v>
      </c>
      <c r="AQ459" s="18" t="s">
        <v>19</v>
      </c>
      <c r="AR459" s="18" t="s">
        <v>19</v>
      </c>
      <c r="AS459" s="70" t="s">
        <v>19</v>
      </c>
      <c r="AT459" s="72" t="s">
        <v>19</v>
      </c>
      <c r="AU459" s="18" t="s">
        <v>3153</v>
      </c>
      <c r="AV459" s="36" t="s">
        <v>19</v>
      </c>
    </row>
    <row r="460" spans="1:264" s="6" customFormat="1" ht="73.5" hidden="1" customHeight="1" x14ac:dyDescent="0.3">
      <c r="A460" s="18" t="s">
        <v>25</v>
      </c>
      <c r="B460" s="18" t="s">
        <v>17</v>
      </c>
      <c r="C460" s="15" t="s">
        <v>2313</v>
      </c>
      <c r="D460" s="15" t="s">
        <v>32</v>
      </c>
      <c r="E460" s="18" t="s">
        <v>109</v>
      </c>
      <c r="F460" s="18" t="s">
        <v>109</v>
      </c>
      <c r="G460" s="18" t="s">
        <v>109</v>
      </c>
      <c r="H460" s="18" t="s">
        <v>109</v>
      </c>
      <c r="I460" s="18" t="s">
        <v>19</v>
      </c>
      <c r="J460" s="18" t="s">
        <v>19</v>
      </c>
      <c r="K460" s="18" t="s">
        <v>19</v>
      </c>
      <c r="L460" s="18" t="s">
        <v>19</v>
      </c>
      <c r="M460" s="15" t="s">
        <v>2302</v>
      </c>
      <c r="N460" s="4" t="s">
        <v>2301</v>
      </c>
      <c r="O460" s="4" t="s">
        <v>2285</v>
      </c>
      <c r="P460" s="4" t="s">
        <v>3116</v>
      </c>
      <c r="S460" s="15" t="e" cm="1">
        <f t="array" aca="1" ref="S460" ca="1">COMMONMARKETCOUNT(H460:AV460)</f>
        <v>#NAME?</v>
      </c>
      <c r="T460" s="6" t="e" cm="1">
        <f t="array" aca="1" ref="T460" ca="1">AUTOMATEDCOUNT(H460:AV460)</f>
        <v>#NAME?</v>
      </c>
      <c r="V460" s="18" t="s">
        <v>109</v>
      </c>
      <c r="W460" s="18" t="s">
        <v>109</v>
      </c>
      <c r="X460" s="18" t="s">
        <v>109</v>
      </c>
      <c r="Y460" s="18" t="s">
        <v>109</v>
      </c>
      <c r="Z460" s="18" t="s">
        <v>109</v>
      </c>
      <c r="AA460" s="18" t="s">
        <v>19</v>
      </c>
      <c r="AB460" s="18" t="s">
        <v>19</v>
      </c>
      <c r="AC460" s="18" t="s">
        <v>19</v>
      </c>
      <c r="AD460" s="6" t="s">
        <v>109</v>
      </c>
      <c r="AE460" s="6" t="s">
        <v>109</v>
      </c>
      <c r="AF460" s="15" t="s">
        <v>109</v>
      </c>
      <c r="AG460" s="18" t="s">
        <v>109</v>
      </c>
      <c r="AH460" s="18" t="s">
        <v>109</v>
      </c>
      <c r="AI460" s="18" t="s">
        <v>109</v>
      </c>
      <c r="AJ460" s="18" t="s">
        <v>109</v>
      </c>
      <c r="AK460" s="18" t="s">
        <v>109</v>
      </c>
      <c r="AL460" s="18" t="s">
        <v>109</v>
      </c>
      <c r="AM460" s="18" t="s">
        <v>109</v>
      </c>
      <c r="AN460" s="18" t="s">
        <v>109</v>
      </c>
      <c r="AO460" s="18" t="s">
        <v>109</v>
      </c>
      <c r="AP460" s="18" t="s">
        <v>109</v>
      </c>
      <c r="AQ460" s="18" t="s">
        <v>109</v>
      </c>
      <c r="AR460" s="18" t="s">
        <v>109</v>
      </c>
      <c r="AS460" s="18" t="s">
        <v>109</v>
      </c>
      <c r="AT460" s="18" t="s">
        <v>109</v>
      </c>
      <c r="AU460" s="18" t="s">
        <v>109</v>
      </c>
      <c r="AV460" s="36"/>
      <c r="AW460" s="16"/>
      <c r="AX460" s="16"/>
      <c r="AY460" s="16"/>
      <c r="AZ460" s="16"/>
      <c r="BA460" s="16"/>
      <c r="BB460" s="16"/>
      <c r="BC460" s="16"/>
      <c r="BD460" s="16"/>
      <c r="BE460" s="16"/>
      <c r="BF460" s="16"/>
      <c r="BG460" s="16"/>
      <c r="BH460" s="16"/>
      <c r="BI460" s="16"/>
      <c r="BJ460" s="16"/>
      <c r="BK460" s="16"/>
      <c r="BL460" s="16"/>
      <c r="BM460" s="16"/>
      <c r="BN460" s="16"/>
      <c r="BO460" s="16"/>
      <c r="BP460" s="16"/>
      <c r="BQ460" s="16"/>
      <c r="BR460" s="16"/>
      <c r="BS460" s="16"/>
      <c r="BT460" s="16"/>
      <c r="BU460" s="16"/>
      <c r="BV460" s="16"/>
      <c r="BW460" s="16"/>
      <c r="BX460" s="16"/>
      <c r="BY460" s="16"/>
      <c r="BZ460" s="16"/>
      <c r="CA460" s="16"/>
      <c r="CB460" s="16"/>
      <c r="CC460" s="16"/>
      <c r="CD460" s="16"/>
      <c r="CE460" s="16"/>
      <c r="CF460" s="16"/>
      <c r="CG460" s="16"/>
      <c r="CH460" s="16"/>
      <c r="CI460" s="16"/>
      <c r="CJ460" s="16"/>
      <c r="CK460" s="16"/>
      <c r="CL460" s="16"/>
      <c r="CM460" s="16"/>
      <c r="CN460" s="16"/>
      <c r="CO460" s="16"/>
      <c r="CP460" s="16"/>
      <c r="CQ460" s="16"/>
      <c r="CR460" s="16"/>
      <c r="CS460" s="16"/>
      <c r="CT460" s="16"/>
      <c r="CU460" s="16"/>
      <c r="CV460" s="16"/>
      <c r="CW460" s="16"/>
      <c r="CX460" s="16"/>
      <c r="CY460" s="16"/>
      <c r="CZ460" s="16"/>
      <c r="DA460" s="16"/>
      <c r="DB460" s="16"/>
      <c r="DC460" s="16"/>
      <c r="DD460" s="16"/>
      <c r="DE460" s="16"/>
      <c r="DF460" s="16"/>
      <c r="DG460" s="16"/>
      <c r="DH460" s="16"/>
      <c r="DI460" s="16"/>
      <c r="DJ460" s="16"/>
      <c r="DK460" s="16"/>
      <c r="DL460" s="16"/>
      <c r="DM460" s="16"/>
      <c r="DN460" s="16"/>
      <c r="DO460" s="16"/>
      <c r="DP460" s="16"/>
      <c r="DQ460" s="16"/>
      <c r="DR460" s="16"/>
      <c r="DS460" s="16"/>
      <c r="DT460" s="16"/>
      <c r="DU460" s="16"/>
      <c r="DV460" s="16"/>
      <c r="DW460" s="16"/>
      <c r="DX460" s="16"/>
      <c r="DY460" s="16"/>
      <c r="DZ460" s="16"/>
      <c r="EA460" s="16"/>
      <c r="EB460" s="16"/>
      <c r="EC460" s="16"/>
      <c r="ED460" s="16"/>
      <c r="EE460" s="16"/>
      <c r="EF460" s="16"/>
      <c r="EG460" s="16"/>
      <c r="EH460" s="16"/>
      <c r="EI460" s="16"/>
      <c r="EJ460" s="16"/>
      <c r="EK460" s="16"/>
      <c r="EL460" s="16"/>
      <c r="EM460" s="16"/>
      <c r="EN460" s="16"/>
      <c r="EO460" s="16"/>
      <c r="EP460" s="16"/>
      <c r="EQ460" s="16"/>
      <c r="ER460" s="16"/>
      <c r="ES460" s="16"/>
      <c r="ET460" s="16"/>
      <c r="EU460" s="16"/>
      <c r="EV460" s="16"/>
      <c r="EW460" s="16"/>
      <c r="EX460" s="16"/>
      <c r="EY460" s="16"/>
      <c r="EZ460" s="16"/>
      <c r="FA460" s="16"/>
      <c r="FB460" s="16"/>
      <c r="FC460" s="16"/>
      <c r="FD460" s="16"/>
      <c r="FE460" s="16"/>
      <c r="FF460" s="16"/>
      <c r="FG460" s="16"/>
      <c r="FH460" s="16"/>
      <c r="FI460" s="16"/>
      <c r="FJ460" s="16"/>
      <c r="FK460" s="16"/>
      <c r="FL460" s="16"/>
      <c r="FM460" s="16"/>
      <c r="FN460" s="16"/>
      <c r="FO460" s="16"/>
      <c r="FP460" s="16"/>
      <c r="FQ460" s="16"/>
      <c r="FR460" s="16"/>
      <c r="FS460" s="16"/>
      <c r="FT460" s="16"/>
      <c r="FU460" s="16"/>
      <c r="FV460" s="16"/>
      <c r="FW460" s="16"/>
      <c r="FX460" s="16"/>
      <c r="FY460" s="16"/>
      <c r="FZ460" s="16"/>
      <c r="GA460" s="16"/>
      <c r="GB460" s="16"/>
      <c r="GC460" s="16"/>
      <c r="GD460" s="16"/>
      <c r="GE460" s="16"/>
      <c r="GF460" s="16"/>
      <c r="GG460" s="16"/>
      <c r="GH460" s="16"/>
      <c r="GI460" s="16"/>
      <c r="GJ460" s="16"/>
      <c r="GK460" s="16"/>
      <c r="GL460" s="16"/>
      <c r="GM460" s="16"/>
      <c r="GN460" s="16"/>
      <c r="GO460" s="16"/>
      <c r="GP460" s="16"/>
      <c r="GQ460" s="16"/>
      <c r="GR460" s="16"/>
      <c r="GS460" s="16"/>
      <c r="GT460" s="16"/>
      <c r="GU460" s="16"/>
      <c r="GV460" s="16"/>
      <c r="GW460" s="16"/>
      <c r="GX460" s="16"/>
      <c r="GY460" s="16"/>
      <c r="GZ460" s="16"/>
      <c r="HA460" s="16"/>
      <c r="HB460" s="16"/>
      <c r="HC460" s="16"/>
      <c r="HD460" s="16"/>
      <c r="HE460" s="16"/>
      <c r="HF460" s="16"/>
      <c r="HG460" s="16"/>
      <c r="HH460" s="16"/>
      <c r="HI460" s="16"/>
      <c r="HJ460" s="16"/>
      <c r="HK460" s="16"/>
      <c r="HL460" s="16"/>
      <c r="HM460" s="16"/>
      <c r="HN460" s="16"/>
      <c r="HO460" s="16"/>
      <c r="HP460" s="16"/>
      <c r="HQ460" s="16"/>
      <c r="HR460" s="16"/>
      <c r="HS460" s="16"/>
      <c r="HT460" s="16"/>
      <c r="HU460" s="16"/>
      <c r="HV460" s="16"/>
      <c r="HW460" s="16"/>
      <c r="HX460" s="16"/>
      <c r="HY460" s="16"/>
      <c r="HZ460" s="16"/>
      <c r="IA460" s="16"/>
      <c r="IB460" s="16"/>
      <c r="IC460" s="16"/>
      <c r="ID460" s="16"/>
      <c r="IE460" s="16"/>
      <c r="IF460" s="16"/>
      <c r="IG460" s="16"/>
      <c r="IH460" s="16"/>
      <c r="II460" s="16"/>
      <c r="IJ460" s="16"/>
      <c r="IK460" s="16"/>
      <c r="IL460" s="16"/>
      <c r="IM460" s="16"/>
      <c r="IN460" s="16"/>
      <c r="IO460" s="16"/>
      <c r="IP460" s="16"/>
      <c r="IQ460" s="16"/>
      <c r="IR460" s="16"/>
      <c r="IS460" s="16"/>
      <c r="IT460" s="16"/>
      <c r="IU460" s="16"/>
      <c r="IV460" s="16"/>
      <c r="IW460" s="16"/>
      <c r="IX460" s="16"/>
      <c r="IY460" s="16"/>
      <c r="IZ460" s="16"/>
      <c r="JA460" s="16"/>
      <c r="JB460" s="16"/>
      <c r="JC460" s="16"/>
      <c r="JD460" s="41"/>
    </row>
    <row r="461" spans="1:264" ht="71.25" hidden="1" customHeight="1" x14ac:dyDescent="0.3">
      <c r="A461" s="15" t="s">
        <v>2286</v>
      </c>
      <c r="B461" s="6" t="s">
        <v>239</v>
      </c>
      <c r="C461" s="4" t="s">
        <v>2314</v>
      </c>
      <c r="D461" s="6" t="s">
        <v>32</v>
      </c>
      <c r="E461" s="18" t="s">
        <v>109</v>
      </c>
      <c r="F461" s="18" t="s">
        <v>109</v>
      </c>
      <c r="G461" s="18" t="s">
        <v>109</v>
      </c>
      <c r="H461" s="18" t="s">
        <v>109</v>
      </c>
      <c r="I461" s="18" t="s">
        <v>19</v>
      </c>
      <c r="J461" s="18" t="s">
        <v>19</v>
      </c>
      <c r="K461" s="18" t="s">
        <v>19</v>
      </c>
      <c r="L461" s="18" t="s">
        <v>19</v>
      </c>
      <c r="M461" s="15" t="s">
        <v>2284</v>
      </c>
      <c r="N461" s="4" t="s">
        <v>2290</v>
      </c>
      <c r="O461" s="3" t="s">
        <v>2285</v>
      </c>
      <c r="P461" s="4" t="s">
        <v>2289</v>
      </c>
      <c r="S461" s="15" t="e" cm="1">
        <f t="array" aca="1" ref="S461" ca="1">COMMONMARKETCOUNT(H461:AV461)</f>
        <v>#NAME?</v>
      </c>
      <c r="T461" s="6" t="e" cm="1">
        <f t="array" aca="1" ref="T461" ca="1">AUTOMATEDCOUNT(H461:AV461)</f>
        <v>#NAME?</v>
      </c>
      <c r="V461" s="18" t="s">
        <v>109</v>
      </c>
      <c r="W461" s="18" t="s">
        <v>109</v>
      </c>
      <c r="X461" s="18" t="s">
        <v>109</v>
      </c>
      <c r="Y461" s="18" t="s">
        <v>109</v>
      </c>
      <c r="Z461" s="18" t="s">
        <v>109</v>
      </c>
      <c r="AA461" s="18" t="s">
        <v>19</v>
      </c>
      <c r="AB461" s="18" t="s">
        <v>19</v>
      </c>
      <c r="AC461" s="18" t="s">
        <v>19</v>
      </c>
      <c r="AD461" s="18" t="s">
        <v>19</v>
      </c>
      <c r="AE461" s="18" t="s">
        <v>19</v>
      </c>
      <c r="AF461" s="15" t="s">
        <v>109</v>
      </c>
      <c r="AG461" s="18" t="s">
        <v>109</v>
      </c>
      <c r="AH461" s="18" t="s">
        <v>109</v>
      </c>
      <c r="AI461" s="18" t="s">
        <v>109</v>
      </c>
      <c r="AJ461" s="18" t="s">
        <v>109</v>
      </c>
      <c r="AK461" s="18" t="s">
        <v>109</v>
      </c>
      <c r="AL461" s="18" t="s">
        <v>109</v>
      </c>
      <c r="AM461" s="18" t="s">
        <v>109</v>
      </c>
      <c r="AN461" s="18" t="s">
        <v>109</v>
      </c>
      <c r="AO461" s="18" t="s">
        <v>109</v>
      </c>
      <c r="AP461" s="18" t="s">
        <v>109</v>
      </c>
      <c r="AQ461" s="18" t="s">
        <v>109</v>
      </c>
      <c r="AR461" s="18" t="s">
        <v>109</v>
      </c>
      <c r="AS461" s="18" t="s">
        <v>109</v>
      </c>
      <c r="AT461" s="18" t="s">
        <v>109</v>
      </c>
      <c r="AU461" s="18" t="s">
        <v>109</v>
      </c>
      <c r="AV461" s="36" t="s">
        <v>109</v>
      </c>
    </row>
    <row r="462" spans="1:264" ht="105" hidden="1" customHeight="1" x14ac:dyDescent="0.3">
      <c r="A462" s="15" t="s">
        <v>56</v>
      </c>
      <c r="B462" s="6" t="s">
        <v>24</v>
      </c>
      <c r="C462" s="15" t="s">
        <v>2404</v>
      </c>
      <c r="D462" s="15" t="s">
        <v>32</v>
      </c>
      <c r="E462" s="6" t="s">
        <v>19</v>
      </c>
      <c r="F462" s="6" t="s">
        <v>19</v>
      </c>
      <c r="G462" s="6" t="s">
        <v>19</v>
      </c>
      <c r="H462" s="6" t="s">
        <v>19</v>
      </c>
      <c r="I462" s="6" t="s">
        <v>19</v>
      </c>
      <c r="J462" s="6" t="s">
        <v>19</v>
      </c>
      <c r="K462" s="6" t="s">
        <v>19</v>
      </c>
      <c r="L462" s="6" t="s">
        <v>19</v>
      </c>
      <c r="M462" s="15" t="s">
        <v>2405</v>
      </c>
      <c r="N462" s="4" t="s">
        <v>2406</v>
      </c>
      <c r="O462" s="3" t="s">
        <v>2285</v>
      </c>
      <c r="P462" s="4" t="s">
        <v>2407</v>
      </c>
      <c r="S462" s="15" t="e" cm="1">
        <f t="array" aca="1" ref="S462" ca="1">COMMONMARKETCOUNT(H462:AV462)</f>
        <v>#NAME?</v>
      </c>
      <c r="T462" s="6" t="e" cm="1">
        <f t="array" aca="1" ref="T462" ca="1">AUTOMATEDCOUNT(H462:AV462)</f>
        <v>#NAME?</v>
      </c>
      <c r="V462" s="6" t="s">
        <v>19</v>
      </c>
      <c r="W462" s="6" t="s">
        <v>19</v>
      </c>
      <c r="X462" s="6" t="s">
        <v>19</v>
      </c>
      <c r="Y462" s="6" t="s">
        <v>19</v>
      </c>
      <c r="Z462" s="6" t="s">
        <v>19</v>
      </c>
      <c r="AA462" s="6" t="s">
        <v>19</v>
      </c>
      <c r="AB462" s="6" t="s">
        <v>19</v>
      </c>
      <c r="AC462" s="6" t="s">
        <v>19</v>
      </c>
      <c r="AD462" s="6" t="s">
        <v>19</v>
      </c>
      <c r="AE462" s="6" t="s">
        <v>19</v>
      </c>
      <c r="AF462" s="6" t="s">
        <v>19</v>
      </c>
      <c r="AG462" s="6" t="s">
        <v>19</v>
      </c>
      <c r="AH462" s="6" t="s">
        <v>19</v>
      </c>
      <c r="AI462" s="6" t="s">
        <v>19</v>
      </c>
      <c r="AJ462" s="6" t="s">
        <v>19</v>
      </c>
      <c r="AK462" s="6" t="s">
        <v>19</v>
      </c>
      <c r="AL462" s="6" t="s">
        <v>19</v>
      </c>
      <c r="AM462" s="6" t="s">
        <v>19</v>
      </c>
      <c r="AN462" s="6" t="s">
        <v>19</v>
      </c>
      <c r="AO462" s="6" t="s">
        <v>19</v>
      </c>
      <c r="AP462" s="6" t="s">
        <v>19</v>
      </c>
      <c r="AQ462" s="6" t="s">
        <v>19</v>
      </c>
      <c r="AR462" s="6" t="s">
        <v>19</v>
      </c>
      <c r="AS462" s="6" t="s">
        <v>19</v>
      </c>
      <c r="AT462" s="6" t="s">
        <v>19</v>
      </c>
      <c r="AU462" s="6" t="s">
        <v>3153</v>
      </c>
      <c r="AV462" s="36"/>
    </row>
    <row r="463" spans="1:264" ht="63.75" hidden="1" customHeight="1" x14ac:dyDescent="0.3">
      <c r="A463" s="6" t="s">
        <v>25</v>
      </c>
      <c r="B463" s="6" t="s">
        <v>1124</v>
      </c>
      <c r="C463" s="15" t="s">
        <v>2411</v>
      </c>
      <c r="D463" s="15" t="s">
        <v>32</v>
      </c>
      <c r="E463" s="6" t="s">
        <v>109</v>
      </c>
      <c r="F463" s="6" t="s">
        <v>109</v>
      </c>
      <c r="G463" s="6" t="s">
        <v>109</v>
      </c>
      <c r="H463" s="6" t="s">
        <v>109</v>
      </c>
      <c r="I463" s="6" t="s">
        <v>109</v>
      </c>
      <c r="J463" s="6" t="s">
        <v>109</v>
      </c>
      <c r="K463" s="6" t="s">
        <v>109</v>
      </c>
      <c r="L463" s="6" t="s">
        <v>109</v>
      </c>
      <c r="M463" s="15" t="s">
        <v>2412</v>
      </c>
      <c r="N463" s="4" t="s">
        <v>2413</v>
      </c>
      <c r="O463" s="3" t="s">
        <v>2285</v>
      </c>
      <c r="P463" s="4" t="s">
        <v>2414</v>
      </c>
      <c r="S463" s="15" t="e" cm="1">
        <f t="array" aca="1" ref="S463" ca="1">COMMONMARKETCOUNT(H463:AV463)</f>
        <v>#NAME?</v>
      </c>
      <c r="T463" s="6" t="e" cm="1">
        <f t="array" aca="1" ref="T463" ca="1">AUTOMATEDCOUNT(H463:AV463)</f>
        <v>#NAME?</v>
      </c>
      <c r="V463" s="6" t="s">
        <v>109</v>
      </c>
      <c r="W463" s="6" t="s">
        <v>109</v>
      </c>
      <c r="X463" s="6" t="s">
        <v>109</v>
      </c>
      <c r="Y463" s="6" t="s">
        <v>109</v>
      </c>
      <c r="Z463" s="6" t="s">
        <v>109</v>
      </c>
      <c r="AA463" s="6" t="s">
        <v>109</v>
      </c>
      <c r="AB463" s="6" t="s">
        <v>109</v>
      </c>
      <c r="AC463" s="6" t="s">
        <v>109</v>
      </c>
      <c r="AD463" s="6" t="s">
        <v>109</v>
      </c>
      <c r="AE463" s="6" t="s">
        <v>109</v>
      </c>
      <c r="AF463" s="6" t="s">
        <v>109</v>
      </c>
      <c r="AG463" s="6" t="s">
        <v>109</v>
      </c>
      <c r="AH463" s="6" t="s">
        <v>109</v>
      </c>
      <c r="AI463" s="6"/>
      <c r="AJ463" s="6" t="s">
        <v>109</v>
      </c>
      <c r="AK463" s="6" t="s">
        <v>109</v>
      </c>
      <c r="AL463" s="6" t="s">
        <v>109</v>
      </c>
      <c r="AM463" s="6" t="s">
        <v>109</v>
      </c>
      <c r="AN463" s="6" t="s">
        <v>109</v>
      </c>
      <c r="AO463" s="6" t="s">
        <v>109</v>
      </c>
      <c r="AP463" s="6" t="s">
        <v>109</v>
      </c>
      <c r="AQ463" s="6" t="s">
        <v>109</v>
      </c>
      <c r="AR463" s="6" t="s">
        <v>19</v>
      </c>
      <c r="AS463" s="6" t="s">
        <v>19</v>
      </c>
      <c r="AT463" s="6" t="s">
        <v>19</v>
      </c>
      <c r="AU463" s="6" t="s">
        <v>109</v>
      </c>
      <c r="AV463" s="36" t="s">
        <v>19</v>
      </c>
    </row>
    <row r="464" spans="1:264" ht="85.5" hidden="1" customHeight="1" x14ac:dyDescent="0.3">
      <c r="A464" s="15" t="s">
        <v>25</v>
      </c>
      <c r="B464" s="6" t="s">
        <v>1124</v>
      </c>
      <c r="C464" s="15" t="s">
        <v>2415</v>
      </c>
      <c r="D464" s="15" t="s">
        <v>32</v>
      </c>
      <c r="E464" s="6" t="s">
        <v>109</v>
      </c>
      <c r="F464" s="6" t="s">
        <v>109</v>
      </c>
      <c r="G464" s="6" t="s">
        <v>109</v>
      </c>
      <c r="H464" s="6" t="s">
        <v>109</v>
      </c>
      <c r="I464" s="6" t="s">
        <v>109</v>
      </c>
      <c r="J464" s="6" t="s">
        <v>109</v>
      </c>
      <c r="K464" s="6" t="s">
        <v>109</v>
      </c>
      <c r="L464" s="6" t="s">
        <v>109</v>
      </c>
      <c r="M464" s="15" t="s">
        <v>2303</v>
      </c>
      <c r="N464" s="4" t="s">
        <v>2306</v>
      </c>
      <c r="O464" s="4" t="s">
        <v>2304</v>
      </c>
      <c r="P464" s="4" t="s">
        <v>2305</v>
      </c>
      <c r="S464" s="15" t="e" cm="1">
        <f t="array" aca="1" ref="S464" ca="1">COMMONMARKETCOUNT(H464:AV464)</f>
        <v>#NAME?</v>
      </c>
      <c r="T464" s="6" t="e" cm="1">
        <f t="array" aca="1" ref="T464" ca="1">AUTOMATEDCOUNT(H464:AV464)</f>
        <v>#NAME?</v>
      </c>
      <c r="V464" s="6" t="s">
        <v>109</v>
      </c>
      <c r="W464" s="6" t="s">
        <v>109</v>
      </c>
      <c r="X464" s="6" t="s">
        <v>109</v>
      </c>
      <c r="Y464" s="6" t="s">
        <v>109</v>
      </c>
      <c r="Z464" s="6" t="s">
        <v>109</v>
      </c>
      <c r="AA464" s="6" t="s">
        <v>109</v>
      </c>
      <c r="AB464" s="6" t="s">
        <v>109</v>
      </c>
      <c r="AC464" s="6" t="s">
        <v>109</v>
      </c>
      <c r="AD464" s="6" t="s">
        <v>109</v>
      </c>
      <c r="AE464" s="6" t="s">
        <v>109</v>
      </c>
      <c r="AF464" s="6" t="s">
        <v>109</v>
      </c>
      <c r="AG464" s="6" t="s">
        <v>109</v>
      </c>
      <c r="AH464" s="6" t="s">
        <v>109</v>
      </c>
      <c r="AI464" s="6" t="s">
        <v>109</v>
      </c>
      <c r="AJ464" s="6" t="s">
        <v>109</v>
      </c>
      <c r="AK464" s="6" t="s">
        <v>19</v>
      </c>
      <c r="AL464" s="6" t="s">
        <v>19</v>
      </c>
      <c r="AM464" s="6" t="s">
        <v>109</v>
      </c>
      <c r="AN464" s="6" t="s">
        <v>109</v>
      </c>
      <c r="AO464" s="6" t="s">
        <v>109</v>
      </c>
      <c r="AP464" s="6" t="s">
        <v>109</v>
      </c>
      <c r="AQ464" s="6" t="s">
        <v>109</v>
      </c>
      <c r="AR464" s="6" t="s">
        <v>109</v>
      </c>
      <c r="AS464" s="6" t="s">
        <v>109</v>
      </c>
      <c r="AT464" s="6" t="s">
        <v>109</v>
      </c>
      <c r="AU464" s="6" t="s">
        <v>109</v>
      </c>
      <c r="AV464" s="36" t="s">
        <v>109</v>
      </c>
    </row>
    <row r="465" spans="1:48" ht="78" hidden="1" customHeight="1" x14ac:dyDescent="0.3">
      <c r="A465" s="6" t="s">
        <v>25</v>
      </c>
      <c r="B465" s="6" t="s">
        <v>714</v>
      </c>
      <c r="C465" s="15" t="s">
        <v>2500</v>
      </c>
      <c r="D465" s="15" t="s">
        <v>109</v>
      </c>
      <c r="E465" s="6" t="s">
        <v>109</v>
      </c>
      <c r="F465" s="6" t="s">
        <v>109</v>
      </c>
      <c r="G465" s="6" t="s">
        <v>109</v>
      </c>
      <c r="H465" s="6" t="s">
        <v>109</v>
      </c>
      <c r="I465" s="6" t="s">
        <v>109</v>
      </c>
      <c r="J465" s="6" t="s">
        <v>109</v>
      </c>
      <c r="K465" s="6" t="s">
        <v>109</v>
      </c>
      <c r="L465" s="6" t="s">
        <v>109</v>
      </c>
      <c r="M465" s="15" t="s">
        <v>2501</v>
      </c>
      <c r="N465" s="4" t="s">
        <v>2502</v>
      </c>
      <c r="O465" s="15"/>
      <c r="P465" s="4" t="s">
        <v>2503</v>
      </c>
      <c r="S465" s="15" t="e" cm="1">
        <f t="array" aca="1" ref="S465" ca="1">COMMONMARKETCOUNT(H465:AV465)</f>
        <v>#NAME?</v>
      </c>
      <c r="T465" s="6" t="e" cm="1">
        <f t="array" aca="1" ref="T465" ca="1">AUTOMATEDCOUNT(H465:AV465)</f>
        <v>#NAME?</v>
      </c>
      <c r="V465" s="6" t="s">
        <v>109</v>
      </c>
      <c r="W465" s="6" t="s">
        <v>109</v>
      </c>
      <c r="X465" s="6" t="s">
        <v>109</v>
      </c>
      <c r="Y465" s="6" t="s">
        <v>109</v>
      </c>
      <c r="Z465" s="6" t="s">
        <v>109</v>
      </c>
      <c r="AA465" s="6" t="s">
        <v>109</v>
      </c>
      <c r="AB465" s="6" t="s">
        <v>109</v>
      </c>
      <c r="AC465" s="6" t="s">
        <v>109</v>
      </c>
      <c r="AD465" s="6" t="s">
        <v>109</v>
      </c>
      <c r="AE465" s="6" t="s">
        <v>109</v>
      </c>
      <c r="AF465" s="6" t="s">
        <v>109</v>
      </c>
      <c r="AG465" s="6" t="s">
        <v>109</v>
      </c>
      <c r="AH465" s="6" t="s">
        <v>109</v>
      </c>
      <c r="AI465" s="6" t="s">
        <v>109</v>
      </c>
      <c r="AJ465" s="6" t="s">
        <v>109</v>
      </c>
      <c r="AK465" s="6" t="s">
        <v>19</v>
      </c>
      <c r="AL465" s="6" t="s">
        <v>19</v>
      </c>
      <c r="AM465" s="6" t="s">
        <v>109</v>
      </c>
      <c r="AN465" s="6" t="s">
        <v>109</v>
      </c>
      <c r="AO465" s="6" t="s">
        <v>109</v>
      </c>
      <c r="AP465" s="6" t="s">
        <v>109</v>
      </c>
      <c r="AQ465" s="6" t="s">
        <v>109</v>
      </c>
      <c r="AR465" s="6" t="s">
        <v>109</v>
      </c>
      <c r="AS465" s="6" t="s">
        <v>109</v>
      </c>
      <c r="AT465" s="6" t="s">
        <v>109</v>
      </c>
      <c r="AU465" s="6" t="s">
        <v>109</v>
      </c>
      <c r="AV465" s="36" t="s">
        <v>109</v>
      </c>
    </row>
    <row r="466" spans="1:48" ht="108.75" hidden="1" customHeight="1" x14ac:dyDescent="0.3">
      <c r="A466" s="6" t="s">
        <v>25</v>
      </c>
      <c r="B466" s="6" t="s">
        <v>714</v>
      </c>
      <c r="C466" s="15" t="s">
        <v>2504</v>
      </c>
      <c r="D466" s="15" t="s">
        <v>109</v>
      </c>
      <c r="E466" s="6" t="s">
        <v>109</v>
      </c>
      <c r="F466" s="6" t="s">
        <v>109</v>
      </c>
      <c r="G466" s="6" t="s">
        <v>109</v>
      </c>
      <c r="H466" s="6" t="s">
        <v>109</v>
      </c>
      <c r="I466" s="6" t="s">
        <v>109</v>
      </c>
      <c r="J466" s="6" t="s">
        <v>109</v>
      </c>
      <c r="K466" s="6" t="s">
        <v>109</v>
      </c>
      <c r="L466" s="6" t="s">
        <v>109</v>
      </c>
      <c r="M466" s="15" t="s">
        <v>2505</v>
      </c>
      <c r="N466" s="4" t="s">
        <v>2506</v>
      </c>
      <c r="O466" s="15"/>
      <c r="P466" s="4" t="s">
        <v>2507</v>
      </c>
      <c r="S466" s="15" t="e" cm="1">
        <f t="array" aca="1" ref="S466" ca="1">COMMONMARKETCOUNT(H466:AV466)</f>
        <v>#NAME?</v>
      </c>
      <c r="T466" s="6" t="e" cm="1">
        <f t="array" aca="1" ref="T466" ca="1">AUTOMATEDCOUNT(H466:AV466)</f>
        <v>#NAME?</v>
      </c>
      <c r="V466" s="6" t="s">
        <v>109</v>
      </c>
      <c r="W466" s="6" t="s">
        <v>109</v>
      </c>
      <c r="X466" s="6" t="s">
        <v>109</v>
      </c>
      <c r="Y466" s="6" t="s">
        <v>109</v>
      </c>
      <c r="Z466" s="6" t="s">
        <v>109</v>
      </c>
      <c r="AA466" s="6" t="s">
        <v>109</v>
      </c>
      <c r="AB466" s="6" t="s">
        <v>109</v>
      </c>
      <c r="AC466" s="6" t="s">
        <v>109</v>
      </c>
      <c r="AD466" s="6" t="s">
        <v>109</v>
      </c>
      <c r="AE466" s="6" t="s">
        <v>109</v>
      </c>
      <c r="AF466" s="6" t="s">
        <v>109</v>
      </c>
      <c r="AG466" s="6" t="s">
        <v>109</v>
      </c>
      <c r="AH466" s="6" t="s">
        <v>109</v>
      </c>
      <c r="AI466" s="6" t="s">
        <v>109</v>
      </c>
      <c r="AJ466" s="6" t="s">
        <v>109</v>
      </c>
      <c r="AK466" s="6" t="s">
        <v>19</v>
      </c>
      <c r="AL466" s="6" t="s">
        <v>19</v>
      </c>
      <c r="AM466" s="6" t="s">
        <v>109</v>
      </c>
      <c r="AN466" s="6" t="s">
        <v>109</v>
      </c>
      <c r="AO466" s="6" t="s">
        <v>109</v>
      </c>
      <c r="AP466" s="6" t="s">
        <v>109</v>
      </c>
      <c r="AQ466" s="6" t="s">
        <v>109</v>
      </c>
      <c r="AR466" s="6" t="s">
        <v>109</v>
      </c>
      <c r="AS466" s="6" t="s">
        <v>109</v>
      </c>
      <c r="AT466" s="6" t="s">
        <v>109</v>
      </c>
      <c r="AU466" s="6" t="s">
        <v>109</v>
      </c>
      <c r="AV466" s="36" t="s">
        <v>109</v>
      </c>
    </row>
    <row r="467" spans="1:48" ht="67.5" hidden="1" customHeight="1" x14ac:dyDescent="0.3">
      <c r="A467" s="6" t="s">
        <v>25</v>
      </c>
      <c r="B467" s="6" t="s">
        <v>2512</v>
      </c>
      <c r="C467" s="15" t="s">
        <v>2508</v>
      </c>
      <c r="D467" s="15" t="s">
        <v>109</v>
      </c>
      <c r="E467" s="6" t="s">
        <v>109</v>
      </c>
      <c r="F467" s="6" t="s">
        <v>109</v>
      </c>
      <c r="G467" s="6" t="s">
        <v>109</v>
      </c>
      <c r="H467" s="6" t="s">
        <v>109</v>
      </c>
      <c r="I467" s="6" t="s">
        <v>109</v>
      </c>
      <c r="J467" s="6" t="s">
        <v>109</v>
      </c>
      <c r="K467" s="6" t="s">
        <v>109</v>
      </c>
      <c r="L467" s="6" t="s">
        <v>109</v>
      </c>
      <c r="M467" s="15" t="s">
        <v>2509</v>
      </c>
      <c r="N467" s="4" t="s">
        <v>2510</v>
      </c>
      <c r="O467" s="15"/>
      <c r="P467" s="4" t="s">
        <v>2511</v>
      </c>
      <c r="S467" s="15" t="e" cm="1">
        <f t="array" aca="1" ref="S467" ca="1">COMMONMARKETCOUNT(H467:AV467)</f>
        <v>#NAME?</v>
      </c>
      <c r="T467" s="6" t="e" cm="1">
        <f t="array" aca="1" ref="T467" ca="1">AUTOMATEDCOUNT(H467:AV467)</f>
        <v>#NAME?</v>
      </c>
      <c r="V467" s="6" t="s">
        <v>109</v>
      </c>
      <c r="W467" s="6" t="s">
        <v>109</v>
      </c>
      <c r="X467" s="6" t="s">
        <v>109</v>
      </c>
      <c r="Y467" s="6" t="s">
        <v>109</v>
      </c>
      <c r="Z467" s="6" t="s">
        <v>109</v>
      </c>
      <c r="AA467" s="6" t="s">
        <v>109</v>
      </c>
      <c r="AB467" s="6" t="s">
        <v>109</v>
      </c>
      <c r="AC467" s="6" t="s">
        <v>109</v>
      </c>
      <c r="AD467" s="6" t="s">
        <v>109</v>
      </c>
      <c r="AE467" s="6" t="s">
        <v>109</v>
      </c>
      <c r="AF467" s="6" t="s">
        <v>109</v>
      </c>
      <c r="AG467" s="6" t="s">
        <v>109</v>
      </c>
      <c r="AH467" s="6" t="s">
        <v>109</v>
      </c>
      <c r="AI467" s="6" t="s">
        <v>109</v>
      </c>
      <c r="AJ467" s="6" t="s">
        <v>109</v>
      </c>
      <c r="AK467" s="6" t="s">
        <v>19</v>
      </c>
      <c r="AL467" s="6" t="s">
        <v>19</v>
      </c>
      <c r="AM467" s="6" t="s">
        <v>109</v>
      </c>
      <c r="AN467" s="6" t="s">
        <v>109</v>
      </c>
      <c r="AO467" s="6" t="s">
        <v>109</v>
      </c>
      <c r="AP467" s="6" t="s">
        <v>109</v>
      </c>
      <c r="AQ467" s="6" t="s">
        <v>109</v>
      </c>
      <c r="AR467" s="6" t="s">
        <v>109</v>
      </c>
      <c r="AS467" s="6" t="s">
        <v>109</v>
      </c>
      <c r="AT467" s="6" t="s">
        <v>109</v>
      </c>
      <c r="AU467" s="6" t="s">
        <v>109</v>
      </c>
      <c r="AV467" s="36" t="s">
        <v>109</v>
      </c>
    </row>
    <row r="468" spans="1:48" ht="79.5" hidden="1" customHeight="1" x14ac:dyDescent="0.3">
      <c r="A468" s="6" t="s">
        <v>25</v>
      </c>
      <c r="B468" s="6" t="s">
        <v>2245</v>
      </c>
      <c r="C468" s="15" t="s">
        <v>2513</v>
      </c>
      <c r="D468" s="15" t="s">
        <v>109</v>
      </c>
      <c r="E468" s="6" t="s">
        <v>109</v>
      </c>
      <c r="F468" s="6" t="s">
        <v>109</v>
      </c>
      <c r="G468" s="6" t="s">
        <v>109</v>
      </c>
      <c r="H468" s="6" t="s">
        <v>109</v>
      </c>
      <c r="I468" s="6" t="s">
        <v>109</v>
      </c>
      <c r="J468" s="6" t="s">
        <v>109</v>
      </c>
      <c r="K468" s="6" t="s">
        <v>109</v>
      </c>
      <c r="L468" s="6" t="s">
        <v>109</v>
      </c>
      <c r="M468" s="15" t="s">
        <v>2514</v>
      </c>
      <c r="N468" s="4" t="s">
        <v>2515</v>
      </c>
      <c r="O468" s="15"/>
      <c r="P468" s="4" t="s">
        <v>2516</v>
      </c>
      <c r="S468" s="15" t="e" cm="1">
        <f t="array" aca="1" ref="S468" ca="1">COMMONMARKETCOUNT(H468:AV468)</f>
        <v>#NAME?</v>
      </c>
      <c r="T468" s="6" t="e" cm="1">
        <f t="array" aca="1" ref="T468" ca="1">AUTOMATEDCOUNT(H468:AV468)</f>
        <v>#NAME?</v>
      </c>
      <c r="V468" s="6" t="s">
        <v>109</v>
      </c>
      <c r="W468" s="6" t="s">
        <v>109</v>
      </c>
      <c r="X468" s="6" t="s">
        <v>109</v>
      </c>
      <c r="Y468" s="6" t="s">
        <v>109</v>
      </c>
      <c r="Z468" s="6" t="s">
        <v>109</v>
      </c>
      <c r="AA468" s="6" t="s">
        <v>109</v>
      </c>
      <c r="AB468" s="6" t="s">
        <v>109</v>
      </c>
      <c r="AC468" s="6" t="s">
        <v>109</v>
      </c>
      <c r="AD468" s="6" t="s">
        <v>109</v>
      </c>
      <c r="AE468" s="6" t="s">
        <v>109</v>
      </c>
      <c r="AF468" s="6" t="s">
        <v>109</v>
      </c>
      <c r="AG468" s="6" t="s">
        <v>109</v>
      </c>
      <c r="AH468" s="6" t="s">
        <v>109</v>
      </c>
      <c r="AI468" s="6" t="s">
        <v>109</v>
      </c>
      <c r="AJ468" s="6" t="s">
        <v>109</v>
      </c>
      <c r="AK468" s="6" t="s">
        <v>19</v>
      </c>
      <c r="AL468" s="6" t="s">
        <v>19</v>
      </c>
      <c r="AM468" s="6" t="s">
        <v>109</v>
      </c>
      <c r="AN468" s="6" t="s">
        <v>109</v>
      </c>
      <c r="AO468" s="6" t="s">
        <v>109</v>
      </c>
      <c r="AP468" s="6" t="s">
        <v>109</v>
      </c>
      <c r="AQ468" s="6" t="s">
        <v>109</v>
      </c>
      <c r="AR468" s="6" t="s">
        <v>109</v>
      </c>
      <c r="AS468" s="6" t="s">
        <v>109</v>
      </c>
      <c r="AT468" s="6" t="s">
        <v>109</v>
      </c>
      <c r="AU468" s="6" t="s">
        <v>109</v>
      </c>
      <c r="AV468" s="36" t="s">
        <v>109</v>
      </c>
    </row>
    <row r="469" spans="1:48" ht="97.5" hidden="1" customHeight="1" x14ac:dyDescent="0.3">
      <c r="A469" s="6" t="s">
        <v>25</v>
      </c>
      <c r="B469" s="6" t="s">
        <v>714</v>
      </c>
      <c r="C469" s="15" t="s">
        <v>2517</v>
      </c>
      <c r="D469" s="15" t="s">
        <v>109</v>
      </c>
      <c r="E469" s="6" t="s">
        <v>109</v>
      </c>
      <c r="F469" s="6" t="s">
        <v>109</v>
      </c>
      <c r="G469" s="6" t="s">
        <v>109</v>
      </c>
      <c r="H469" s="6" t="s">
        <v>109</v>
      </c>
      <c r="I469" s="6" t="s">
        <v>109</v>
      </c>
      <c r="J469" s="6" t="s">
        <v>109</v>
      </c>
      <c r="K469" s="6" t="s">
        <v>109</v>
      </c>
      <c r="L469" s="6" t="s">
        <v>109</v>
      </c>
      <c r="M469" s="15" t="s">
        <v>2518</v>
      </c>
      <c r="N469" s="4" t="s">
        <v>2519</v>
      </c>
      <c r="O469" s="15"/>
      <c r="P469" s="4" t="s">
        <v>2520</v>
      </c>
      <c r="S469" s="15" t="e" cm="1">
        <f t="array" aca="1" ref="S469" ca="1">COMMONMARKETCOUNT(H469:AV469)</f>
        <v>#NAME?</v>
      </c>
      <c r="T469" s="6" t="e" cm="1">
        <f t="array" aca="1" ref="T469" ca="1">AUTOMATEDCOUNT(H469:AV469)</f>
        <v>#NAME?</v>
      </c>
      <c r="V469" s="6" t="s">
        <v>109</v>
      </c>
      <c r="W469" s="6" t="s">
        <v>109</v>
      </c>
      <c r="X469" s="6" t="s">
        <v>109</v>
      </c>
      <c r="Y469" s="6" t="s">
        <v>109</v>
      </c>
      <c r="Z469" s="6" t="s">
        <v>109</v>
      </c>
      <c r="AA469" s="6" t="s">
        <v>109</v>
      </c>
      <c r="AB469" s="6" t="s">
        <v>109</v>
      </c>
      <c r="AC469" s="6" t="s">
        <v>109</v>
      </c>
      <c r="AD469" s="6" t="s">
        <v>109</v>
      </c>
      <c r="AE469" s="6" t="s">
        <v>109</v>
      </c>
      <c r="AF469" s="6" t="s">
        <v>109</v>
      </c>
      <c r="AG469" s="6" t="s">
        <v>109</v>
      </c>
      <c r="AH469" s="6" t="s">
        <v>109</v>
      </c>
      <c r="AI469" s="6" t="s">
        <v>109</v>
      </c>
      <c r="AJ469" s="6" t="s">
        <v>109</v>
      </c>
      <c r="AK469" s="6" t="s">
        <v>19</v>
      </c>
      <c r="AL469" s="6" t="s">
        <v>19</v>
      </c>
      <c r="AM469" s="6" t="s">
        <v>109</v>
      </c>
      <c r="AN469" s="6" t="s">
        <v>109</v>
      </c>
      <c r="AO469" s="6" t="s">
        <v>109</v>
      </c>
      <c r="AP469" s="6" t="s">
        <v>109</v>
      </c>
      <c r="AQ469" s="6" t="s">
        <v>109</v>
      </c>
      <c r="AR469" s="6" t="s">
        <v>109</v>
      </c>
      <c r="AS469" s="6" t="s">
        <v>109</v>
      </c>
      <c r="AT469" s="6" t="s">
        <v>109</v>
      </c>
      <c r="AU469" s="6" t="s">
        <v>109</v>
      </c>
      <c r="AV469" s="36" t="s">
        <v>109</v>
      </c>
    </row>
    <row r="470" spans="1:48" ht="146.25" customHeight="1" x14ac:dyDescent="0.3">
      <c r="A470" s="15" t="s">
        <v>25</v>
      </c>
      <c r="B470" s="15" t="s">
        <v>1823</v>
      </c>
      <c r="C470" s="15" t="s">
        <v>580</v>
      </c>
      <c r="D470" s="15" t="s">
        <v>19</v>
      </c>
      <c r="E470" s="70" t="s">
        <v>19</v>
      </c>
      <c r="F470" s="70" t="s">
        <v>19</v>
      </c>
      <c r="G470" s="70" t="s">
        <v>19</v>
      </c>
      <c r="H470" s="70" t="s">
        <v>19</v>
      </c>
      <c r="I470" s="72" t="s">
        <v>19</v>
      </c>
      <c r="J470" s="72" t="s">
        <v>19</v>
      </c>
      <c r="K470" s="18" t="s">
        <v>893</v>
      </c>
      <c r="L470" s="18" t="s">
        <v>893</v>
      </c>
      <c r="M470" s="15" t="s">
        <v>581</v>
      </c>
      <c r="N470" s="4" t="s">
        <v>1563</v>
      </c>
      <c r="O470" s="15"/>
      <c r="P470" s="4" t="s">
        <v>2307</v>
      </c>
      <c r="S470" s="15" t="e" cm="1">
        <f t="array" aca="1" ref="S470" ca="1">COMMONMARKETCOUNT(H470:AV470)</f>
        <v>#NAME?</v>
      </c>
      <c r="T470" s="6" t="e" cm="1">
        <f t="array" aca="1" ref="T470" ca="1">AUTOMATEDCOUNT(H470:AV470)</f>
        <v>#NAME?</v>
      </c>
      <c r="V470" s="15" t="s">
        <v>109</v>
      </c>
      <c r="W470" s="70" t="s">
        <v>19</v>
      </c>
      <c r="X470" s="70" t="s">
        <v>19</v>
      </c>
      <c r="Y470" s="70" t="s">
        <v>19</v>
      </c>
      <c r="Z470" s="70" t="s">
        <v>19</v>
      </c>
      <c r="AA470" s="72" t="s">
        <v>19</v>
      </c>
      <c r="AB470" s="72" t="s">
        <v>19</v>
      </c>
      <c r="AC470" s="72" t="s">
        <v>19</v>
      </c>
      <c r="AD470" s="72" t="s">
        <v>19</v>
      </c>
      <c r="AE470" s="18" t="s">
        <v>19</v>
      </c>
      <c r="AF470" s="18" t="s">
        <v>893</v>
      </c>
      <c r="AG470" s="18" t="s">
        <v>19</v>
      </c>
      <c r="AH470" s="18" t="s">
        <v>19</v>
      </c>
      <c r="AI470" s="18" t="s">
        <v>19</v>
      </c>
      <c r="AJ470" s="18" t="s">
        <v>19</v>
      </c>
      <c r="AK470" s="18" t="s">
        <v>19</v>
      </c>
      <c r="AL470" s="18" t="s">
        <v>19</v>
      </c>
      <c r="AM470" s="18" t="s">
        <v>19</v>
      </c>
      <c r="AN470" s="18" t="s">
        <v>19</v>
      </c>
      <c r="AO470" s="18" t="s">
        <v>19</v>
      </c>
      <c r="AP470" s="18" t="s">
        <v>19</v>
      </c>
      <c r="AQ470" s="18" t="s">
        <v>19</v>
      </c>
      <c r="AR470" s="18" t="s">
        <v>19</v>
      </c>
      <c r="AS470" s="18" t="s">
        <v>19</v>
      </c>
      <c r="AT470" s="18" t="s">
        <v>19</v>
      </c>
      <c r="AU470" s="18" t="s">
        <v>3153</v>
      </c>
      <c r="AV470" s="36" t="s">
        <v>19</v>
      </c>
    </row>
    <row r="471" spans="1:48" ht="114" hidden="1" customHeight="1" x14ac:dyDescent="0.3">
      <c r="A471" s="6" t="s">
        <v>25</v>
      </c>
      <c r="B471" s="6" t="s">
        <v>2701</v>
      </c>
      <c r="C471" s="15" t="s">
        <v>2859</v>
      </c>
      <c r="D471" s="15" t="s">
        <v>109</v>
      </c>
      <c r="E471" s="6" t="s">
        <v>109</v>
      </c>
      <c r="F471" s="6" t="s">
        <v>109</v>
      </c>
      <c r="G471" s="6" t="s">
        <v>109</v>
      </c>
      <c r="H471" s="6" t="s">
        <v>109</v>
      </c>
      <c r="I471" s="6" t="s">
        <v>109</v>
      </c>
      <c r="J471" s="6" t="s">
        <v>109</v>
      </c>
      <c r="K471" s="6" t="s">
        <v>109</v>
      </c>
      <c r="L471" s="6" t="s">
        <v>109</v>
      </c>
      <c r="M471" s="15" t="s">
        <v>2860</v>
      </c>
      <c r="N471" s="4" t="s">
        <v>2861</v>
      </c>
      <c r="O471" s="15"/>
      <c r="P471" s="4" t="s">
        <v>2862</v>
      </c>
      <c r="S471" s="15" t="e" cm="1">
        <f t="array" aca="1" ref="S471" ca="1">COMMONMARKETCOUNT(H471:AV471)</f>
        <v>#NAME?</v>
      </c>
      <c r="T471" s="6" t="e" cm="1">
        <f t="array" aca="1" ref="T471" ca="1">AUTOMATEDCOUNT(H471:AV471)</f>
        <v>#NAME?</v>
      </c>
      <c r="V471" s="6" t="s">
        <v>109</v>
      </c>
      <c r="W471" s="6" t="s">
        <v>109</v>
      </c>
      <c r="X471" s="6" t="s">
        <v>109</v>
      </c>
      <c r="Y471" s="6" t="s">
        <v>109</v>
      </c>
      <c r="Z471" s="6" t="s">
        <v>109</v>
      </c>
      <c r="AA471" s="6" t="s">
        <v>109</v>
      </c>
      <c r="AB471" s="6" t="s">
        <v>109</v>
      </c>
      <c r="AC471" s="6" t="s">
        <v>109</v>
      </c>
      <c r="AD471" s="6" t="s">
        <v>109</v>
      </c>
      <c r="AE471" s="6" t="s">
        <v>109</v>
      </c>
      <c r="AF471" s="6" t="s">
        <v>109</v>
      </c>
      <c r="AG471" s="6" t="s">
        <v>109</v>
      </c>
      <c r="AH471" s="6" t="s">
        <v>109</v>
      </c>
      <c r="AI471" s="6" t="s">
        <v>109</v>
      </c>
      <c r="AJ471" s="6" t="s">
        <v>109</v>
      </c>
      <c r="AK471" s="6" t="s">
        <v>19</v>
      </c>
      <c r="AL471" s="6" t="s">
        <v>19</v>
      </c>
      <c r="AM471" s="6" t="s">
        <v>109</v>
      </c>
      <c r="AN471" s="6" t="s">
        <v>109</v>
      </c>
      <c r="AO471" s="6" t="s">
        <v>109</v>
      </c>
      <c r="AP471" s="6" t="s">
        <v>109</v>
      </c>
      <c r="AQ471" s="6" t="s">
        <v>109</v>
      </c>
      <c r="AR471" s="6" t="s">
        <v>109</v>
      </c>
      <c r="AS471" s="6" t="s">
        <v>109</v>
      </c>
      <c r="AT471" s="6" t="s">
        <v>109</v>
      </c>
      <c r="AU471" s="6" t="s">
        <v>109</v>
      </c>
      <c r="AV471" s="36" t="s">
        <v>109</v>
      </c>
    </row>
    <row r="472" spans="1:48" ht="80.25" hidden="1" customHeight="1" x14ac:dyDescent="0.3">
      <c r="A472" s="6" t="s">
        <v>25</v>
      </c>
      <c r="B472" s="6" t="s">
        <v>1124</v>
      </c>
      <c r="C472" s="15" t="s">
        <v>2521</v>
      </c>
      <c r="D472" s="15" t="s">
        <v>109</v>
      </c>
      <c r="E472" s="6" t="s">
        <v>109</v>
      </c>
      <c r="F472" s="6" t="s">
        <v>109</v>
      </c>
      <c r="G472" s="6" t="s">
        <v>109</v>
      </c>
      <c r="H472" s="6" t="s">
        <v>109</v>
      </c>
      <c r="I472" s="6" t="s">
        <v>109</v>
      </c>
      <c r="J472" s="6" t="s">
        <v>109</v>
      </c>
      <c r="K472" s="6" t="s">
        <v>109</v>
      </c>
      <c r="L472" s="6" t="s">
        <v>109</v>
      </c>
      <c r="M472" s="15" t="s">
        <v>2522</v>
      </c>
      <c r="N472" s="4" t="s">
        <v>2523</v>
      </c>
      <c r="O472" s="15"/>
      <c r="P472" s="4" t="s">
        <v>2524</v>
      </c>
      <c r="S472" s="15" t="e" cm="1">
        <f t="array" aca="1" ref="S472" ca="1">COMMONMARKETCOUNT(H472:AV472)</f>
        <v>#NAME?</v>
      </c>
      <c r="T472" s="6" t="e" cm="1">
        <f t="array" aca="1" ref="T472" ca="1">AUTOMATEDCOUNT(H472:AV472)</f>
        <v>#NAME?</v>
      </c>
      <c r="V472" s="6" t="s">
        <v>109</v>
      </c>
      <c r="W472" s="6" t="s">
        <v>109</v>
      </c>
      <c r="X472" s="6" t="s">
        <v>109</v>
      </c>
      <c r="Y472" s="6" t="s">
        <v>109</v>
      </c>
      <c r="Z472" s="6" t="s">
        <v>109</v>
      </c>
      <c r="AA472" s="6" t="s">
        <v>109</v>
      </c>
      <c r="AB472" s="6" t="s">
        <v>109</v>
      </c>
      <c r="AC472" s="6" t="s">
        <v>109</v>
      </c>
      <c r="AD472" s="6" t="s">
        <v>109</v>
      </c>
      <c r="AE472" s="6" t="s">
        <v>109</v>
      </c>
      <c r="AF472" s="6" t="s">
        <v>109</v>
      </c>
      <c r="AG472" s="6" t="s">
        <v>109</v>
      </c>
      <c r="AH472" s="6" t="s">
        <v>109</v>
      </c>
      <c r="AI472" s="6" t="s">
        <v>109</v>
      </c>
      <c r="AJ472" s="6" t="s">
        <v>109</v>
      </c>
      <c r="AK472" s="6" t="s">
        <v>19</v>
      </c>
      <c r="AL472" s="6" t="s">
        <v>19</v>
      </c>
      <c r="AM472" s="6" t="s">
        <v>109</v>
      </c>
      <c r="AN472" s="6" t="s">
        <v>109</v>
      </c>
      <c r="AO472" s="6" t="s">
        <v>109</v>
      </c>
      <c r="AP472" s="6" t="s">
        <v>109</v>
      </c>
      <c r="AQ472" s="6" t="s">
        <v>109</v>
      </c>
      <c r="AR472" s="6" t="s">
        <v>109</v>
      </c>
      <c r="AS472" s="6" t="s">
        <v>109</v>
      </c>
      <c r="AT472" s="6" t="s">
        <v>109</v>
      </c>
      <c r="AU472" s="6" t="s">
        <v>109</v>
      </c>
      <c r="AV472" s="36" t="s">
        <v>109</v>
      </c>
    </row>
    <row r="473" spans="1:48" ht="78" hidden="1" customHeight="1" x14ac:dyDescent="0.3">
      <c r="A473" s="6" t="s">
        <v>25</v>
      </c>
      <c r="B473" s="6" t="s">
        <v>1823</v>
      </c>
      <c r="C473" s="15" t="s">
        <v>2525</v>
      </c>
      <c r="D473" s="15" t="s">
        <v>109</v>
      </c>
      <c r="E473" s="6" t="s">
        <v>109</v>
      </c>
      <c r="F473" s="6" t="s">
        <v>109</v>
      </c>
      <c r="G473" s="6" t="s">
        <v>109</v>
      </c>
      <c r="H473" s="6" t="s">
        <v>109</v>
      </c>
      <c r="I473" s="6" t="s">
        <v>109</v>
      </c>
      <c r="J473" s="6" t="s">
        <v>109</v>
      </c>
      <c r="K473" s="6" t="s">
        <v>109</v>
      </c>
      <c r="L473" s="6" t="s">
        <v>109</v>
      </c>
      <c r="M473" s="15" t="s">
        <v>2526</v>
      </c>
      <c r="N473" s="4" t="s">
        <v>2527</v>
      </c>
      <c r="O473" s="15"/>
      <c r="P473" s="4" t="s">
        <v>2528</v>
      </c>
      <c r="S473" s="15" t="e" cm="1">
        <f t="array" aca="1" ref="S473" ca="1">COMMONMARKETCOUNT(H473:AV473)</f>
        <v>#NAME?</v>
      </c>
      <c r="T473" s="6" t="e" cm="1">
        <f t="array" aca="1" ref="T473" ca="1">AUTOMATEDCOUNT(H473:AV473)</f>
        <v>#NAME?</v>
      </c>
      <c r="V473" s="6" t="s">
        <v>109</v>
      </c>
      <c r="W473" s="6" t="s">
        <v>109</v>
      </c>
      <c r="X473" s="6" t="s">
        <v>109</v>
      </c>
      <c r="Y473" s="6" t="s">
        <v>109</v>
      </c>
      <c r="Z473" s="6" t="s">
        <v>109</v>
      </c>
      <c r="AA473" s="6" t="s">
        <v>109</v>
      </c>
      <c r="AB473" s="6" t="s">
        <v>109</v>
      </c>
      <c r="AC473" s="6" t="s">
        <v>109</v>
      </c>
      <c r="AD473" s="6" t="s">
        <v>109</v>
      </c>
      <c r="AE473" s="6" t="s">
        <v>109</v>
      </c>
      <c r="AF473" s="6" t="s">
        <v>109</v>
      </c>
      <c r="AG473" s="6" t="s">
        <v>109</v>
      </c>
      <c r="AH473" s="6" t="s">
        <v>109</v>
      </c>
      <c r="AI473" s="6" t="s">
        <v>109</v>
      </c>
      <c r="AJ473" s="6" t="s">
        <v>109</v>
      </c>
      <c r="AK473" s="6" t="s">
        <v>19</v>
      </c>
      <c r="AL473" s="6" t="s">
        <v>19</v>
      </c>
      <c r="AM473" s="6" t="s">
        <v>109</v>
      </c>
      <c r="AN473" s="6" t="s">
        <v>109</v>
      </c>
      <c r="AO473" s="6" t="s">
        <v>109</v>
      </c>
      <c r="AP473" s="6" t="s">
        <v>109</v>
      </c>
      <c r="AQ473" s="6" t="s">
        <v>109</v>
      </c>
      <c r="AR473" s="6" t="s">
        <v>109</v>
      </c>
      <c r="AS473" s="6" t="s">
        <v>109</v>
      </c>
      <c r="AT473" s="6" t="s">
        <v>109</v>
      </c>
      <c r="AU473" s="6" t="s">
        <v>109</v>
      </c>
      <c r="AV473" s="36" t="s">
        <v>109</v>
      </c>
    </row>
    <row r="474" spans="1:48" ht="75.75" hidden="1" customHeight="1" x14ac:dyDescent="0.3">
      <c r="A474" s="6" t="s">
        <v>25</v>
      </c>
      <c r="B474" s="6" t="s">
        <v>1823</v>
      </c>
      <c r="C474" s="15" t="s">
        <v>2529</v>
      </c>
      <c r="D474" s="15" t="s">
        <v>109</v>
      </c>
      <c r="E474" s="6" t="s">
        <v>109</v>
      </c>
      <c r="F474" s="6" t="s">
        <v>109</v>
      </c>
      <c r="G474" s="6" t="s">
        <v>109</v>
      </c>
      <c r="H474" s="6" t="s">
        <v>109</v>
      </c>
      <c r="I474" s="6" t="s">
        <v>109</v>
      </c>
      <c r="J474" s="6" t="s">
        <v>109</v>
      </c>
      <c r="K474" s="6" t="s">
        <v>109</v>
      </c>
      <c r="L474" s="6" t="s">
        <v>109</v>
      </c>
      <c r="M474" s="15" t="s">
        <v>2530</v>
      </c>
      <c r="N474" s="4" t="s">
        <v>2531</v>
      </c>
      <c r="O474" s="15"/>
      <c r="P474" s="4" t="s">
        <v>2532</v>
      </c>
      <c r="S474" s="15" t="e" cm="1">
        <f t="array" aca="1" ref="S474" ca="1">COMMONMARKETCOUNT(H474:AV474)</f>
        <v>#NAME?</v>
      </c>
      <c r="T474" s="6" t="e" cm="1">
        <f t="array" aca="1" ref="T474" ca="1">AUTOMATEDCOUNT(H474:AV474)</f>
        <v>#NAME?</v>
      </c>
      <c r="V474" s="6" t="s">
        <v>109</v>
      </c>
      <c r="W474" s="6" t="s">
        <v>109</v>
      </c>
      <c r="X474" s="6" t="s">
        <v>109</v>
      </c>
      <c r="Y474" s="6" t="s">
        <v>109</v>
      </c>
      <c r="Z474" s="6" t="s">
        <v>109</v>
      </c>
      <c r="AA474" s="6" t="s">
        <v>109</v>
      </c>
      <c r="AB474" s="6" t="s">
        <v>109</v>
      </c>
      <c r="AC474" s="6" t="s">
        <v>109</v>
      </c>
      <c r="AD474" s="6" t="s">
        <v>109</v>
      </c>
      <c r="AE474" s="6" t="s">
        <v>109</v>
      </c>
      <c r="AF474" s="6" t="s">
        <v>109</v>
      </c>
      <c r="AG474" s="6" t="s">
        <v>109</v>
      </c>
      <c r="AH474" s="6" t="s">
        <v>109</v>
      </c>
      <c r="AI474" s="6" t="s">
        <v>109</v>
      </c>
      <c r="AJ474" s="6" t="s">
        <v>109</v>
      </c>
      <c r="AK474" s="6" t="s">
        <v>19</v>
      </c>
      <c r="AL474" s="6" t="s">
        <v>19</v>
      </c>
      <c r="AM474" s="6" t="s">
        <v>109</v>
      </c>
      <c r="AN474" s="6" t="s">
        <v>109</v>
      </c>
      <c r="AO474" s="6" t="s">
        <v>109</v>
      </c>
      <c r="AP474" s="6" t="s">
        <v>109</v>
      </c>
      <c r="AQ474" s="6" t="s">
        <v>109</v>
      </c>
      <c r="AR474" s="6" t="s">
        <v>109</v>
      </c>
      <c r="AS474" s="6" t="s">
        <v>109</v>
      </c>
      <c r="AT474" s="6" t="s">
        <v>109</v>
      </c>
      <c r="AU474" s="6" t="s">
        <v>109</v>
      </c>
      <c r="AV474" s="36" t="s">
        <v>109</v>
      </c>
    </row>
    <row r="475" spans="1:48" ht="47.25" hidden="1" customHeight="1" x14ac:dyDescent="0.3">
      <c r="A475" s="6" t="s">
        <v>25</v>
      </c>
      <c r="B475" s="6" t="s">
        <v>2245</v>
      </c>
      <c r="C475" s="15" t="s">
        <v>2533</v>
      </c>
      <c r="D475" s="15" t="s">
        <v>109</v>
      </c>
      <c r="E475" s="6" t="s">
        <v>109</v>
      </c>
      <c r="F475" s="6" t="s">
        <v>109</v>
      </c>
      <c r="G475" s="6" t="s">
        <v>109</v>
      </c>
      <c r="H475" s="6" t="s">
        <v>109</v>
      </c>
      <c r="I475" s="6" t="s">
        <v>109</v>
      </c>
      <c r="J475" s="6" t="s">
        <v>109</v>
      </c>
      <c r="K475" s="6" t="s">
        <v>109</v>
      </c>
      <c r="L475" s="6" t="s">
        <v>109</v>
      </c>
      <c r="M475" s="15" t="s">
        <v>2534</v>
      </c>
      <c r="N475" s="4" t="s">
        <v>2535</v>
      </c>
      <c r="O475" s="15"/>
      <c r="P475" s="4" t="s">
        <v>2536</v>
      </c>
      <c r="S475" s="15" t="e" cm="1">
        <f t="array" aca="1" ref="S475" ca="1">COMMONMARKETCOUNT(H475:AV475)</f>
        <v>#NAME?</v>
      </c>
      <c r="T475" s="6" t="e" cm="1">
        <f t="array" aca="1" ref="T475" ca="1">AUTOMATEDCOUNT(H475:AV475)</f>
        <v>#NAME?</v>
      </c>
      <c r="V475" s="6" t="s">
        <v>109</v>
      </c>
      <c r="W475" s="6" t="s">
        <v>109</v>
      </c>
      <c r="X475" s="6" t="s">
        <v>109</v>
      </c>
      <c r="Y475" s="6" t="s">
        <v>109</v>
      </c>
      <c r="Z475" s="6" t="s">
        <v>109</v>
      </c>
      <c r="AA475" s="6" t="s">
        <v>109</v>
      </c>
      <c r="AB475" s="6" t="s">
        <v>109</v>
      </c>
      <c r="AC475" s="6" t="s">
        <v>109</v>
      </c>
      <c r="AD475" s="6" t="s">
        <v>109</v>
      </c>
      <c r="AE475" s="6" t="s">
        <v>109</v>
      </c>
      <c r="AF475" s="6" t="s">
        <v>109</v>
      </c>
      <c r="AG475" s="6" t="s">
        <v>109</v>
      </c>
      <c r="AH475" s="6" t="s">
        <v>109</v>
      </c>
      <c r="AI475" s="6" t="s">
        <v>109</v>
      </c>
      <c r="AJ475" s="6" t="s">
        <v>109</v>
      </c>
      <c r="AK475" s="6" t="s">
        <v>19</v>
      </c>
      <c r="AL475" s="6" t="s">
        <v>19</v>
      </c>
      <c r="AM475" s="6" t="s">
        <v>109</v>
      </c>
      <c r="AN475" s="6" t="s">
        <v>109</v>
      </c>
      <c r="AO475" s="6" t="s">
        <v>109</v>
      </c>
      <c r="AP475" s="6" t="s">
        <v>109</v>
      </c>
      <c r="AQ475" s="6" t="s">
        <v>109</v>
      </c>
      <c r="AR475" s="6" t="s">
        <v>109</v>
      </c>
      <c r="AS475" s="6" t="s">
        <v>109</v>
      </c>
      <c r="AT475" s="6" t="s">
        <v>109</v>
      </c>
      <c r="AU475" s="6" t="s">
        <v>109</v>
      </c>
      <c r="AV475" s="36" t="s">
        <v>109</v>
      </c>
    </row>
    <row r="476" spans="1:48" ht="86.25" hidden="1" customHeight="1" x14ac:dyDescent="0.3">
      <c r="A476" s="15" t="s">
        <v>25</v>
      </c>
      <c r="B476" s="15" t="s">
        <v>1823</v>
      </c>
      <c r="C476" s="15" t="s">
        <v>2537</v>
      </c>
      <c r="D476" s="15" t="s">
        <v>32</v>
      </c>
      <c r="E476" s="6" t="s">
        <v>109</v>
      </c>
      <c r="F476" s="6" t="s">
        <v>109</v>
      </c>
      <c r="G476" s="6" t="s">
        <v>109</v>
      </c>
      <c r="H476" s="6" t="s">
        <v>109</v>
      </c>
      <c r="I476" s="6" t="s">
        <v>109</v>
      </c>
      <c r="J476" s="6" t="s">
        <v>109</v>
      </c>
      <c r="K476" s="6" t="s">
        <v>19</v>
      </c>
      <c r="L476" s="6" t="s">
        <v>19</v>
      </c>
      <c r="M476" s="15" t="s">
        <v>2538</v>
      </c>
      <c r="N476" s="4" t="s">
        <v>2539</v>
      </c>
      <c r="O476" s="15" t="s">
        <v>2540</v>
      </c>
      <c r="P476" s="4" t="s">
        <v>2541</v>
      </c>
      <c r="S476" s="15" t="e" cm="1">
        <f t="array" aca="1" ref="S476" ca="1">COMMONMARKETCOUNT(H476:AV476)</f>
        <v>#NAME?</v>
      </c>
      <c r="T476" s="6" t="e" cm="1">
        <f t="array" aca="1" ref="T476" ca="1">AUTOMATEDCOUNT(H476:AV476)</f>
        <v>#NAME?</v>
      </c>
      <c r="V476" s="6" t="s">
        <v>109</v>
      </c>
      <c r="W476" s="6" t="s">
        <v>109</v>
      </c>
      <c r="X476" s="6" t="s">
        <v>109</v>
      </c>
      <c r="Y476" s="6" t="s">
        <v>109</v>
      </c>
      <c r="Z476" s="6" t="s">
        <v>109</v>
      </c>
      <c r="AA476" s="6" t="s">
        <v>109</v>
      </c>
      <c r="AB476" s="6" t="s">
        <v>109</v>
      </c>
      <c r="AC476" s="6" t="s">
        <v>109</v>
      </c>
      <c r="AD476" s="6" t="s">
        <v>109</v>
      </c>
      <c r="AE476" s="6" t="s">
        <v>109</v>
      </c>
      <c r="AF476" s="6" t="s">
        <v>19</v>
      </c>
      <c r="AG476" s="6" t="s">
        <v>19</v>
      </c>
      <c r="AH476" s="6" t="s">
        <v>19</v>
      </c>
      <c r="AI476" s="6" t="s">
        <v>19</v>
      </c>
      <c r="AJ476" s="6" t="s">
        <v>19</v>
      </c>
      <c r="AK476" s="6" t="s">
        <v>109</v>
      </c>
      <c r="AL476" s="6" t="s">
        <v>109</v>
      </c>
      <c r="AM476" s="6" t="s">
        <v>109</v>
      </c>
      <c r="AN476" s="6" t="s">
        <v>109</v>
      </c>
      <c r="AO476" s="6" t="s">
        <v>109</v>
      </c>
      <c r="AP476" s="6" t="s">
        <v>109</v>
      </c>
      <c r="AQ476" s="6" t="s">
        <v>109</v>
      </c>
      <c r="AR476" s="6" t="s">
        <v>109</v>
      </c>
      <c r="AS476" s="6" t="s">
        <v>109</v>
      </c>
      <c r="AT476" s="6" t="s">
        <v>109</v>
      </c>
      <c r="AU476" s="6" t="s">
        <v>109</v>
      </c>
      <c r="AV476" s="36"/>
    </row>
    <row r="477" spans="1:48" ht="77.25" hidden="1" customHeight="1" x14ac:dyDescent="0.3">
      <c r="A477" s="18" t="s">
        <v>315</v>
      </c>
      <c r="B477" s="18" t="s">
        <v>55</v>
      </c>
      <c r="C477" s="15" t="s">
        <v>2542</v>
      </c>
      <c r="D477" s="15" t="s">
        <v>32</v>
      </c>
      <c r="E477" s="6" t="s">
        <v>109</v>
      </c>
      <c r="F477" s="6" t="s">
        <v>109</v>
      </c>
      <c r="G477" s="6" t="s">
        <v>109</v>
      </c>
      <c r="H477" s="6" t="s">
        <v>109</v>
      </c>
      <c r="I477" s="6" t="s">
        <v>109</v>
      </c>
      <c r="J477" s="6" t="s">
        <v>109</v>
      </c>
      <c r="K477" s="6" t="s">
        <v>19</v>
      </c>
      <c r="L477" s="6" t="s">
        <v>19</v>
      </c>
      <c r="M477" s="15" t="s">
        <v>2543</v>
      </c>
      <c r="N477" s="4" t="s">
        <v>2544</v>
      </c>
      <c r="O477" s="15" t="s">
        <v>2540</v>
      </c>
      <c r="P477" s="4" t="s">
        <v>2545</v>
      </c>
      <c r="S477" s="15" t="e" cm="1">
        <f t="array" aca="1" ref="S477" ca="1">COMMONMARKETCOUNT(H477:AV477)</f>
        <v>#NAME?</v>
      </c>
      <c r="T477" s="6" t="e" cm="1">
        <f t="array" aca="1" ref="T477" ca="1">AUTOMATEDCOUNT(H477:AV477)</f>
        <v>#NAME?</v>
      </c>
      <c r="V477" s="6" t="s">
        <v>109</v>
      </c>
      <c r="W477" s="6" t="s">
        <v>109</v>
      </c>
      <c r="X477" s="6" t="s">
        <v>109</v>
      </c>
      <c r="Y477" s="6" t="s">
        <v>109</v>
      </c>
      <c r="Z477" s="6" t="s">
        <v>109</v>
      </c>
      <c r="AA477" s="6" t="s">
        <v>109</v>
      </c>
      <c r="AB477" s="6" t="s">
        <v>109</v>
      </c>
      <c r="AC477" s="6" t="s">
        <v>109</v>
      </c>
      <c r="AD477" s="6" t="s">
        <v>109</v>
      </c>
      <c r="AE477" s="6" t="s">
        <v>109</v>
      </c>
      <c r="AF477" s="6" t="s">
        <v>19</v>
      </c>
      <c r="AG477" s="6" t="s">
        <v>19</v>
      </c>
      <c r="AH477" s="6" t="s">
        <v>19</v>
      </c>
      <c r="AI477" s="6" t="s">
        <v>19</v>
      </c>
      <c r="AJ477" s="6" t="s">
        <v>19</v>
      </c>
      <c r="AK477" s="6" t="s">
        <v>109</v>
      </c>
      <c r="AL477" s="6" t="s">
        <v>109</v>
      </c>
      <c r="AM477" s="6" t="s">
        <v>109</v>
      </c>
      <c r="AN477" s="6" t="s">
        <v>109</v>
      </c>
      <c r="AO477" s="6" t="s">
        <v>109</v>
      </c>
      <c r="AP477" s="6" t="s">
        <v>109</v>
      </c>
      <c r="AQ477" s="6" t="s">
        <v>109</v>
      </c>
      <c r="AR477" s="6" t="s">
        <v>109</v>
      </c>
      <c r="AS477" s="6" t="s">
        <v>109</v>
      </c>
      <c r="AT477" s="6" t="s">
        <v>109</v>
      </c>
      <c r="AU477" s="6" t="s">
        <v>109</v>
      </c>
      <c r="AV477" s="36"/>
    </row>
    <row r="478" spans="1:48" ht="43.5" hidden="1" customHeight="1" x14ac:dyDescent="0.3">
      <c r="A478" s="6" t="s">
        <v>705</v>
      </c>
      <c r="B478" s="18" t="s">
        <v>55</v>
      </c>
      <c r="C478" s="15" t="s">
        <v>2546</v>
      </c>
      <c r="D478" s="15" t="s">
        <v>109</v>
      </c>
      <c r="E478" s="6" t="s">
        <v>19</v>
      </c>
      <c r="F478" s="6" t="s">
        <v>19</v>
      </c>
      <c r="G478" s="6" t="s">
        <v>19</v>
      </c>
      <c r="H478" s="6" t="s">
        <v>19</v>
      </c>
      <c r="I478" s="6" t="s">
        <v>19</v>
      </c>
      <c r="J478" s="6" t="s">
        <v>19</v>
      </c>
      <c r="K478" s="6" t="s">
        <v>19</v>
      </c>
      <c r="L478" s="6" t="s">
        <v>19</v>
      </c>
      <c r="M478" s="15" t="s">
        <v>2547</v>
      </c>
      <c r="N478" s="4" t="s">
        <v>2548</v>
      </c>
      <c r="O478" s="15" t="s">
        <v>2540</v>
      </c>
      <c r="P478" s="4">
        <v>0</v>
      </c>
      <c r="S478" s="15" t="e" cm="1">
        <f t="array" aca="1" ref="S478" ca="1">COMMONMARKETCOUNT(H478:AV478)</f>
        <v>#NAME?</v>
      </c>
      <c r="T478" s="6" t="e" cm="1">
        <f t="array" aca="1" ref="T478" ca="1">AUTOMATEDCOUNT(H478:AV478)</f>
        <v>#NAME?</v>
      </c>
      <c r="V478" s="6" t="s">
        <v>19</v>
      </c>
      <c r="W478" s="6" t="s">
        <v>19</v>
      </c>
      <c r="X478" s="6" t="s">
        <v>19</v>
      </c>
      <c r="Y478" s="6" t="s">
        <v>19</v>
      </c>
      <c r="Z478" s="6" t="s">
        <v>19</v>
      </c>
      <c r="AA478" s="6" t="s">
        <v>19</v>
      </c>
      <c r="AB478" s="6" t="s">
        <v>19</v>
      </c>
      <c r="AC478" s="6" t="s">
        <v>19</v>
      </c>
      <c r="AD478" s="6" t="s">
        <v>19</v>
      </c>
      <c r="AE478" s="6" t="s">
        <v>19</v>
      </c>
      <c r="AF478" s="6" t="s">
        <v>19</v>
      </c>
      <c r="AG478" s="6" t="s">
        <v>19</v>
      </c>
      <c r="AH478" s="6" t="s">
        <v>19</v>
      </c>
      <c r="AI478" s="6" t="s">
        <v>19</v>
      </c>
      <c r="AJ478" s="6" t="s">
        <v>19</v>
      </c>
      <c r="AK478" s="6" t="s">
        <v>19</v>
      </c>
      <c r="AL478" s="6" t="s">
        <v>19</v>
      </c>
      <c r="AM478" s="6" t="s">
        <v>19</v>
      </c>
      <c r="AN478" s="6" t="s">
        <v>19</v>
      </c>
      <c r="AO478" s="6" t="s">
        <v>19</v>
      </c>
      <c r="AP478" s="6" t="s">
        <v>19</v>
      </c>
      <c r="AQ478" s="6" t="s">
        <v>19</v>
      </c>
      <c r="AR478" s="6" t="s">
        <v>19</v>
      </c>
      <c r="AS478" s="6" t="s">
        <v>19</v>
      </c>
      <c r="AT478" s="6" t="s">
        <v>19</v>
      </c>
      <c r="AU478" s="6" t="s">
        <v>3153</v>
      </c>
      <c r="AV478" s="36"/>
    </row>
    <row r="479" spans="1:48" ht="97.5" hidden="1" customHeight="1" x14ac:dyDescent="0.3">
      <c r="A479" s="6" t="s">
        <v>25</v>
      </c>
      <c r="B479" s="6" t="s">
        <v>2553</v>
      </c>
      <c r="C479" s="15" t="s">
        <v>2549</v>
      </c>
      <c r="D479" s="15" t="s">
        <v>109</v>
      </c>
      <c r="E479" s="6" t="s">
        <v>19</v>
      </c>
      <c r="F479" s="6" t="s">
        <v>19</v>
      </c>
      <c r="G479" s="6" t="s">
        <v>19</v>
      </c>
      <c r="H479" s="6" t="s">
        <v>19</v>
      </c>
      <c r="I479" s="6" t="s">
        <v>19</v>
      </c>
      <c r="J479" s="6" t="s">
        <v>19</v>
      </c>
      <c r="K479" s="6" t="s">
        <v>19</v>
      </c>
      <c r="L479" s="6" t="s">
        <v>19</v>
      </c>
      <c r="M479" s="15" t="s">
        <v>2550</v>
      </c>
      <c r="N479" s="4" t="s">
        <v>2551</v>
      </c>
      <c r="O479" s="15" t="s">
        <v>2540</v>
      </c>
      <c r="P479" s="4" t="s">
        <v>2552</v>
      </c>
      <c r="S479" s="15" t="e" cm="1">
        <f t="array" aca="1" ref="S479" ca="1">COMMONMARKETCOUNT(H479:AV479)</f>
        <v>#NAME?</v>
      </c>
      <c r="T479" s="6" t="e" cm="1">
        <f t="array" aca="1" ref="T479" ca="1">AUTOMATEDCOUNT(H479:AV479)</f>
        <v>#NAME?</v>
      </c>
      <c r="V479" s="6" t="s">
        <v>19</v>
      </c>
      <c r="W479" s="6" t="s">
        <v>19</v>
      </c>
      <c r="X479" s="6" t="s">
        <v>19</v>
      </c>
      <c r="Y479" s="6" t="s">
        <v>19</v>
      </c>
      <c r="Z479" s="6" t="s">
        <v>19</v>
      </c>
      <c r="AA479" s="6" t="s">
        <v>19</v>
      </c>
      <c r="AB479" s="6" t="s">
        <v>19</v>
      </c>
      <c r="AC479" s="6" t="s">
        <v>19</v>
      </c>
      <c r="AD479" s="6" t="s">
        <v>19</v>
      </c>
      <c r="AE479" s="6" t="s">
        <v>19</v>
      </c>
      <c r="AF479" s="6" t="s">
        <v>19</v>
      </c>
      <c r="AG479" s="6" t="s">
        <v>19</v>
      </c>
      <c r="AH479" s="6" t="s">
        <v>19</v>
      </c>
      <c r="AI479" s="6" t="s">
        <v>19</v>
      </c>
      <c r="AJ479" s="6" t="s">
        <v>19</v>
      </c>
      <c r="AK479" s="6" t="s">
        <v>19</v>
      </c>
      <c r="AL479" s="6" t="s">
        <v>19</v>
      </c>
      <c r="AM479" s="6" t="s">
        <v>19</v>
      </c>
      <c r="AN479" s="6" t="s">
        <v>19</v>
      </c>
      <c r="AO479" s="6" t="s">
        <v>19</v>
      </c>
      <c r="AP479" s="6" t="s">
        <v>19</v>
      </c>
      <c r="AQ479" s="6" t="s">
        <v>19</v>
      </c>
      <c r="AR479" s="6" t="s">
        <v>19</v>
      </c>
      <c r="AS479" s="6" t="s">
        <v>19</v>
      </c>
      <c r="AT479" s="6" t="s">
        <v>19</v>
      </c>
      <c r="AU479" s="6" t="s">
        <v>3153</v>
      </c>
      <c r="AV479" s="36"/>
    </row>
    <row r="480" spans="1:48" ht="124.5" hidden="1" customHeight="1" x14ac:dyDescent="0.3">
      <c r="A480" s="6" t="s">
        <v>18</v>
      </c>
      <c r="B480" s="6" t="s">
        <v>1298</v>
      </c>
      <c r="C480" s="15" t="s">
        <v>2554</v>
      </c>
      <c r="D480" s="15" t="s">
        <v>109</v>
      </c>
      <c r="E480" s="6" t="s">
        <v>109</v>
      </c>
      <c r="F480" s="6" t="s">
        <v>109</v>
      </c>
      <c r="G480" s="6" t="s">
        <v>109</v>
      </c>
      <c r="H480" s="6" t="s">
        <v>109</v>
      </c>
      <c r="I480" s="6" t="s">
        <v>109</v>
      </c>
      <c r="J480" s="6" t="s">
        <v>109</v>
      </c>
      <c r="K480" s="6" t="s">
        <v>19</v>
      </c>
      <c r="L480" s="6" t="s">
        <v>19</v>
      </c>
      <c r="M480" s="15" t="s">
        <v>2555</v>
      </c>
      <c r="N480" s="4" t="s">
        <v>2556</v>
      </c>
      <c r="O480" s="15" t="s">
        <v>2557</v>
      </c>
      <c r="P480" s="4" t="s">
        <v>2558</v>
      </c>
      <c r="S480" s="15" t="e" cm="1">
        <f t="array" aca="1" ref="S480" ca="1">COMMONMARKETCOUNT(H480:AV480)</f>
        <v>#NAME?</v>
      </c>
      <c r="T480" s="6" t="e" cm="1">
        <f t="array" aca="1" ref="T480" ca="1">AUTOMATEDCOUNT(H480:AV480)</f>
        <v>#NAME?</v>
      </c>
      <c r="V480" s="6" t="s">
        <v>19</v>
      </c>
      <c r="W480" s="6" t="s">
        <v>19</v>
      </c>
      <c r="X480" s="6" t="s">
        <v>109</v>
      </c>
      <c r="Y480" s="6" t="s">
        <v>109</v>
      </c>
      <c r="Z480" s="6" t="s">
        <v>109</v>
      </c>
      <c r="AA480" s="6" t="s">
        <v>109</v>
      </c>
      <c r="AB480" s="6" t="s">
        <v>109</v>
      </c>
      <c r="AC480" s="6" t="s">
        <v>109</v>
      </c>
      <c r="AD480" s="6" t="s">
        <v>109</v>
      </c>
      <c r="AE480" s="6" t="s">
        <v>109</v>
      </c>
      <c r="AF480" s="6" t="s">
        <v>19</v>
      </c>
      <c r="AG480" s="6" t="s">
        <v>19</v>
      </c>
      <c r="AH480" s="6" t="s">
        <v>19</v>
      </c>
      <c r="AI480" s="6" t="s">
        <v>19</v>
      </c>
      <c r="AJ480" s="6" t="s">
        <v>19</v>
      </c>
      <c r="AK480" s="6" t="s">
        <v>19</v>
      </c>
      <c r="AL480" s="6" t="s">
        <v>19</v>
      </c>
      <c r="AM480" s="6" t="s">
        <v>19</v>
      </c>
      <c r="AN480" s="6" t="s">
        <v>19</v>
      </c>
      <c r="AO480" s="6" t="s">
        <v>19</v>
      </c>
      <c r="AP480" s="6" t="s">
        <v>19</v>
      </c>
      <c r="AQ480" s="6" t="s">
        <v>19</v>
      </c>
      <c r="AR480" s="6" t="s">
        <v>19</v>
      </c>
      <c r="AS480" s="6" t="s">
        <v>19</v>
      </c>
      <c r="AT480" s="6" t="s">
        <v>19</v>
      </c>
      <c r="AU480" s="6" t="s">
        <v>109</v>
      </c>
      <c r="AV480" s="36"/>
    </row>
    <row r="481" spans="1:196" ht="66" hidden="1" customHeight="1" x14ac:dyDescent="0.3">
      <c r="A481" s="15" t="s">
        <v>56</v>
      </c>
      <c r="B481" s="15" t="s">
        <v>55</v>
      </c>
      <c r="C481" s="15" t="s">
        <v>582</v>
      </c>
      <c r="D481" s="15" t="s">
        <v>32</v>
      </c>
      <c r="E481" s="15" t="s">
        <v>19</v>
      </c>
      <c r="F481" s="15" t="s">
        <v>19</v>
      </c>
      <c r="G481" s="15" t="s">
        <v>19</v>
      </c>
      <c r="H481" s="15" t="s">
        <v>19</v>
      </c>
      <c r="I481" s="15" t="s">
        <v>19</v>
      </c>
      <c r="J481" s="15" t="s">
        <v>19</v>
      </c>
      <c r="K481" s="15" t="s">
        <v>19</v>
      </c>
      <c r="L481" s="15" t="s">
        <v>19</v>
      </c>
      <c r="M481" s="15" t="s">
        <v>583</v>
      </c>
      <c r="N481" s="4" t="s">
        <v>1256</v>
      </c>
      <c r="O481" s="15"/>
      <c r="P481" s="4" t="s">
        <v>584</v>
      </c>
      <c r="S481" s="15" t="e" cm="1">
        <f t="array" aca="1" ref="S481" ca="1">COMMONMARKETCOUNT(H481:AV481)</f>
        <v>#NAME?</v>
      </c>
      <c r="T481" s="6" t="e" cm="1">
        <f t="array" aca="1" ref="T481" ca="1">AUTOMATEDCOUNT(H481:AV481)</f>
        <v>#NAME?</v>
      </c>
      <c r="V481" s="15" t="s">
        <v>109</v>
      </c>
      <c r="W481" s="15" t="s">
        <v>19</v>
      </c>
      <c r="X481" s="15" t="s">
        <v>19</v>
      </c>
      <c r="Y481" s="15" t="s">
        <v>19</v>
      </c>
      <c r="Z481" s="15" t="s">
        <v>19</v>
      </c>
      <c r="AA481" s="15" t="s">
        <v>19</v>
      </c>
      <c r="AB481" s="15" t="s">
        <v>19</v>
      </c>
      <c r="AC481" s="15" t="s">
        <v>19</v>
      </c>
      <c r="AD481" s="6" t="s">
        <v>19</v>
      </c>
      <c r="AE481" s="6" t="s">
        <v>19</v>
      </c>
      <c r="AF481" s="15" t="s">
        <v>19</v>
      </c>
      <c r="AG481" s="15" t="s">
        <v>19</v>
      </c>
      <c r="AH481" s="15" t="s">
        <v>19</v>
      </c>
      <c r="AI481" s="15" t="s">
        <v>19</v>
      </c>
      <c r="AJ481" s="15" t="s">
        <v>19</v>
      </c>
      <c r="AK481" s="15" t="s">
        <v>19</v>
      </c>
      <c r="AL481" s="15" t="s">
        <v>19</v>
      </c>
      <c r="AM481" s="18" t="s">
        <v>19</v>
      </c>
      <c r="AN481" s="18" t="s">
        <v>19</v>
      </c>
      <c r="AO481" s="18" t="s">
        <v>19</v>
      </c>
      <c r="AP481" s="15" t="s">
        <v>19</v>
      </c>
      <c r="AQ481" s="15" t="s">
        <v>19</v>
      </c>
      <c r="AR481" s="15" t="s">
        <v>19</v>
      </c>
      <c r="AS481" s="15" t="s">
        <v>19</v>
      </c>
      <c r="AT481" s="15" t="s">
        <v>19</v>
      </c>
      <c r="AU481" s="15" t="s">
        <v>3153</v>
      </c>
      <c r="AV481" s="36" t="s">
        <v>19</v>
      </c>
    </row>
    <row r="482" spans="1:196" ht="66" hidden="1" customHeight="1" x14ac:dyDescent="0.3">
      <c r="A482" s="6" t="s">
        <v>18</v>
      </c>
      <c r="B482" s="6" t="s">
        <v>1298</v>
      </c>
      <c r="C482" s="15" t="s">
        <v>2559</v>
      </c>
      <c r="D482" s="15" t="s">
        <v>109</v>
      </c>
      <c r="E482" s="6" t="s">
        <v>109</v>
      </c>
      <c r="F482" s="6" t="s">
        <v>109</v>
      </c>
      <c r="G482" s="6" t="s">
        <v>109</v>
      </c>
      <c r="H482" s="6" t="s">
        <v>109</v>
      </c>
      <c r="I482" s="6" t="s">
        <v>109</v>
      </c>
      <c r="J482" s="6" t="s">
        <v>109</v>
      </c>
      <c r="K482" s="6" t="s">
        <v>19</v>
      </c>
      <c r="L482" s="6" t="s">
        <v>19</v>
      </c>
      <c r="M482" s="15" t="s">
        <v>2560</v>
      </c>
      <c r="N482" s="4" t="s">
        <v>2561</v>
      </c>
      <c r="O482" s="15" t="s">
        <v>2557</v>
      </c>
      <c r="P482" s="4" t="s">
        <v>2562</v>
      </c>
      <c r="S482" s="15" t="e" cm="1">
        <f t="array" aca="1" ref="S482" ca="1">COMMONMARKETCOUNT(H482:AV482)</f>
        <v>#NAME?</v>
      </c>
      <c r="T482" s="6" t="e" cm="1">
        <f t="array" aca="1" ref="T482" ca="1">AUTOMATEDCOUNT(H482:AV482)</f>
        <v>#NAME?</v>
      </c>
      <c r="V482" s="6" t="s">
        <v>19</v>
      </c>
      <c r="W482" s="6" t="s">
        <v>19</v>
      </c>
      <c r="X482" s="6" t="s">
        <v>109</v>
      </c>
      <c r="Y482" s="6" t="s">
        <v>109</v>
      </c>
      <c r="Z482" s="6" t="s">
        <v>109</v>
      </c>
      <c r="AA482" s="6" t="s">
        <v>109</v>
      </c>
      <c r="AB482" s="6" t="s">
        <v>109</v>
      </c>
      <c r="AC482" s="6" t="s">
        <v>109</v>
      </c>
      <c r="AD482" s="6" t="s">
        <v>109</v>
      </c>
      <c r="AE482" s="6" t="s">
        <v>109</v>
      </c>
      <c r="AF482" s="6" t="s">
        <v>19</v>
      </c>
      <c r="AG482" s="6" t="s">
        <v>19</v>
      </c>
      <c r="AH482" s="6" t="s">
        <v>19</v>
      </c>
      <c r="AI482" s="6" t="s">
        <v>19</v>
      </c>
      <c r="AJ482" s="6" t="s">
        <v>19</v>
      </c>
      <c r="AK482" s="6" t="s">
        <v>19</v>
      </c>
      <c r="AL482" s="6" t="s">
        <v>19</v>
      </c>
      <c r="AM482" s="6" t="s">
        <v>19</v>
      </c>
      <c r="AN482" s="6" t="s">
        <v>19</v>
      </c>
      <c r="AO482" s="6" t="s">
        <v>19</v>
      </c>
      <c r="AP482" s="6" t="s">
        <v>19</v>
      </c>
      <c r="AQ482" s="6" t="s">
        <v>19</v>
      </c>
      <c r="AR482" s="6" t="s">
        <v>19</v>
      </c>
      <c r="AS482" s="6" t="s">
        <v>19</v>
      </c>
      <c r="AT482" s="6" t="s">
        <v>19</v>
      </c>
      <c r="AU482" s="6" t="s">
        <v>109</v>
      </c>
      <c r="AV482" s="36"/>
    </row>
    <row r="483" spans="1:196" ht="105" hidden="1" customHeight="1" x14ac:dyDescent="0.3">
      <c r="A483" s="6" t="s">
        <v>705</v>
      </c>
      <c r="B483" s="6" t="s">
        <v>1309</v>
      </c>
      <c r="C483" s="15" t="s">
        <v>2563</v>
      </c>
      <c r="D483" s="15" t="s">
        <v>109</v>
      </c>
      <c r="E483" s="6" t="s">
        <v>109</v>
      </c>
      <c r="F483" s="6" t="s">
        <v>109</v>
      </c>
      <c r="G483" s="6" t="s">
        <v>109</v>
      </c>
      <c r="H483" s="6" t="s">
        <v>109</v>
      </c>
      <c r="I483" s="6" t="s">
        <v>109</v>
      </c>
      <c r="J483" s="6" t="s">
        <v>109</v>
      </c>
      <c r="K483" s="6" t="s">
        <v>19</v>
      </c>
      <c r="L483" s="6" t="s">
        <v>19</v>
      </c>
      <c r="M483" s="15" t="s">
        <v>2564</v>
      </c>
      <c r="N483" s="4" t="s">
        <v>2565</v>
      </c>
      <c r="O483" s="15" t="s">
        <v>2304</v>
      </c>
      <c r="P483" s="4" t="s">
        <v>2566</v>
      </c>
      <c r="S483" s="15" t="e" cm="1">
        <f t="array" aca="1" ref="S483" ca="1">COMMONMARKETCOUNT(H483:AV483)</f>
        <v>#NAME?</v>
      </c>
      <c r="T483" s="6" t="e" cm="1">
        <f t="array" aca="1" ref="T483" ca="1">AUTOMATEDCOUNT(H483:AV483)</f>
        <v>#NAME?</v>
      </c>
      <c r="V483" s="6" t="s">
        <v>109</v>
      </c>
      <c r="W483" s="6" t="s">
        <v>109</v>
      </c>
      <c r="X483" s="6" t="s">
        <v>109</v>
      </c>
      <c r="Y483" s="6" t="s">
        <v>109</v>
      </c>
      <c r="Z483" s="6" t="s">
        <v>109</v>
      </c>
      <c r="AA483" s="6" t="s">
        <v>109</v>
      </c>
      <c r="AB483" s="6" t="s">
        <v>109</v>
      </c>
      <c r="AC483" s="6" t="s">
        <v>109</v>
      </c>
      <c r="AD483" s="6" t="s">
        <v>109</v>
      </c>
      <c r="AE483" s="6" t="s">
        <v>109</v>
      </c>
      <c r="AF483" s="6" t="s">
        <v>19</v>
      </c>
      <c r="AG483" s="6" t="s">
        <v>19</v>
      </c>
      <c r="AH483" s="6" t="s">
        <v>109</v>
      </c>
      <c r="AI483" s="6" t="s">
        <v>109</v>
      </c>
      <c r="AJ483" s="6" t="s">
        <v>109</v>
      </c>
      <c r="AK483" s="6" t="s">
        <v>109</v>
      </c>
      <c r="AL483" s="6" t="s">
        <v>109</v>
      </c>
      <c r="AM483" s="6" t="s">
        <v>109</v>
      </c>
      <c r="AN483" s="6" t="s">
        <v>109</v>
      </c>
      <c r="AO483" s="6" t="s">
        <v>109</v>
      </c>
      <c r="AP483" s="6" t="s">
        <v>109</v>
      </c>
      <c r="AQ483" s="6" t="s">
        <v>109</v>
      </c>
      <c r="AR483" s="6" t="s">
        <v>109</v>
      </c>
      <c r="AS483" s="6" t="s">
        <v>109</v>
      </c>
      <c r="AT483" s="6" t="s">
        <v>109</v>
      </c>
      <c r="AU483" s="6" t="s">
        <v>109</v>
      </c>
      <c r="AV483" s="36"/>
    </row>
    <row r="484" spans="1:196" ht="77.25" hidden="1" customHeight="1" x14ac:dyDescent="0.3">
      <c r="A484" s="15" t="s">
        <v>56</v>
      </c>
      <c r="B484" s="6" t="s">
        <v>1124</v>
      </c>
      <c r="C484" s="15" t="s">
        <v>2567</v>
      </c>
      <c r="D484" s="15" t="s">
        <v>109</v>
      </c>
      <c r="E484" s="6" t="s">
        <v>109</v>
      </c>
      <c r="F484" s="6" t="s">
        <v>109</v>
      </c>
      <c r="G484" s="6" t="s">
        <v>109</v>
      </c>
      <c r="H484" s="6" t="s">
        <v>109</v>
      </c>
      <c r="I484" s="6" t="s">
        <v>109</v>
      </c>
      <c r="J484" s="6" t="s">
        <v>109</v>
      </c>
      <c r="K484" s="6" t="s">
        <v>109</v>
      </c>
      <c r="L484" s="6" t="s">
        <v>109</v>
      </c>
      <c r="M484" s="15" t="s">
        <v>2568</v>
      </c>
      <c r="N484" s="4" t="s">
        <v>2569</v>
      </c>
      <c r="O484" s="15" t="s">
        <v>2304</v>
      </c>
      <c r="P484" s="4" t="s">
        <v>2570</v>
      </c>
      <c r="S484" s="15" t="e" cm="1">
        <f t="array" aca="1" ref="S484" ca="1">COMMONMARKETCOUNT(H484:AV484)</f>
        <v>#NAME?</v>
      </c>
      <c r="T484" s="6" t="e" cm="1">
        <f t="array" aca="1" ref="T484" ca="1">AUTOMATEDCOUNT(H484:AV484)</f>
        <v>#NAME?</v>
      </c>
      <c r="V484" s="6" t="s">
        <v>109</v>
      </c>
      <c r="W484" s="6" t="s">
        <v>109</v>
      </c>
      <c r="X484" s="6" t="s">
        <v>109</v>
      </c>
      <c r="Y484" s="6" t="s">
        <v>109</v>
      </c>
      <c r="Z484" s="6" t="s">
        <v>109</v>
      </c>
      <c r="AA484" s="6" t="s">
        <v>109</v>
      </c>
      <c r="AB484" s="6" t="s">
        <v>109</v>
      </c>
      <c r="AC484" s="6" t="s">
        <v>109</v>
      </c>
      <c r="AD484" s="6" t="s">
        <v>109</v>
      </c>
      <c r="AE484" s="6" t="s">
        <v>109</v>
      </c>
      <c r="AF484" s="6" t="s">
        <v>109</v>
      </c>
      <c r="AG484" s="6" t="s">
        <v>109</v>
      </c>
      <c r="AH484" s="6" t="s">
        <v>109</v>
      </c>
      <c r="AI484" s="6" t="s">
        <v>109</v>
      </c>
      <c r="AJ484" s="6" t="s">
        <v>109</v>
      </c>
      <c r="AK484" s="6" t="s">
        <v>109</v>
      </c>
      <c r="AL484" s="6" t="s">
        <v>109</v>
      </c>
      <c r="AM484" s="6" t="s">
        <v>109</v>
      </c>
      <c r="AN484" s="6" t="s">
        <v>109</v>
      </c>
      <c r="AO484" s="6" t="s">
        <v>109</v>
      </c>
      <c r="AP484" s="6" t="s">
        <v>109</v>
      </c>
      <c r="AQ484" s="6" t="s">
        <v>109</v>
      </c>
      <c r="AR484" s="6" t="s">
        <v>19</v>
      </c>
      <c r="AS484" s="6" t="s">
        <v>19</v>
      </c>
      <c r="AT484" s="6" t="s">
        <v>19</v>
      </c>
      <c r="AU484" s="6" t="s">
        <v>109</v>
      </c>
      <c r="AV484" s="36"/>
    </row>
    <row r="485" spans="1:196" ht="66" hidden="1" customHeight="1" x14ac:dyDescent="0.3">
      <c r="A485" s="6" t="s">
        <v>2575</v>
      </c>
      <c r="B485" s="6" t="s">
        <v>1298</v>
      </c>
      <c r="C485" s="15" t="s">
        <v>2571</v>
      </c>
      <c r="D485" s="15" t="s">
        <v>32</v>
      </c>
      <c r="E485" s="6" t="s">
        <v>109</v>
      </c>
      <c r="F485" s="6" t="s">
        <v>109</v>
      </c>
      <c r="G485" s="6" t="s">
        <v>109</v>
      </c>
      <c r="H485" s="6" t="s">
        <v>109</v>
      </c>
      <c r="I485" s="6" t="s">
        <v>109</v>
      </c>
      <c r="J485" s="6" t="s">
        <v>109</v>
      </c>
      <c r="K485" s="6" t="s">
        <v>109</v>
      </c>
      <c r="L485" s="6" t="s">
        <v>109</v>
      </c>
      <c r="M485" s="15" t="s">
        <v>2572</v>
      </c>
      <c r="N485" s="4" t="s">
        <v>2573</v>
      </c>
      <c r="O485" s="15" t="s">
        <v>2304</v>
      </c>
      <c r="P485" s="4" t="s">
        <v>2574</v>
      </c>
      <c r="S485" s="15" t="e" cm="1">
        <f t="array" aca="1" ref="S485" ca="1">COMMONMARKETCOUNT(H485:AV485)</f>
        <v>#NAME?</v>
      </c>
      <c r="T485" s="6" t="e" cm="1">
        <f t="array" aca="1" ref="T485" ca="1">AUTOMATEDCOUNT(H485:AV485)</f>
        <v>#NAME?</v>
      </c>
      <c r="V485" s="6" t="s">
        <v>109</v>
      </c>
      <c r="W485" s="6" t="s">
        <v>109</v>
      </c>
      <c r="X485" s="6" t="s">
        <v>109</v>
      </c>
      <c r="Y485" s="6" t="s">
        <v>109</v>
      </c>
      <c r="Z485" s="6" t="s">
        <v>109</v>
      </c>
      <c r="AA485" s="6" t="s">
        <v>109</v>
      </c>
      <c r="AB485" s="6" t="s">
        <v>109</v>
      </c>
      <c r="AC485" s="6" t="s">
        <v>109</v>
      </c>
      <c r="AD485" s="6" t="s">
        <v>109</v>
      </c>
      <c r="AE485" s="6" t="s">
        <v>109</v>
      </c>
      <c r="AF485" s="6" t="s">
        <v>109</v>
      </c>
      <c r="AG485" s="6" t="s">
        <v>109</v>
      </c>
      <c r="AH485" s="6" t="s">
        <v>109</v>
      </c>
      <c r="AI485" s="6" t="s">
        <v>109</v>
      </c>
      <c r="AJ485" s="6" t="s">
        <v>109</v>
      </c>
      <c r="AK485" s="6" t="s">
        <v>109</v>
      </c>
      <c r="AL485" s="6" t="s">
        <v>109</v>
      </c>
      <c r="AM485" s="6" t="s">
        <v>109</v>
      </c>
      <c r="AN485" s="6" t="s">
        <v>109</v>
      </c>
      <c r="AO485" s="6" t="s">
        <v>109</v>
      </c>
      <c r="AP485" s="6" t="s">
        <v>109</v>
      </c>
      <c r="AQ485" s="6" t="s">
        <v>109</v>
      </c>
      <c r="AR485" s="6" t="s">
        <v>109</v>
      </c>
      <c r="AS485" s="6" t="s">
        <v>109</v>
      </c>
      <c r="AT485" s="6" t="s">
        <v>109</v>
      </c>
      <c r="AU485" s="6" t="s">
        <v>3153</v>
      </c>
      <c r="AV485" s="36"/>
    </row>
    <row r="486" spans="1:196" ht="66" hidden="1" customHeight="1" x14ac:dyDescent="0.3">
      <c r="A486" s="6" t="s">
        <v>2575</v>
      </c>
      <c r="B486" s="6" t="s">
        <v>1298</v>
      </c>
      <c r="C486" s="15" t="s">
        <v>2576</v>
      </c>
      <c r="D486" s="15" t="s">
        <v>109</v>
      </c>
      <c r="E486" s="6" t="s">
        <v>109</v>
      </c>
      <c r="F486" s="6" t="s">
        <v>109</v>
      </c>
      <c r="G486" s="6" t="s">
        <v>109</v>
      </c>
      <c r="H486" s="6" t="s">
        <v>109</v>
      </c>
      <c r="I486" s="6" t="s">
        <v>109</v>
      </c>
      <c r="J486" s="6" t="s">
        <v>109</v>
      </c>
      <c r="K486" s="6" t="s">
        <v>109</v>
      </c>
      <c r="L486" s="6" t="s">
        <v>109</v>
      </c>
      <c r="M486" s="15" t="s">
        <v>2577</v>
      </c>
      <c r="N486" s="4" t="s">
        <v>2578</v>
      </c>
      <c r="O486" s="15" t="s">
        <v>2421</v>
      </c>
      <c r="P486" s="4" t="s">
        <v>2579</v>
      </c>
      <c r="S486" s="15" t="e" cm="1">
        <f t="array" aca="1" ref="S486" ca="1">COMMONMARKETCOUNT(H486:AV486)</f>
        <v>#NAME?</v>
      </c>
      <c r="T486" s="6" t="e" cm="1">
        <f t="array" aca="1" ref="T486" ca="1">AUTOMATEDCOUNT(H486:AV486)</f>
        <v>#NAME?</v>
      </c>
      <c r="V486" s="6" t="s">
        <v>109</v>
      </c>
      <c r="W486" s="6" t="s">
        <v>109</v>
      </c>
      <c r="X486" s="6" t="s">
        <v>109</v>
      </c>
      <c r="Y486" s="6" t="s">
        <v>109</v>
      </c>
      <c r="Z486" s="6" t="s">
        <v>109</v>
      </c>
      <c r="AA486" s="6" t="s">
        <v>109</v>
      </c>
      <c r="AB486" s="6" t="s">
        <v>109</v>
      </c>
      <c r="AC486" s="6" t="s">
        <v>109</v>
      </c>
      <c r="AD486" s="6" t="s">
        <v>109</v>
      </c>
      <c r="AE486" s="6" t="s">
        <v>109</v>
      </c>
      <c r="AF486" s="6" t="s">
        <v>109</v>
      </c>
      <c r="AG486" s="6" t="s">
        <v>109</v>
      </c>
      <c r="AH486" s="6" t="s">
        <v>109</v>
      </c>
      <c r="AI486" s="6" t="s">
        <v>109</v>
      </c>
      <c r="AJ486" s="6" t="s">
        <v>109</v>
      </c>
      <c r="AK486" s="6" t="s">
        <v>109</v>
      </c>
      <c r="AL486" s="6" t="s">
        <v>109</v>
      </c>
      <c r="AM486" s="6" t="s">
        <v>109</v>
      </c>
      <c r="AN486" s="6" t="s">
        <v>109</v>
      </c>
      <c r="AO486" s="6" t="s">
        <v>109</v>
      </c>
      <c r="AP486" s="6" t="s">
        <v>109</v>
      </c>
      <c r="AQ486" s="6" t="s">
        <v>109</v>
      </c>
      <c r="AR486" s="6" t="s">
        <v>109</v>
      </c>
      <c r="AS486" s="6" t="s">
        <v>109</v>
      </c>
      <c r="AT486" s="6" t="s">
        <v>109</v>
      </c>
      <c r="AU486" s="6" t="s">
        <v>3153</v>
      </c>
      <c r="AV486" s="36"/>
      <c r="AW486" s="5"/>
      <c r="AX486" s="5"/>
      <c r="AY486" s="5"/>
      <c r="AZ486" s="5"/>
      <c r="BA486" s="5"/>
      <c r="BB486" s="5"/>
      <c r="BC486" s="5"/>
      <c r="BD486" s="5"/>
      <c r="BE486" s="5"/>
      <c r="BF486" s="5"/>
      <c r="BG486" s="5"/>
      <c r="BH486" s="5"/>
      <c r="BI486" s="5"/>
      <c r="BJ486" s="5"/>
      <c r="BK486" s="5"/>
      <c r="BL486" s="5"/>
      <c r="BM486" s="5"/>
      <c r="BN486" s="5"/>
      <c r="BO486" s="5"/>
      <c r="BP486" s="5"/>
      <c r="BQ486" s="5"/>
      <c r="BR486" s="5"/>
      <c r="BS486" s="5"/>
      <c r="BT486" s="5"/>
      <c r="BU486" s="5"/>
      <c r="BV486" s="5"/>
      <c r="BW486" s="5"/>
      <c r="BX486" s="5"/>
      <c r="BY486" s="5"/>
      <c r="BZ486" s="5"/>
      <c r="CA486" s="5"/>
      <c r="CB486" s="5"/>
      <c r="CC486" s="5"/>
      <c r="CD486" s="5"/>
      <c r="CE486" s="5"/>
      <c r="CF486" s="5"/>
      <c r="CG486" s="5"/>
      <c r="CH486" s="5"/>
      <c r="CI486" s="5"/>
      <c r="CJ486" s="5"/>
      <c r="CK486" s="5"/>
      <c r="CL486" s="5"/>
      <c r="CM486" s="5"/>
      <c r="CN486" s="5"/>
      <c r="CO486" s="5"/>
      <c r="CP486" s="5"/>
      <c r="CQ486" s="5"/>
      <c r="CR486" s="5"/>
      <c r="CS486" s="5"/>
      <c r="CT486" s="5"/>
      <c r="CU486" s="5"/>
      <c r="CV486" s="5"/>
      <c r="CW486" s="5"/>
      <c r="CX486" s="5"/>
      <c r="CY486" s="5"/>
      <c r="CZ486" s="5"/>
      <c r="DA486" s="5"/>
      <c r="DB486" s="5"/>
      <c r="DC486" s="5"/>
      <c r="DD486" s="5"/>
      <c r="DE486" s="5"/>
      <c r="DF486" s="5"/>
      <c r="DG486" s="5"/>
      <c r="DH486" s="5"/>
      <c r="DI486" s="5"/>
      <c r="DJ486" s="5"/>
      <c r="DK486" s="5"/>
      <c r="DL486" s="5"/>
      <c r="DM486" s="5"/>
      <c r="DN486" s="5"/>
      <c r="DO486" s="5"/>
      <c r="DP486" s="5"/>
      <c r="DQ486" s="5"/>
      <c r="DR486" s="5"/>
      <c r="DS486" s="5"/>
      <c r="DT486" s="5"/>
      <c r="DU486" s="5"/>
      <c r="DV486" s="5"/>
      <c r="DW486" s="5"/>
      <c r="DX486" s="5"/>
      <c r="DY486" s="5"/>
      <c r="DZ486" s="5"/>
      <c r="EA486" s="5"/>
      <c r="EB486" s="5"/>
      <c r="EC486" s="5"/>
      <c r="ED486" s="5"/>
      <c r="EE486" s="5"/>
      <c r="EF486" s="5"/>
      <c r="EG486" s="5"/>
      <c r="EH486" s="5"/>
      <c r="EI486" s="5"/>
      <c r="EJ486" s="5"/>
      <c r="EK486" s="5"/>
      <c r="EL486" s="5"/>
      <c r="EM486" s="5"/>
      <c r="EN486" s="5"/>
      <c r="EO486" s="5"/>
      <c r="EP486" s="5"/>
      <c r="EQ486" s="5"/>
      <c r="ER486" s="5"/>
      <c r="ES486" s="5"/>
      <c r="ET486" s="5"/>
      <c r="EU486" s="5"/>
      <c r="EV486" s="5"/>
      <c r="EW486" s="5"/>
      <c r="EX486" s="5"/>
      <c r="EY486" s="5"/>
      <c r="EZ486" s="5"/>
      <c r="FA486" s="5"/>
      <c r="FB486" s="5"/>
      <c r="FC486" s="5"/>
      <c r="FD486" s="5"/>
      <c r="FE486" s="5"/>
      <c r="FF486" s="5"/>
      <c r="FG486" s="5"/>
      <c r="FH486" s="5"/>
      <c r="FI486" s="5"/>
      <c r="FJ486" s="5"/>
      <c r="FK486" s="5"/>
      <c r="FL486" s="5"/>
      <c r="FM486" s="5"/>
      <c r="FN486" s="5"/>
      <c r="FO486" s="5"/>
      <c r="FP486" s="5"/>
      <c r="FQ486" s="5"/>
      <c r="FR486" s="5"/>
      <c r="FS486" s="5"/>
      <c r="FT486" s="5"/>
      <c r="FU486" s="5"/>
      <c r="FV486" s="5"/>
      <c r="FW486" s="5"/>
      <c r="FX486" s="5"/>
      <c r="FY486" s="5"/>
      <c r="FZ486" s="5"/>
      <c r="GA486" s="5"/>
      <c r="GB486" s="5"/>
      <c r="GC486" s="5"/>
      <c r="GD486" s="5"/>
      <c r="GE486" s="5"/>
      <c r="GF486" s="5"/>
      <c r="GG486" s="5"/>
      <c r="GH486" s="5"/>
      <c r="GI486" s="5"/>
      <c r="GJ486" s="5"/>
      <c r="GK486" s="5"/>
      <c r="GL486" s="5"/>
      <c r="GM486" s="5"/>
      <c r="GN486" s="5"/>
    </row>
    <row r="487" spans="1:196" ht="89.25" hidden="1" customHeight="1" x14ac:dyDescent="0.3">
      <c r="A487" s="6" t="s">
        <v>705</v>
      </c>
      <c r="B487" s="6" t="s">
        <v>1309</v>
      </c>
      <c r="C487" s="15" t="s">
        <v>2580</v>
      </c>
      <c r="D487" s="15" t="s">
        <v>32</v>
      </c>
      <c r="E487" s="6" t="s">
        <v>19</v>
      </c>
      <c r="F487" s="6" t="s">
        <v>19</v>
      </c>
      <c r="G487" s="6" t="s">
        <v>19</v>
      </c>
      <c r="H487" s="6" t="s">
        <v>19</v>
      </c>
      <c r="I487" s="6" t="s">
        <v>19</v>
      </c>
      <c r="J487" s="6" t="s">
        <v>19</v>
      </c>
      <c r="K487" s="6" t="s">
        <v>19</v>
      </c>
      <c r="L487" s="6" t="s">
        <v>19</v>
      </c>
      <c r="M487" s="15" t="s">
        <v>2581</v>
      </c>
      <c r="N487" s="4" t="s">
        <v>2582</v>
      </c>
      <c r="O487" s="15" t="s">
        <v>2421</v>
      </c>
      <c r="P487" s="4" t="s">
        <v>2583</v>
      </c>
      <c r="S487" s="15" t="e" cm="1">
        <f t="array" aca="1" ref="S487" ca="1">COMMONMARKETCOUNT(H487:AV487)</f>
        <v>#NAME?</v>
      </c>
      <c r="T487" s="6" t="e" cm="1">
        <f t="array" aca="1" ref="T487" ca="1">AUTOMATEDCOUNT(H487:AV487)</f>
        <v>#NAME?</v>
      </c>
      <c r="V487" s="6" t="s">
        <v>19</v>
      </c>
      <c r="W487" s="6" t="s">
        <v>19</v>
      </c>
      <c r="X487" s="6" t="s">
        <v>19</v>
      </c>
      <c r="Y487" s="6" t="s">
        <v>19</v>
      </c>
      <c r="Z487" s="6" t="s">
        <v>19</v>
      </c>
      <c r="AA487" s="6" t="s">
        <v>19</v>
      </c>
      <c r="AB487" s="6" t="s">
        <v>19</v>
      </c>
      <c r="AC487" s="6" t="s">
        <v>19</v>
      </c>
      <c r="AD487" s="6" t="s">
        <v>19</v>
      </c>
      <c r="AE487" s="6" t="s">
        <v>19</v>
      </c>
      <c r="AF487" s="6" t="s">
        <v>19</v>
      </c>
      <c r="AG487" s="6" t="s">
        <v>19</v>
      </c>
      <c r="AH487" s="6" t="s">
        <v>19</v>
      </c>
      <c r="AI487" s="6" t="s">
        <v>19</v>
      </c>
      <c r="AJ487" s="6" t="s">
        <v>19</v>
      </c>
      <c r="AK487" s="6" t="s">
        <v>19</v>
      </c>
      <c r="AL487" s="6" t="s">
        <v>19</v>
      </c>
      <c r="AM487" s="6" t="s">
        <v>19</v>
      </c>
      <c r="AN487" s="6" t="s">
        <v>19</v>
      </c>
      <c r="AO487" s="6" t="s">
        <v>19</v>
      </c>
      <c r="AP487" s="6" t="s">
        <v>19</v>
      </c>
      <c r="AQ487" s="6" t="s">
        <v>19</v>
      </c>
      <c r="AR487" s="6" t="s">
        <v>19</v>
      </c>
      <c r="AS487" s="6" t="s">
        <v>19</v>
      </c>
      <c r="AT487" s="6" t="s">
        <v>19</v>
      </c>
      <c r="AU487" s="6" t="s">
        <v>3153</v>
      </c>
      <c r="AV487" s="36"/>
      <c r="AW487" s="5"/>
      <c r="AX487" s="5"/>
      <c r="AY487" s="5"/>
      <c r="AZ487" s="5"/>
      <c r="BA487" s="5"/>
      <c r="BB487" s="5"/>
      <c r="BC487" s="5"/>
      <c r="BD487" s="5"/>
      <c r="BE487" s="5"/>
      <c r="BF487" s="5"/>
      <c r="BG487" s="5"/>
      <c r="BH487" s="5"/>
      <c r="BI487" s="5"/>
      <c r="BJ487" s="5"/>
      <c r="BK487" s="5"/>
      <c r="BL487" s="5"/>
      <c r="BM487" s="5"/>
      <c r="BN487" s="5"/>
      <c r="BO487" s="5"/>
      <c r="BP487" s="5"/>
      <c r="BQ487" s="5"/>
      <c r="BR487" s="5"/>
      <c r="BS487" s="5"/>
      <c r="BT487" s="5"/>
      <c r="BU487" s="5"/>
      <c r="BV487" s="5"/>
      <c r="BW487" s="5"/>
      <c r="BX487" s="5"/>
      <c r="BY487" s="5"/>
      <c r="BZ487" s="5"/>
      <c r="CA487" s="5"/>
      <c r="CB487" s="5"/>
      <c r="CC487" s="5"/>
      <c r="CD487" s="5"/>
      <c r="CE487" s="5"/>
      <c r="CF487" s="5"/>
      <c r="CG487" s="5"/>
      <c r="CH487" s="5"/>
      <c r="CI487" s="5"/>
      <c r="CJ487" s="5"/>
      <c r="CK487" s="5"/>
      <c r="CL487" s="5"/>
      <c r="CM487" s="5"/>
      <c r="CN487" s="5"/>
      <c r="CO487" s="5"/>
      <c r="CP487" s="5"/>
      <c r="CQ487" s="5"/>
      <c r="CR487" s="5"/>
      <c r="CS487" s="5"/>
      <c r="CT487" s="5"/>
      <c r="CU487" s="5"/>
      <c r="CV487" s="5"/>
      <c r="CW487" s="5"/>
      <c r="CX487" s="5"/>
      <c r="CY487" s="5"/>
      <c r="CZ487" s="5"/>
      <c r="DA487" s="5"/>
      <c r="DB487" s="5"/>
      <c r="DC487" s="5"/>
      <c r="DD487" s="5"/>
      <c r="DE487" s="5"/>
      <c r="DF487" s="5"/>
      <c r="DG487" s="5"/>
      <c r="DH487" s="5"/>
      <c r="DI487" s="5"/>
      <c r="DJ487" s="5"/>
      <c r="DK487" s="5"/>
      <c r="DL487" s="5"/>
      <c r="DM487" s="5"/>
      <c r="DN487" s="5"/>
      <c r="DO487" s="5"/>
      <c r="DP487" s="5"/>
      <c r="DQ487" s="5"/>
      <c r="DR487" s="5"/>
      <c r="DS487" s="5"/>
      <c r="DT487" s="5"/>
      <c r="DU487" s="5"/>
      <c r="DV487" s="5"/>
      <c r="DW487" s="5"/>
      <c r="DX487" s="5"/>
      <c r="DY487" s="5"/>
      <c r="DZ487" s="5"/>
      <c r="EA487" s="5"/>
      <c r="EB487" s="5"/>
      <c r="EC487" s="5"/>
      <c r="ED487" s="5"/>
      <c r="EE487" s="5"/>
      <c r="EF487" s="5"/>
      <c r="EG487" s="5"/>
      <c r="EH487" s="5"/>
      <c r="EI487" s="5"/>
      <c r="EJ487" s="5"/>
      <c r="EK487" s="5"/>
      <c r="EL487" s="5"/>
      <c r="EM487" s="5"/>
      <c r="EN487" s="5"/>
      <c r="EO487" s="5"/>
      <c r="EP487" s="5"/>
      <c r="EQ487" s="5"/>
      <c r="ER487" s="5"/>
      <c r="ES487" s="5"/>
      <c r="ET487" s="5"/>
      <c r="EU487" s="5"/>
      <c r="EV487" s="5"/>
      <c r="EW487" s="5"/>
      <c r="EX487" s="5"/>
      <c r="EY487" s="5"/>
      <c r="EZ487" s="5"/>
      <c r="FA487" s="5"/>
      <c r="FB487" s="5"/>
      <c r="FC487" s="5"/>
      <c r="FD487" s="5"/>
      <c r="FE487" s="5"/>
      <c r="FF487" s="5"/>
      <c r="FG487" s="5"/>
      <c r="FH487" s="5"/>
      <c r="FI487" s="5"/>
      <c r="FJ487" s="5"/>
      <c r="FK487" s="5"/>
      <c r="FL487" s="5"/>
      <c r="FM487" s="5"/>
      <c r="FN487" s="5"/>
      <c r="FO487" s="5"/>
      <c r="FP487" s="5"/>
      <c r="FQ487" s="5"/>
      <c r="FR487" s="5"/>
      <c r="FS487" s="5"/>
      <c r="FT487" s="5"/>
      <c r="FU487" s="5"/>
      <c r="FV487" s="5"/>
      <c r="FW487" s="5"/>
      <c r="FX487" s="5"/>
      <c r="FY487" s="5"/>
      <c r="FZ487" s="5"/>
      <c r="GA487" s="5"/>
      <c r="GB487" s="5"/>
      <c r="GC487" s="5"/>
      <c r="GD487" s="5"/>
      <c r="GE487" s="5"/>
      <c r="GF487" s="5"/>
      <c r="GG487" s="5"/>
      <c r="GH487" s="5"/>
      <c r="GI487" s="5"/>
      <c r="GJ487" s="5"/>
      <c r="GK487" s="5"/>
      <c r="GL487" s="5"/>
      <c r="GM487" s="5"/>
      <c r="GN487" s="5"/>
    </row>
    <row r="488" spans="1:196" ht="89.25" hidden="1" customHeight="1" x14ac:dyDescent="0.3">
      <c r="A488" s="6" t="s">
        <v>705</v>
      </c>
      <c r="B488" s="6" t="s">
        <v>1778</v>
      </c>
      <c r="C488" s="15" t="s">
        <v>2584</v>
      </c>
      <c r="D488" s="15" t="s">
        <v>109</v>
      </c>
      <c r="E488" s="6" t="s">
        <v>19</v>
      </c>
      <c r="F488" s="6" t="s">
        <v>19</v>
      </c>
      <c r="G488" s="6" t="s">
        <v>109</v>
      </c>
      <c r="H488" s="6" t="s">
        <v>109</v>
      </c>
      <c r="I488" s="6" t="s">
        <v>19</v>
      </c>
      <c r="J488" s="6" t="s">
        <v>19</v>
      </c>
      <c r="K488" s="6" t="s">
        <v>19</v>
      </c>
      <c r="L488" s="6" t="s">
        <v>19</v>
      </c>
      <c r="M488" s="15" t="s">
        <v>2585</v>
      </c>
      <c r="N488" s="4" t="s">
        <v>2586</v>
      </c>
      <c r="O488" s="15"/>
      <c r="P488" s="4" t="s">
        <v>2587</v>
      </c>
      <c r="S488" s="15" t="e" cm="1">
        <f t="array" aca="1" ref="S488" ca="1">COMMONMARKETCOUNT(H488:AV488)</f>
        <v>#NAME?</v>
      </c>
      <c r="T488" s="6" t="e" cm="1">
        <f t="array" aca="1" ref="T488" ca="1">AUTOMATEDCOUNT(H488:AV488)</f>
        <v>#NAME?</v>
      </c>
      <c r="V488" s="6" t="s">
        <v>19</v>
      </c>
      <c r="W488" s="6" t="s">
        <v>19</v>
      </c>
      <c r="X488" s="6" t="s">
        <v>19</v>
      </c>
      <c r="Y488" s="6" t="s">
        <v>19</v>
      </c>
      <c r="Z488" s="6" t="s">
        <v>19</v>
      </c>
      <c r="AA488" s="6" t="s">
        <v>19</v>
      </c>
      <c r="AB488" s="6" t="s">
        <v>19</v>
      </c>
      <c r="AC488" s="6" t="s">
        <v>19</v>
      </c>
      <c r="AD488" s="6" t="s">
        <v>19</v>
      </c>
      <c r="AE488" s="6" t="s">
        <v>19</v>
      </c>
      <c r="AF488" s="6" t="s">
        <v>19</v>
      </c>
      <c r="AG488" s="6" t="s">
        <v>19</v>
      </c>
      <c r="AH488" s="6" t="s">
        <v>19</v>
      </c>
      <c r="AI488" s="6" t="s">
        <v>19</v>
      </c>
      <c r="AJ488" s="6" t="s">
        <v>19</v>
      </c>
      <c r="AK488" s="6" t="s">
        <v>19</v>
      </c>
      <c r="AL488" s="6" t="s">
        <v>19</v>
      </c>
      <c r="AM488" s="6" t="s">
        <v>19</v>
      </c>
      <c r="AN488" s="6" t="s">
        <v>19</v>
      </c>
      <c r="AO488" s="6" t="s">
        <v>19</v>
      </c>
      <c r="AP488" s="6" t="s">
        <v>19</v>
      </c>
      <c r="AQ488" s="6" t="s">
        <v>19</v>
      </c>
      <c r="AR488" s="6" t="s">
        <v>19</v>
      </c>
      <c r="AS488" s="6" t="s">
        <v>19</v>
      </c>
      <c r="AT488" s="6" t="s">
        <v>19</v>
      </c>
      <c r="AU488" s="6" t="s">
        <v>3153</v>
      </c>
      <c r="AV488" s="36"/>
    </row>
    <row r="489" spans="1:196" ht="89.25" hidden="1" customHeight="1" x14ac:dyDescent="0.3">
      <c r="A489" s="6" t="s">
        <v>705</v>
      </c>
      <c r="B489" s="6" t="s">
        <v>1309</v>
      </c>
      <c r="C489" s="15" t="s">
        <v>2588</v>
      </c>
      <c r="D489" s="15" t="s">
        <v>32</v>
      </c>
      <c r="E489" s="6" t="s">
        <v>19</v>
      </c>
      <c r="F489" s="6" t="s">
        <v>19</v>
      </c>
      <c r="G489" s="6" t="s">
        <v>19</v>
      </c>
      <c r="H489" s="6" t="s">
        <v>19</v>
      </c>
      <c r="I489" s="6" t="s">
        <v>19</v>
      </c>
      <c r="J489" s="6" t="s">
        <v>19</v>
      </c>
      <c r="K489" s="6" t="s">
        <v>19</v>
      </c>
      <c r="L489" s="6" t="s">
        <v>19</v>
      </c>
      <c r="M489" s="15" t="s">
        <v>2589</v>
      </c>
      <c r="N489" s="4" t="s">
        <v>2590</v>
      </c>
      <c r="O489" s="15"/>
      <c r="P489" s="4" t="s">
        <v>2591</v>
      </c>
      <c r="S489" s="15" t="e" cm="1">
        <f t="array" aca="1" ref="S489" ca="1">COMMONMARKETCOUNT(H489:AV489)</f>
        <v>#NAME?</v>
      </c>
      <c r="T489" s="6" t="e" cm="1">
        <f t="array" aca="1" ref="T489" ca="1">AUTOMATEDCOUNT(H489:AV489)</f>
        <v>#NAME?</v>
      </c>
      <c r="V489" s="6" t="s">
        <v>19</v>
      </c>
      <c r="W489" s="6" t="s">
        <v>19</v>
      </c>
      <c r="X489" s="6" t="s">
        <v>19</v>
      </c>
      <c r="Y489" s="6" t="s">
        <v>19</v>
      </c>
      <c r="Z489" s="6" t="s">
        <v>19</v>
      </c>
      <c r="AA489" s="6" t="s">
        <v>19</v>
      </c>
      <c r="AB489" s="6" t="s">
        <v>19</v>
      </c>
      <c r="AC489" s="6" t="s">
        <v>19</v>
      </c>
      <c r="AD489" s="6" t="s">
        <v>19</v>
      </c>
      <c r="AE489" s="6" t="s">
        <v>19</v>
      </c>
      <c r="AF489" s="6" t="s">
        <v>19</v>
      </c>
      <c r="AG489" s="6" t="s">
        <v>19</v>
      </c>
      <c r="AH489" s="6" t="s">
        <v>19</v>
      </c>
      <c r="AI489" s="6" t="s">
        <v>19</v>
      </c>
      <c r="AJ489" s="6" t="s">
        <v>19</v>
      </c>
      <c r="AK489" s="6" t="s">
        <v>19</v>
      </c>
      <c r="AL489" s="6" t="s">
        <v>19</v>
      </c>
      <c r="AM489" s="6" t="s">
        <v>19</v>
      </c>
      <c r="AN489" s="6" t="s">
        <v>19</v>
      </c>
      <c r="AO489" s="6" t="s">
        <v>19</v>
      </c>
      <c r="AP489" s="6" t="s">
        <v>19</v>
      </c>
      <c r="AQ489" s="6" t="s">
        <v>19</v>
      </c>
      <c r="AR489" s="6" t="s">
        <v>19</v>
      </c>
      <c r="AS489" s="6" t="s">
        <v>19</v>
      </c>
      <c r="AT489" s="6" t="s">
        <v>19</v>
      </c>
      <c r="AU489" s="6" t="s">
        <v>3153</v>
      </c>
      <c r="AV489" s="36"/>
    </row>
    <row r="490" spans="1:196" ht="89.25" hidden="1" customHeight="1" x14ac:dyDescent="0.3">
      <c r="A490" s="6" t="s">
        <v>705</v>
      </c>
      <c r="B490" s="6" t="s">
        <v>1309</v>
      </c>
      <c r="C490" s="15" t="s">
        <v>2592</v>
      </c>
      <c r="D490" s="15" t="s">
        <v>109</v>
      </c>
      <c r="E490" s="6" t="s">
        <v>19</v>
      </c>
      <c r="F490" s="6" t="s">
        <v>19</v>
      </c>
      <c r="G490" s="6" t="s">
        <v>19</v>
      </c>
      <c r="H490" s="6" t="s">
        <v>19</v>
      </c>
      <c r="I490" s="6" t="s">
        <v>19</v>
      </c>
      <c r="J490" s="6" t="s">
        <v>19</v>
      </c>
      <c r="K490" s="6" t="s">
        <v>19</v>
      </c>
      <c r="L490" s="6" t="s">
        <v>19</v>
      </c>
      <c r="M490" s="15" t="s">
        <v>2593</v>
      </c>
      <c r="N490" s="4" t="s">
        <v>2594</v>
      </c>
      <c r="O490" s="15"/>
      <c r="P490" s="4" t="s">
        <v>2595</v>
      </c>
      <c r="S490" s="15" t="e" cm="1">
        <f t="array" aca="1" ref="S490" ca="1">COMMONMARKETCOUNT(H490:AV490)</f>
        <v>#NAME?</v>
      </c>
      <c r="T490" s="6" t="e" cm="1">
        <f t="array" aca="1" ref="T490" ca="1">AUTOMATEDCOUNT(H490:AV490)</f>
        <v>#NAME?</v>
      </c>
      <c r="V490" s="6" t="s">
        <v>19</v>
      </c>
      <c r="W490" s="6" t="s">
        <v>19</v>
      </c>
      <c r="X490" s="6" t="s">
        <v>19</v>
      </c>
      <c r="Y490" s="6" t="s">
        <v>19</v>
      </c>
      <c r="Z490" s="6" t="s">
        <v>19</v>
      </c>
      <c r="AA490" s="6" t="s">
        <v>19</v>
      </c>
      <c r="AB490" s="6" t="s">
        <v>19</v>
      </c>
      <c r="AC490" s="6" t="s">
        <v>19</v>
      </c>
      <c r="AD490" s="6" t="s">
        <v>19</v>
      </c>
      <c r="AE490" s="6" t="s">
        <v>19</v>
      </c>
      <c r="AF490" s="6" t="s">
        <v>19</v>
      </c>
      <c r="AG490" s="6" t="s">
        <v>19</v>
      </c>
      <c r="AH490" s="6" t="s">
        <v>19</v>
      </c>
      <c r="AI490" s="6" t="s">
        <v>19</v>
      </c>
      <c r="AJ490" s="6" t="s">
        <v>19</v>
      </c>
      <c r="AK490" s="6" t="s">
        <v>19</v>
      </c>
      <c r="AL490" s="6" t="s">
        <v>19</v>
      </c>
      <c r="AM490" s="6" t="s">
        <v>19</v>
      </c>
      <c r="AN490" s="6" t="s">
        <v>19</v>
      </c>
      <c r="AO490" s="6" t="s">
        <v>19</v>
      </c>
      <c r="AP490" s="6" t="s">
        <v>19</v>
      </c>
      <c r="AQ490" s="6" t="s">
        <v>19</v>
      </c>
      <c r="AR490" s="6" t="s">
        <v>19</v>
      </c>
      <c r="AS490" s="6" t="s">
        <v>19</v>
      </c>
      <c r="AT490" s="6" t="s">
        <v>19</v>
      </c>
      <c r="AU490" s="6" t="s">
        <v>3153</v>
      </c>
      <c r="AV490" s="36"/>
    </row>
    <row r="491" spans="1:196" ht="73.5" hidden="1" customHeight="1" x14ac:dyDescent="0.3">
      <c r="A491" s="6" t="s">
        <v>705</v>
      </c>
      <c r="B491" s="6" t="s">
        <v>1309</v>
      </c>
      <c r="C491" s="15" t="s">
        <v>2596</v>
      </c>
      <c r="D491" s="15" t="s">
        <v>109</v>
      </c>
      <c r="E491" s="6" t="s">
        <v>19</v>
      </c>
      <c r="F491" s="6" t="s">
        <v>19</v>
      </c>
      <c r="G491" s="6" t="s">
        <v>19</v>
      </c>
      <c r="H491" s="6" t="s">
        <v>19</v>
      </c>
      <c r="I491" s="6" t="s">
        <v>19</v>
      </c>
      <c r="J491" s="6" t="s">
        <v>19</v>
      </c>
      <c r="K491" s="6" t="s">
        <v>19</v>
      </c>
      <c r="L491" s="6" t="s">
        <v>19</v>
      </c>
      <c r="M491" s="15" t="s">
        <v>2597</v>
      </c>
      <c r="N491" s="4" t="s">
        <v>2598</v>
      </c>
      <c r="O491" s="15"/>
      <c r="P491" s="4" t="s">
        <v>2599</v>
      </c>
      <c r="S491" s="15" t="e" cm="1">
        <f t="array" aca="1" ref="S491" ca="1">COMMONMARKETCOUNT(H491:AV491)</f>
        <v>#NAME?</v>
      </c>
      <c r="T491" s="6" t="e" cm="1">
        <f t="array" aca="1" ref="T491" ca="1">AUTOMATEDCOUNT(H491:AV491)</f>
        <v>#NAME?</v>
      </c>
      <c r="V491" s="6" t="s">
        <v>19</v>
      </c>
      <c r="W491" s="6" t="s">
        <v>19</v>
      </c>
      <c r="X491" s="6" t="s">
        <v>19</v>
      </c>
      <c r="Y491" s="6" t="s">
        <v>19</v>
      </c>
      <c r="Z491" s="6" t="s">
        <v>19</v>
      </c>
      <c r="AA491" s="6" t="s">
        <v>19</v>
      </c>
      <c r="AB491" s="6" t="s">
        <v>19</v>
      </c>
      <c r="AC491" s="6" t="s">
        <v>19</v>
      </c>
      <c r="AD491" s="6" t="s">
        <v>19</v>
      </c>
      <c r="AE491" s="6" t="s">
        <v>19</v>
      </c>
      <c r="AF491" s="6" t="s">
        <v>19</v>
      </c>
      <c r="AG491" s="6" t="s">
        <v>19</v>
      </c>
      <c r="AH491" s="6" t="s">
        <v>19</v>
      </c>
      <c r="AI491" s="6" t="s">
        <v>19</v>
      </c>
      <c r="AJ491" s="6" t="s">
        <v>19</v>
      </c>
      <c r="AK491" s="6" t="s">
        <v>19</v>
      </c>
      <c r="AL491" s="6" t="s">
        <v>19</v>
      </c>
      <c r="AM491" s="6" t="s">
        <v>19</v>
      </c>
      <c r="AN491" s="6" t="s">
        <v>19</v>
      </c>
      <c r="AO491" s="6" t="s">
        <v>19</v>
      </c>
      <c r="AP491" s="6" t="s">
        <v>19</v>
      </c>
      <c r="AQ491" s="6" t="s">
        <v>19</v>
      </c>
      <c r="AR491" s="6" t="s">
        <v>19</v>
      </c>
      <c r="AS491" s="6" t="s">
        <v>19</v>
      </c>
      <c r="AT491" s="6" t="s">
        <v>19</v>
      </c>
      <c r="AU491" s="6" t="s">
        <v>3153</v>
      </c>
      <c r="AV491" s="36"/>
    </row>
    <row r="492" spans="1:196" ht="89.25" hidden="1" customHeight="1" x14ac:dyDescent="0.3">
      <c r="A492" s="15" t="s">
        <v>56</v>
      </c>
      <c r="B492" s="15" t="s">
        <v>55</v>
      </c>
      <c r="C492" s="15" t="s">
        <v>585</v>
      </c>
      <c r="D492" s="15" t="s">
        <v>32</v>
      </c>
      <c r="E492" s="15" t="s">
        <v>19</v>
      </c>
      <c r="F492" s="15" t="s">
        <v>19</v>
      </c>
      <c r="G492" s="15" t="s">
        <v>19</v>
      </c>
      <c r="H492" s="15" t="s">
        <v>19</v>
      </c>
      <c r="I492" s="18" t="s">
        <v>19</v>
      </c>
      <c r="J492" s="18" t="s">
        <v>19</v>
      </c>
      <c r="K492" s="18" t="s">
        <v>19</v>
      </c>
      <c r="L492" s="18" t="s">
        <v>19</v>
      </c>
      <c r="M492" s="15" t="s">
        <v>586</v>
      </c>
      <c r="N492" s="4" t="s">
        <v>1257</v>
      </c>
      <c r="O492" s="15"/>
      <c r="P492" s="4" t="s">
        <v>587</v>
      </c>
      <c r="S492" s="15" t="e" cm="1">
        <f t="array" aca="1" ref="S492" ca="1">COMMONMARKETCOUNT(H492:AV492)</f>
        <v>#NAME?</v>
      </c>
      <c r="T492" s="6" t="e" cm="1">
        <f t="array" aca="1" ref="T492" ca="1">AUTOMATEDCOUNT(H492:AV492)</f>
        <v>#NAME?</v>
      </c>
      <c r="V492" s="15" t="s">
        <v>19</v>
      </c>
      <c r="W492" s="15" t="s">
        <v>19</v>
      </c>
      <c r="X492" s="15" t="s">
        <v>19</v>
      </c>
      <c r="Y492" s="15" t="s">
        <v>19</v>
      </c>
      <c r="Z492" s="15" t="s">
        <v>19</v>
      </c>
      <c r="AA492" s="18" t="s">
        <v>19</v>
      </c>
      <c r="AB492" s="18" t="s">
        <v>19</v>
      </c>
      <c r="AC492" s="18" t="s">
        <v>19</v>
      </c>
      <c r="AD492" s="18" t="s">
        <v>19</v>
      </c>
      <c r="AE492" s="18" t="s">
        <v>19</v>
      </c>
      <c r="AF492" s="18" t="s">
        <v>19</v>
      </c>
      <c r="AG492" s="18" t="s">
        <v>19</v>
      </c>
      <c r="AH492" s="18" t="s">
        <v>19</v>
      </c>
      <c r="AI492" s="18" t="s">
        <v>19</v>
      </c>
      <c r="AJ492" s="18" t="s">
        <v>19</v>
      </c>
      <c r="AK492" s="18" t="s">
        <v>19</v>
      </c>
      <c r="AL492" s="18" t="s">
        <v>19</v>
      </c>
      <c r="AM492" s="18" t="s">
        <v>19</v>
      </c>
      <c r="AN492" s="18" t="s">
        <v>19</v>
      </c>
      <c r="AO492" s="18" t="s">
        <v>19</v>
      </c>
      <c r="AP492" s="18" t="s">
        <v>19</v>
      </c>
      <c r="AQ492" s="18" t="s">
        <v>19</v>
      </c>
      <c r="AR492" s="18" t="s">
        <v>19</v>
      </c>
      <c r="AS492" s="18" t="s">
        <v>19</v>
      </c>
      <c r="AT492" s="18" t="s">
        <v>19</v>
      </c>
      <c r="AU492" s="18" t="s">
        <v>3153</v>
      </c>
      <c r="AV492" s="36" t="s">
        <v>19</v>
      </c>
    </row>
    <row r="493" spans="1:196" ht="89.25" hidden="1" customHeight="1" x14ac:dyDescent="0.3">
      <c r="A493" s="15" t="s">
        <v>56</v>
      </c>
      <c r="B493" s="6" t="s">
        <v>1298</v>
      </c>
      <c r="C493" s="15" t="s">
        <v>2600</v>
      </c>
      <c r="D493" s="15" t="s">
        <v>109</v>
      </c>
      <c r="E493" s="6" t="s">
        <v>19</v>
      </c>
      <c r="F493" s="6" t="s">
        <v>19</v>
      </c>
      <c r="G493" s="6" t="s">
        <v>109</v>
      </c>
      <c r="H493" s="6" t="s">
        <v>109</v>
      </c>
      <c r="I493" s="6" t="s">
        <v>19</v>
      </c>
      <c r="J493" s="6" t="s">
        <v>19</v>
      </c>
      <c r="K493" s="6" t="s">
        <v>109</v>
      </c>
      <c r="L493" s="6" t="s">
        <v>109</v>
      </c>
      <c r="M493" s="15" t="s">
        <v>2601</v>
      </c>
      <c r="N493" s="4" t="s">
        <v>2602</v>
      </c>
      <c r="O493" s="15" t="s">
        <v>2304</v>
      </c>
      <c r="P493" s="4" t="s">
        <v>2603</v>
      </c>
      <c r="S493" s="15" t="e" cm="1">
        <f t="array" aca="1" ref="S493" ca="1">COMMONMARKETCOUNT(H493:AV493)</f>
        <v>#NAME?</v>
      </c>
      <c r="T493" s="6" t="e" cm="1">
        <f t="array" aca="1" ref="T493" ca="1">AUTOMATEDCOUNT(H493:AV493)</f>
        <v>#NAME?</v>
      </c>
      <c r="V493" s="6" t="s">
        <v>109</v>
      </c>
      <c r="W493" s="6" t="s">
        <v>109</v>
      </c>
      <c r="X493" s="6" t="s">
        <v>19</v>
      </c>
      <c r="Y493" s="6" t="s">
        <v>19</v>
      </c>
      <c r="Z493" s="6" t="s">
        <v>19</v>
      </c>
      <c r="AA493" s="6" t="s">
        <v>19</v>
      </c>
      <c r="AB493" s="6" t="s">
        <v>19</v>
      </c>
      <c r="AC493" s="6" t="s">
        <v>19</v>
      </c>
      <c r="AD493" s="6" t="s">
        <v>19</v>
      </c>
      <c r="AE493" s="6" t="s">
        <v>19</v>
      </c>
      <c r="AF493" s="6" t="s">
        <v>109</v>
      </c>
      <c r="AG493" s="6" t="s">
        <v>109</v>
      </c>
      <c r="AH493" s="6" t="s">
        <v>109</v>
      </c>
      <c r="AI493" s="6"/>
      <c r="AJ493" s="6" t="s">
        <v>109</v>
      </c>
      <c r="AK493" s="6" t="s">
        <v>109</v>
      </c>
      <c r="AL493" s="6" t="s">
        <v>109</v>
      </c>
      <c r="AM493" s="6"/>
      <c r="AN493" s="6" t="s">
        <v>109</v>
      </c>
      <c r="AO493" s="6" t="s">
        <v>109</v>
      </c>
      <c r="AP493" s="6" t="s">
        <v>109</v>
      </c>
      <c r="AQ493" s="6" t="s">
        <v>109</v>
      </c>
      <c r="AR493" s="6" t="s">
        <v>109</v>
      </c>
      <c r="AS493" s="6" t="s">
        <v>109</v>
      </c>
      <c r="AT493" s="6" t="s">
        <v>109</v>
      </c>
      <c r="AU493" s="6" t="s">
        <v>109</v>
      </c>
      <c r="AV493" s="36"/>
    </row>
    <row r="494" spans="1:196" ht="89.25" hidden="1" customHeight="1" x14ac:dyDescent="0.3">
      <c r="A494" s="6" t="s">
        <v>1356</v>
      </c>
      <c r="B494" s="6" t="s">
        <v>1298</v>
      </c>
      <c r="C494" s="15" t="s">
        <v>2604</v>
      </c>
      <c r="D494" s="15" t="s">
        <v>109</v>
      </c>
      <c r="E494" s="6" t="s">
        <v>19</v>
      </c>
      <c r="F494" s="6" t="s">
        <v>19</v>
      </c>
      <c r="G494" s="6" t="s">
        <v>19</v>
      </c>
      <c r="H494" s="6" t="s">
        <v>19</v>
      </c>
      <c r="I494" s="6" t="s">
        <v>19</v>
      </c>
      <c r="J494" s="6" t="s">
        <v>19</v>
      </c>
      <c r="K494" s="6" t="s">
        <v>19</v>
      </c>
      <c r="L494" s="6" t="s">
        <v>19</v>
      </c>
      <c r="M494" s="15" t="s">
        <v>2605</v>
      </c>
      <c r="N494" s="4" t="s">
        <v>2606</v>
      </c>
      <c r="O494" s="15" t="s">
        <v>2304</v>
      </c>
      <c r="P494" s="4" t="s">
        <v>2607</v>
      </c>
      <c r="S494" s="15" t="e" cm="1">
        <f t="array" aca="1" ref="S494" ca="1">COMMONMARKETCOUNT(H494:AV494)</f>
        <v>#NAME?</v>
      </c>
      <c r="T494" s="6" t="e" cm="1">
        <f t="array" aca="1" ref="T494" ca="1">AUTOMATEDCOUNT(H494:AV494)</f>
        <v>#NAME?</v>
      </c>
      <c r="V494" s="6" t="s">
        <v>19</v>
      </c>
      <c r="W494" s="6" t="s">
        <v>19</v>
      </c>
      <c r="X494" s="6" t="s">
        <v>19</v>
      </c>
      <c r="Y494" s="6" t="s">
        <v>19</v>
      </c>
      <c r="Z494" s="6" t="s">
        <v>19</v>
      </c>
      <c r="AA494" s="6" t="s">
        <v>19</v>
      </c>
      <c r="AB494" s="6" t="s">
        <v>19</v>
      </c>
      <c r="AC494" s="6" t="s">
        <v>19</v>
      </c>
      <c r="AD494" s="6" t="s">
        <v>19</v>
      </c>
      <c r="AE494" s="6" t="s">
        <v>19</v>
      </c>
      <c r="AF494" s="6" t="s">
        <v>19</v>
      </c>
      <c r="AG494" s="6" t="s">
        <v>19</v>
      </c>
      <c r="AH494" s="6" t="s">
        <v>19</v>
      </c>
      <c r="AI494" s="6"/>
      <c r="AJ494" s="6" t="s">
        <v>19</v>
      </c>
      <c r="AK494" s="6" t="s">
        <v>19</v>
      </c>
      <c r="AL494" s="6" t="s">
        <v>19</v>
      </c>
      <c r="AM494" s="6"/>
      <c r="AN494" s="6" t="s">
        <v>19</v>
      </c>
      <c r="AO494" s="6" t="s">
        <v>19</v>
      </c>
      <c r="AP494" s="6" t="s">
        <v>19</v>
      </c>
      <c r="AQ494" s="6" t="s">
        <v>19</v>
      </c>
      <c r="AR494" s="6" t="s">
        <v>19</v>
      </c>
      <c r="AS494" s="6" t="s">
        <v>19</v>
      </c>
      <c r="AT494" s="6" t="s">
        <v>19</v>
      </c>
      <c r="AU494" s="6" t="s">
        <v>3153</v>
      </c>
      <c r="AV494" s="36"/>
    </row>
    <row r="495" spans="1:196" ht="59.25" hidden="1" customHeight="1" x14ac:dyDescent="0.3">
      <c r="A495" s="6" t="s">
        <v>25</v>
      </c>
      <c r="B495" s="6" t="s">
        <v>2245</v>
      </c>
      <c r="C495" s="15" t="s">
        <v>2608</v>
      </c>
      <c r="D495" s="15" t="s">
        <v>109</v>
      </c>
      <c r="E495" s="6" t="s">
        <v>19</v>
      </c>
      <c r="F495" s="6" t="s">
        <v>19</v>
      </c>
      <c r="G495" s="6" t="s">
        <v>19</v>
      </c>
      <c r="H495" s="6" t="s">
        <v>19</v>
      </c>
      <c r="I495" s="6" t="s">
        <v>19</v>
      </c>
      <c r="J495" s="6" t="s">
        <v>19</v>
      </c>
      <c r="K495" s="6" t="s">
        <v>19</v>
      </c>
      <c r="L495" s="6" t="s">
        <v>19</v>
      </c>
      <c r="M495" s="15" t="s">
        <v>2609</v>
      </c>
      <c r="N495" s="4" t="s">
        <v>2610</v>
      </c>
      <c r="O495" s="15" t="s">
        <v>2304</v>
      </c>
      <c r="P495" s="4" t="s">
        <v>2611</v>
      </c>
      <c r="S495" s="15" t="e" cm="1">
        <f t="array" aca="1" ref="S495" ca="1">COMMONMARKETCOUNT(H495:AV495)</f>
        <v>#NAME?</v>
      </c>
      <c r="T495" s="6" t="e" cm="1">
        <f t="array" aca="1" ref="T495" ca="1">AUTOMATEDCOUNT(H495:AV495)</f>
        <v>#NAME?</v>
      </c>
      <c r="V495" s="6" t="s">
        <v>19</v>
      </c>
      <c r="W495" s="6" t="s">
        <v>19</v>
      </c>
      <c r="X495" s="6" t="s">
        <v>19</v>
      </c>
      <c r="Y495" s="6" t="s">
        <v>19</v>
      </c>
      <c r="Z495" s="6" t="s">
        <v>19</v>
      </c>
      <c r="AA495" s="6" t="s">
        <v>19</v>
      </c>
      <c r="AB495" s="6" t="s">
        <v>19</v>
      </c>
      <c r="AC495" s="6" t="s">
        <v>19</v>
      </c>
      <c r="AD495" s="6" t="s">
        <v>19</v>
      </c>
      <c r="AE495" s="6" t="s">
        <v>19</v>
      </c>
      <c r="AF495" s="6" t="s">
        <v>19</v>
      </c>
      <c r="AG495" s="6" t="s">
        <v>19</v>
      </c>
      <c r="AH495" s="6" t="s">
        <v>19</v>
      </c>
      <c r="AI495" s="6"/>
      <c r="AJ495" s="6" t="s">
        <v>19</v>
      </c>
      <c r="AK495" s="6" t="s">
        <v>19</v>
      </c>
      <c r="AL495" s="6" t="s">
        <v>19</v>
      </c>
      <c r="AM495" s="6"/>
      <c r="AN495" s="6" t="s">
        <v>19</v>
      </c>
      <c r="AO495" s="6" t="s">
        <v>19</v>
      </c>
      <c r="AP495" s="6" t="s">
        <v>19</v>
      </c>
      <c r="AQ495" s="6" t="s">
        <v>19</v>
      </c>
      <c r="AR495" s="6" t="s">
        <v>19</v>
      </c>
      <c r="AS495" s="6" t="s">
        <v>19</v>
      </c>
      <c r="AT495" s="6" t="s">
        <v>19</v>
      </c>
      <c r="AU495" s="6" t="s">
        <v>3153</v>
      </c>
      <c r="AV495" s="36"/>
    </row>
    <row r="496" spans="1:196" ht="89.25" hidden="1" customHeight="1" x14ac:dyDescent="0.3">
      <c r="A496" s="15" t="s">
        <v>25</v>
      </c>
      <c r="B496" s="15" t="s">
        <v>239</v>
      </c>
      <c r="C496" s="19" t="s">
        <v>624</v>
      </c>
      <c r="D496" s="15" t="s">
        <v>19</v>
      </c>
      <c r="E496" s="70" t="s">
        <v>19</v>
      </c>
      <c r="F496" s="70" t="s">
        <v>3178</v>
      </c>
      <c r="G496" s="70" t="s">
        <v>19</v>
      </c>
      <c r="H496" s="70" t="s">
        <v>3178</v>
      </c>
      <c r="I496" s="72" t="s">
        <v>19</v>
      </c>
      <c r="J496" s="72" t="s">
        <v>19</v>
      </c>
      <c r="K496" s="18" t="s">
        <v>19</v>
      </c>
      <c r="L496" s="18" t="s">
        <v>19</v>
      </c>
      <c r="M496" s="15" t="s">
        <v>625</v>
      </c>
      <c r="N496" s="15" t="s">
        <v>1833</v>
      </c>
      <c r="O496" s="15"/>
      <c r="P496" s="4" t="s">
        <v>3120</v>
      </c>
      <c r="S496" s="15" t="e" cm="1">
        <f t="array" aca="1" ref="S496" ca="1">COMMONMARKETCOUNT(H496:AV496)</f>
        <v>#NAME?</v>
      </c>
      <c r="T496" s="15" t="e" cm="1">
        <f t="array" aca="1" ref="T496" ca="1">AUTOMATEDCOUNT(H496:AU496)</f>
        <v>#NAME?</v>
      </c>
      <c r="V496" s="15" t="s">
        <v>109</v>
      </c>
      <c r="W496" s="15" t="s">
        <v>109</v>
      </c>
      <c r="X496" s="70" t="s">
        <v>19</v>
      </c>
      <c r="Y496" s="70" t="s">
        <v>19</v>
      </c>
      <c r="Z496" s="70" t="s">
        <v>19</v>
      </c>
      <c r="AA496" s="72" t="s">
        <v>19</v>
      </c>
      <c r="AB496" s="72" t="s">
        <v>19</v>
      </c>
      <c r="AC496" s="72" t="s">
        <v>19</v>
      </c>
      <c r="AD496" s="72" t="s">
        <v>19</v>
      </c>
      <c r="AE496" s="18" t="s">
        <v>19</v>
      </c>
      <c r="AF496" s="15" t="s">
        <v>109</v>
      </c>
      <c r="AG496" s="18" t="s">
        <v>109</v>
      </c>
      <c r="AH496" s="18" t="s">
        <v>109</v>
      </c>
      <c r="AI496" s="18" t="s">
        <v>109</v>
      </c>
      <c r="AJ496" s="18" t="s">
        <v>109</v>
      </c>
      <c r="AK496" s="18" t="s">
        <v>109</v>
      </c>
      <c r="AL496" s="18" t="s">
        <v>109</v>
      </c>
      <c r="AM496" s="18" t="s">
        <v>109</v>
      </c>
      <c r="AN496" s="18" t="s">
        <v>109</v>
      </c>
      <c r="AO496" s="18" t="s">
        <v>109</v>
      </c>
      <c r="AP496" s="18" t="s">
        <v>109</v>
      </c>
      <c r="AQ496" s="18" t="s">
        <v>109</v>
      </c>
      <c r="AR496" s="18" t="s">
        <v>109</v>
      </c>
      <c r="AS496" s="18" t="s">
        <v>109</v>
      </c>
      <c r="AT496" s="18" t="s">
        <v>109</v>
      </c>
      <c r="AU496" s="18" t="s">
        <v>109</v>
      </c>
      <c r="AV496" s="36" t="s">
        <v>109</v>
      </c>
    </row>
    <row r="497" spans="1:196" ht="89.25" hidden="1" customHeight="1" x14ac:dyDescent="0.3">
      <c r="A497" s="6" t="s">
        <v>56</v>
      </c>
      <c r="B497" s="6" t="s">
        <v>1298</v>
      </c>
      <c r="C497" s="15" t="s">
        <v>2616</v>
      </c>
      <c r="D497" s="6" t="s">
        <v>32</v>
      </c>
      <c r="E497" s="6" t="s">
        <v>109</v>
      </c>
      <c r="F497" s="6" t="s">
        <v>109</v>
      </c>
      <c r="G497" s="6" t="s">
        <v>109</v>
      </c>
      <c r="H497" s="6" t="s">
        <v>109</v>
      </c>
      <c r="I497" s="6" t="s">
        <v>109</v>
      </c>
      <c r="J497" s="6" t="s">
        <v>109</v>
      </c>
      <c r="K497" s="6" t="s">
        <v>109</v>
      </c>
      <c r="L497" s="6" t="s">
        <v>109</v>
      </c>
      <c r="M497" s="15" t="s">
        <v>2617</v>
      </c>
      <c r="N497" s="4" t="s">
        <v>2618</v>
      </c>
      <c r="O497" s="15" t="s">
        <v>2540</v>
      </c>
      <c r="P497" s="4" t="s">
        <v>2619</v>
      </c>
      <c r="S497" s="15" t="e" cm="1">
        <f t="array" aca="1" ref="S497" ca="1">COMMONMARKETCOUNT(H497:AV497)</f>
        <v>#NAME?</v>
      </c>
      <c r="T497" s="6" t="e" cm="1">
        <f t="array" aca="1" ref="T497" ca="1">AUTOMATEDCOUNT(H497:AV497)</f>
        <v>#NAME?</v>
      </c>
      <c r="V497" s="6" t="s">
        <v>109</v>
      </c>
      <c r="W497" s="6" t="s">
        <v>109</v>
      </c>
      <c r="X497" s="6" t="s">
        <v>109</v>
      </c>
      <c r="Y497" s="6" t="s">
        <v>109</v>
      </c>
      <c r="Z497" s="6" t="s">
        <v>109</v>
      </c>
      <c r="AA497" s="6" t="s">
        <v>109</v>
      </c>
      <c r="AB497" s="6" t="s">
        <v>109</v>
      </c>
      <c r="AC497" s="6" t="s">
        <v>109</v>
      </c>
      <c r="AD497" s="6" t="s">
        <v>109</v>
      </c>
      <c r="AE497" s="6" t="s">
        <v>109</v>
      </c>
      <c r="AF497" s="6" t="s">
        <v>109</v>
      </c>
      <c r="AG497" s="6" t="s">
        <v>109</v>
      </c>
      <c r="AH497" s="6" t="s">
        <v>109</v>
      </c>
      <c r="AI497" s="6" t="s">
        <v>109</v>
      </c>
      <c r="AJ497" s="6" t="s">
        <v>109</v>
      </c>
      <c r="AK497" s="6" t="s">
        <v>109</v>
      </c>
      <c r="AL497" s="6" t="s">
        <v>109</v>
      </c>
      <c r="AM497" s="6" t="s">
        <v>109</v>
      </c>
      <c r="AN497" s="6" t="s">
        <v>109</v>
      </c>
      <c r="AO497" s="6" t="s">
        <v>109</v>
      </c>
      <c r="AP497" s="6" t="s">
        <v>19</v>
      </c>
      <c r="AQ497" s="6" t="s">
        <v>19</v>
      </c>
      <c r="AR497" s="6" t="s">
        <v>19</v>
      </c>
      <c r="AS497" s="6" t="s">
        <v>19</v>
      </c>
      <c r="AT497" s="6" t="s">
        <v>19</v>
      </c>
      <c r="AU497" s="6" t="s">
        <v>109</v>
      </c>
      <c r="AV497" s="36" t="s">
        <v>19</v>
      </c>
    </row>
    <row r="498" spans="1:196" ht="63.75" hidden="1" customHeight="1" x14ac:dyDescent="0.3">
      <c r="A498" s="6" t="s">
        <v>56</v>
      </c>
      <c r="B498" s="6" t="s">
        <v>1298</v>
      </c>
      <c r="C498" s="15" t="s">
        <v>2620</v>
      </c>
      <c r="D498" s="6" t="s">
        <v>32</v>
      </c>
      <c r="E498" s="6" t="s">
        <v>109</v>
      </c>
      <c r="F498" s="6" t="s">
        <v>109</v>
      </c>
      <c r="G498" s="6" t="s">
        <v>109</v>
      </c>
      <c r="H498" s="6" t="s">
        <v>109</v>
      </c>
      <c r="I498" s="6" t="s">
        <v>109</v>
      </c>
      <c r="J498" s="6" t="s">
        <v>109</v>
      </c>
      <c r="K498" s="6" t="s">
        <v>109</v>
      </c>
      <c r="L498" s="6" t="s">
        <v>109</v>
      </c>
      <c r="M498" s="15" t="s">
        <v>2621</v>
      </c>
      <c r="N498" s="4" t="s">
        <v>236</v>
      </c>
      <c r="O498" s="15" t="s">
        <v>2557</v>
      </c>
      <c r="P498" s="4" t="s">
        <v>236</v>
      </c>
      <c r="S498" s="15" t="e" cm="1">
        <f t="array" aca="1" ref="S498" ca="1">COMMONMARKETCOUNT(H498:AV498)</f>
        <v>#NAME?</v>
      </c>
      <c r="T498" s="6" t="e" cm="1">
        <f t="array" aca="1" ref="T498" ca="1">AUTOMATEDCOUNT(H498:AV498)</f>
        <v>#NAME?</v>
      </c>
      <c r="V498" s="6" t="s">
        <v>109</v>
      </c>
      <c r="W498" s="6" t="s">
        <v>109</v>
      </c>
      <c r="X498" s="6" t="s">
        <v>109</v>
      </c>
      <c r="Y498" s="6" t="s">
        <v>109</v>
      </c>
      <c r="Z498" s="6" t="s">
        <v>109</v>
      </c>
      <c r="AA498" s="6" t="s">
        <v>109</v>
      </c>
      <c r="AB498" s="6" t="s">
        <v>109</v>
      </c>
      <c r="AC498" s="6" t="s">
        <v>109</v>
      </c>
      <c r="AD498" s="6" t="s">
        <v>109</v>
      </c>
      <c r="AE498" s="6" t="s">
        <v>109</v>
      </c>
      <c r="AF498" s="6" t="s">
        <v>109</v>
      </c>
      <c r="AG498" s="6" t="s">
        <v>109</v>
      </c>
      <c r="AH498" s="6" t="s">
        <v>109</v>
      </c>
      <c r="AI498" s="6" t="s">
        <v>109</v>
      </c>
      <c r="AJ498" s="6" t="s">
        <v>109</v>
      </c>
      <c r="AK498" s="6" t="s">
        <v>109</v>
      </c>
      <c r="AL498" s="6" t="s">
        <v>109</v>
      </c>
      <c r="AM498" s="6" t="s">
        <v>109</v>
      </c>
      <c r="AN498" s="6" t="s">
        <v>109</v>
      </c>
      <c r="AO498" s="6" t="s">
        <v>109</v>
      </c>
      <c r="AP498" s="6" t="s">
        <v>19</v>
      </c>
      <c r="AQ498" s="6" t="s">
        <v>19</v>
      </c>
      <c r="AR498" s="6" t="s">
        <v>19</v>
      </c>
      <c r="AS498" s="6" t="s">
        <v>19</v>
      </c>
      <c r="AT498" s="6" t="s">
        <v>19</v>
      </c>
      <c r="AU498" s="6" t="s">
        <v>109</v>
      </c>
      <c r="AV498" s="36" t="s">
        <v>19</v>
      </c>
    </row>
    <row r="499" spans="1:196" ht="51" hidden="1" customHeight="1" x14ac:dyDescent="0.3">
      <c r="A499" s="15" t="s">
        <v>25</v>
      </c>
      <c r="B499" s="6" t="s">
        <v>2626</v>
      </c>
      <c r="C499" s="15" t="s">
        <v>2622</v>
      </c>
      <c r="D499" s="6" t="s">
        <v>32</v>
      </c>
      <c r="E499" s="6" t="s">
        <v>109</v>
      </c>
      <c r="F499" s="6" t="s">
        <v>109</v>
      </c>
      <c r="G499" s="6" t="s">
        <v>109</v>
      </c>
      <c r="H499" s="6" t="s">
        <v>109</v>
      </c>
      <c r="I499" s="6" t="s">
        <v>109</v>
      </c>
      <c r="J499" s="6" t="s">
        <v>109</v>
      </c>
      <c r="K499" s="6" t="s">
        <v>19</v>
      </c>
      <c r="L499" s="6" t="s">
        <v>19</v>
      </c>
      <c r="M499" s="15" t="s">
        <v>2623</v>
      </c>
      <c r="N499" s="4" t="s">
        <v>2624</v>
      </c>
      <c r="O499" s="15" t="s">
        <v>2540</v>
      </c>
      <c r="P499" s="4" t="s">
        <v>2625</v>
      </c>
      <c r="S499" s="15" t="e" cm="1">
        <f t="array" aca="1" ref="S499" ca="1">COMMONMARKETCOUNT(H499:AV499)</f>
        <v>#NAME?</v>
      </c>
      <c r="T499" s="6" t="e" cm="1">
        <f t="array" aca="1" ref="T499" ca="1">AUTOMATEDCOUNT(H499:AV499)</f>
        <v>#NAME?</v>
      </c>
      <c r="V499" s="6" t="s">
        <v>109</v>
      </c>
      <c r="W499" s="6" t="s">
        <v>19</v>
      </c>
      <c r="X499" s="6" t="s">
        <v>109</v>
      </c>
      <c r="Y499" s="6" t="s">
        <v>109</v>
      </c>
      <c r="Z499" s="6" t="s">
        <v>109</v>
      </c>
      <c r="AA499" s="6" t="s">
        <v>109</v>
      </c>
      <c r="AB499" s="6" t="s">
        <v>109</v>
      </c>
      <c r="AC499" s="6" t="s">
        <v>109</v>
      </c>
      <c r="AD499" s="6" t="s">
        <v>109</v>
      </c>
      <c r="AE499" s="6" t="s">
        <v>109</v>
      </c>
      <c r="AF499" s="6" t="s">
        <v>19</v>
      </c>
      <c r="AG499" s="6" t="s">
        <v>19</v>
      </c>
      <c r="AH499" s="6" t="s">
        <v>19</v>
      </c>
      <c r="AI499" s="6" t="s">
        <v>19</v>
      </c>
      <c r="AJ499" s="6" t="s">
        <v>19</v>
      </c>
      <c r="AK499" s="6" t="s">
        <v>19</v>
      </c>
      <c r="AL499" s="6" t="s">
        <v>19</v>
      </c>
      <c r="AM499" s="6" t="s">
        <v>19</v>
      </c>
      <c r="AN499" s="6" t="s">
        <v>19</v>
      </c>
      <c r="AO499" s="6" t="s">
        <v>19</v>
      </c>
      <c r="AP499" s="6" t="s">
        <v>19</v>
      </c>
      <c r="AQ499" s="6" t="s">
        <v>19</v>
      </c>
      <c r="AR499" s="6" t="s">
        <v>19</v>
      </c>
      <c r="AS499" s="6" t="s">
        <v>19</v>
      </c>
      <c r="AT499" s="6" t="s">
        <v>19</v>
      </c>
      <c r="AU499" s="6" t="s">
        <v>3153</v>
      </c>
      <c r="AV499" s="36" t="s">
        <v>19</v>
      </c>
    </row>
    <row r="500" spans="1:196" ht="57" hidden="1" customHeight="1" x14ac:dyDescent="0.3">
      <c r="A500" s="6" t="s">
        <v>705</v>
      </c>
      <c r="B500" s="6" t="s">
        <v>1309</v>
      </c>
      <c r="C500" s="15" t="s">
        <v>2627</v>
      </c>
      <c r="D500" s="6" t="s">
        <v>32</v>
      </c>
      <c r="E500" s="6" t="s">
        <v>19</v>
      </c>
      <c r="F500" s="6" t="s">
        <v>19</v>
      </c>
      <c r="G500" s="6" t="s">
        <v>19</v>
      </c>
      <c r="H500" s="6" t="s">
        <v>19</v>
      </c>
      <c r="I500" s="6" t="s">
        <v>19</v>
      </c>
      <c r="J500" s="6" t="s">
        <v>19</v>
      </c>
      <c r="K500" s="6" t="s">
        <v>19</v>
      </c>
      <c r="L500" s="6" t="s">
        <v>19</v>
      </c>
      <c r="M500" s="15" t="s">
        <v>2628</v>
      </c>
      <c r="N500" s="4" t="s">
        <v>2629</v>
      </c>
      <c r="O500" s="15" t="s">
        <v>2540</v>
      </c>
      <c r="P500" s="4" t="s">
        <v>2630</v>
      </c>
      <c r="S500" s="15" t="e" cm="1">
        <f t="array" aca="1" ref="S500" ca="1">COMMONMARKETCOUNT(H500:AV500)</f>
        <v>#NAME?</v>
      </c>
      <c r="T500" s="6" t="e" cm="1">
        <f t="array" aca="1" ref="T500" ca="1">AUTOMATEDCOUNT(H500:AV500)</f>
        <v>#NAME?</v>
      </c>
      <c r="V500" s="6" t="s">
        <v>19</v>
      </c>
      <c r="W500" s="6" t="s">
        <v>19</v>
      </c>
      <c r="X500" s="6" t="s">
        <v>19</v>
      </c>
      <c r="Y500" s="6" t="s">
        <v>19</v>
      </c>
      <c r="Z500" s="6" t="s">
        <v>19</v>
      </c>
      <c r="AA500" s="6" t="s">
        <v>19</v>
      </c>
      <c r="AB500" s="6" t="s">
        <v>19</v>
      </c>
      <c r="AC500" s="6" t="s">
        <v>19</v>
      </c>
      <c r="AD500" s="6" t="s">
        <v>19</v>
      </c>
      <c r="AE500" s="6" t="s">
        <v>19</v>
      </c>
      <c r="AF500" s="6" t="s">
        <v>19</v>
      </c>
      <c r="AG500" s="6" t="s">
        <v>19</v>
      </c>
      <c r="AH500" s="6" t="s">
        <v>19</v>
      </c>
      <c r="AI500" s="6" t="s">
        <v>19</v>
      </c>
      <c r="AJ500" s="6" t="s">
        <v>19</v>
      </c>
      <c r="AK500" s="6" t="s">
        <v>19</v>
      </c>
      <c r="AL500" s="6" t="s">
        <v>19</v>
      </c>
      <c r="AM500" s="6" t="s">
        <v>19</v>
      </c>
      <c r="AN500" s="6" t="s">
        <v>19</v>
      </c>
      <c r="AO500" s="6" t="s">
        <v>19</v>
      </c>
      <c r="AP500" s="6" t="s">
        <v>19</v>
      </c>
      <c r="AQ500" s="6" t="s">
        <v>19</v>
      </c>
      <c r="AR500" s="6" t="s">
        <v>19</v>
      </c>
      <c r="AS500" s="6" t="s">
        <v>19</v>
      </c>
      <c r="AT500" s="6" t="s">
        <v>19</v>
      </c>
      <c r="AU500" s="6" t="s">
        <v>3153</v>
      </c>
      <c r="AV500" s="36"/>
    </row>
    <row r="501" spans="1:196" ht="64.5" hidden="1" customHeight="1" x14ac:dyDescent="0.3">
      <c r="A501" s="6" t="s">
        <v>25</v>
      </c>
      <c r="B501" s="6" t="s">
        <v>2636</v>
      </c>
      <c r="C501" s="15" t="s">
        <v>2631</v>
      </c>
      <c r="D501" s="6" t="s">
        <v>32</v>
      </c>
      <c r="E501" s="6" t="s">
        <v>109</v>
      </c>
      <c r="F501" s="6" t="s">
        <v>109</v>
      </c>
      <c r="G501" s="6" t="s">
        <v>109</v>
      </c>
      <c r="H501" s="6" t="s">
        <v>109</v>
      </c>
      <c r="I501" s="6" t="s">
        <v>109</v>
      </c>
      <c r="J501" s="6" t="s">
        <v>109</v>
      </c>
      <c r="K501" s="6" t="s">
        <v>109</v>
      </c>
      <c r="L501" s="6" t="s">
        <v>109</v>
      </c>
      <c r="M501" s="15" t="s">
        <v>2632</v>
      </c>
      <c r="N501" s="4" t="s">
        <v>2633</v>
      </c>
      <c r="O501" s="15" t="s">
        <v>2634</v>
      </c>
      <c r="P501" s="4" t="s">
        <v>2635</v>
      </c>
      <c r="S501" s="15" t="e" cm="1">
        <f t="array" aca="1" ref="S501" ca="1">COMMONMARKETCOUNT(H501:AV501)</f>
        <v>#NAME?</v>
      </c>
      <c r="T501" s="6" t="e" cm="1">
        <f t="array" aca="1" ref="T501" ca="1">AUTOMATEDCOUNT(H501:AV501)</f>
        <v>#NAME?</v>
      </c>
      <c r="V501" s="6" t="s">
        <v>109</v>
      </c>
      <c r="W501" s="6" t="s">
        <v>109</v>
      </c>
      <c r="X501" s="6" t="s">
        <v>109</v>
      </c>
      <c r="Y501" s="6" t="s">
        <v>109</v>
      </c>
      <c r="Z501" s="6" t="s">
        <v>109</v>
      </c>
      <c r="AA501" s="6" t="s">
        <v>109</v>
      </c>
      <c r="AB501" s="6" t="s">
        <v>109</v>
      </c>
      <c r="AC501" s="6" t="s">
        <v>109</v>
      </c>
      <c r="AD501" s="6" t="s">
        <v>109</v>
      </c>
      <c r="AE501" s="6" t="s">
        <v>109</v>
      </c>
      <c r="AF501" s="6" t="s">
        <v>109</v>
      </c>
      <c r="AG501" s="6" t="s">
        <v>109</v>
      </c>
      <c r="AH501" s="6" t="s">
        <v>109</v>
      </c>
      <c r="AI501" s="6" t="s">
        <v>109</v>
      </c>
      <c r="AJ501" s="6" t="s">
        <v>109</v>
      </c>
      <c r="AK501" s="6" t="s">
        <v>109</v>
      </c>
      <c r="AL501" s="6" t="s">
        <v>109</v>
      </c>
      <c r="AM501" s="6" t="s">
        <v>109</v>
      </c>
      <c r="AN501" s="6" t="s">
        <v>109</v>
      </c>
      <c r="AO501" s="6" t="s">
        <v>109</v>
      </c>
      <c r="AP501" s="6" t="s">
        <v>19</v>
      </c>
      <c r="AQ501" s="6" t="s">
        <v>19</v>
      </c>
      <c r="AR501" s="6" t="s">
        <v>19</v>
      </c>
      <c r="AS501" s="6" t="s">
        <v>19</v>
      </c>
      <c r="AT501" s="6" t="s">
        <v>19</v>
      </c>
      <c r="AU501" s="18" t="s">
        <v>109</v>
      </c>
      <c r="AV501" s="36" t="s">
        <v>19</v>
      </c>
    </row>
    <row r="502" spans="1:196" ht="76.5" hidden="1" customHeight="1" x14ac:dyDescent="0.3">
      <c r="A502" s="6" t="s">
        <v>25</v>
      </c>
      <c r="B502" s="6" t="s">
        <v>1823</v>
      </c>
      <c r="C502" s="15" t="s">
        <v>2637</v>
      </c>
      <c r="D502" s="6" t="s">
        <v>32</v>
      </c>
      <c r="E502" s="6" t="s">
        <v>109</v>
      </c>
      <c r="F502" s="6" t="s">
        <v>109</v>
      </c>
      <c r="G502" s="6" t="s">
        <v>109</v>
      </c>
      <c r="H502" s="6" t="s">
        <v>109</v>
      </c>
      <c r="I502" s="6" t="s">
        <v>109</v>
      </c>
      <c r="J502" s="6" t="s">
        <v>109</v>
      </c>
      <c r="K502" s="6" t="s">
        <v>109</v>
      </c>
      <c r="L502" s="6" t="s">
        <v>109</v>
      </c>
      <c r="M502" s="15" t="s">
        <v>2638</v>
      </c>
      <c r="N502" s="4" t="s">
        <v>2639</v>
      </c>
      <c r="O502" s="15" t="s">
        <v>2634</v>
      </c>
      <c r="P502" s="4" t="s">
        <v>2640</v>
      </c>
      <c r="S502" s="15" t="e" cm="1">
        <f t="array" aca="1" ref="S502" ca="1">COMMONMARKETCOUNT(H502:AV502)</f>
        <v>#NAME?</v>
      </c>
      <c r="T502" s="6" t="e" cm="1">
        <f t="array" aca="1" ref="T502" ca="1">AUTOMATEDCOUNT(H502:AV502)</f>
        <v>#NAME?</v>
      </c>
      <c r="V502" s="6" t="s">
        <v>109</v>
      </c>
      <c r="W502" s="6" t="s">
        <v>109</v>
      </c>
      <c r="X502" s="6" t="s">
        <v>109</v>
      </c>
      <c r="Y502" s="6" t="s">
        <v>109</v>
      </c>
      <c r="Z502" s="6" t="s">
        <v>109</v>
      </c>
      <c r="AA502" s="6" t="s">
        <v>109</v>
      </c>
      <c r="AB502" s="6" t="s">
        <v>109</v>
      </c>
      <c r="AC502" s="6" t="s">
        <v>109</v>
      </c>
      <c r="AD502" s="6" t="s">
        <v>109</v>
      </c>
      <c r="AE502" s="6" t="s">
        <v>109</v>
      </c>
      <c r="AF502" s="6" t="s">
        <v>109</v>
      </c>
      <c r="AG502" s="6" t="s">
        <v>109</v>
      </c>
      <c r="AH502" s="6" t="s">
        <v>109</v>
      </c>
      <c r="AI502" s="6" t="s">
        <v>109</v>
      </c>
      <c r="AJ502" s="6" t="s">
        <v>109</v>
      </c>
      <c r="AK502" s="6" t="s">
        <v>109</v>
      </c>
      <c r="AL502" s="6" t="s">
        <v>109</v>
      </c>
      <c r="AM502" s="6" t="s">
        <v>109</v>
      </c>
      <c r="AN502" s="6" t="s">
        <v>109</v>
      </c>
      <c r="AO502" s="6" t="s">
        <v>109</v>
      </c>
      <c r="AP502" s="6" t="s">
        <v>19</v>
      </c>
      <c r="AQ502" s="6" t="s">
        <v>19</v>
      </c>
      <c r="AR502" s="6" t="s">
        <v>19</v>
      </c>
      <c r="AS502" s="6" t="s">
        <v>19</v>
      </c>
      <c r="AT502" s="6" t="s">
        <v>19</v>
      </c>
      <c r="AU502" s="18" t="s">
        <v>109</v>
      </c>
      <c r="AV502" s="36" t="s">
        <v>19</v>
      </c>
    </row>
    <row r="503" spans="1:196" ht="60.75" customHeight="1" x14ac:dyDescent="0.3">
      <c r="A503" s="15" t="s">
        <v>25</v>
      </c>
      <c r="B503" s="15" t="s">
        <v>1823</v>
      </c>
      <c r="C503" s="15" t="s">
        <v>588</v>
      </c>
      <c r="D503" s="15" t="s">
        <v>19</v>
      </c>
      <c r="E503" s="70" t="s">
        <v>19</v>
      </c>
      <c r="F503" s="70" t="s">
        <v>19</v>
      </c>
      <c r="G503" s="70" t="s">
        <v>19</v>
      </c>
      <c r="H503" s="70" t="s">
        <v>19</v>
      </c>
      <c r="I503" s="72" t="s">
        <v>19</v>
      </c>
      <c r="J503" s="72" t="s">
        <v>19</v>
      </c>
      <c r="K503" s="72" t="s">
        <v>19</v>
      </c>
      <c r="L503" s="72" t="s">
        <v>19</v>
      </c>
      <c r="M503" s="15" t="s">
        <v>1877</v>
      </c>
      <c r="N503" s="4" t="s">
        <v>1878</v>
      </c>
      <c r="O503" s="15"/>
      <c r="P503" s="4" t="s">
        <v>1879</v>
      </c>
      <c r="S503" s="15" t="e" cm="1">
        <f t="array" aca="1" ref="S503" ca="1">COMMONMARKETCOUNT(H503:AV503)</f>
        <v>#NAME?</v>
      </c>
      <c r="T503" s="6" t="e" cm="1">
        <f t="array" aca="1" ref="T503" ca="1">AUTOMATEDCOUNT(H503:AV503)</f>
        <v>#NAME?</v>
      </c>
      <c r="V503" s="70" t="s">
        <v>19</v>
      </c>
      <c r="W503" s="70" t="s">
        <v>19</v>
      </c>
      <c r="X503" s="70" t="s">
        <v>19</v>
      </c>
      <c r="Y503" s="70" t="s">
        <v>19</v>
      </c>
      <c r="Z503" s="70" t="s">
        <v>19</v>
      </c>
      <c r="AA503" s="72" t="s">
        <v>19</v>
      </c>
      <c r="AB503" s="72" t="s">
        <v>19</v>
      </c>
      <c r="AC503" s="72" t="s">
        <v>19</v>
      </c>
      <c r="AD503" s="72" t="s">
        <v>19</v>
      </c>
      <c r="AE503" s="18" t="s">
        <v>19</v>
      </c>
      <c r="AF503" s="18" t="s">
        <v>19</v>
      </c>
      <c r="AG503" s="29" t="s">
        <v>19</v>
      </c>
      <c r="AH503" s="18" t="s">
        <v>19</v>
      </c>
      <c r="AI503" s="18" t="s">
        <v>19</v>
      </c>
      <c r="AJ503" s="18" t="s">
        <v>19</v>
      </c>
      <c r="AK503" s="18" t="s">
        <v>19</v>
      </c>
      <c r="AL503" s="18" t="s">
        <v>19</v>
      </c>
      <c r="AM503" s="18" t="s">
        <v>19</v>
      </c>
      <c r="AN503" s="18" t="s">
        <v>19</v>
      </c>
      <c r="AO503" s="18" t="s">
        <v>19</v>
      </c>
      <c r="AP503" s="18" t="s">
        <v>19</v>
      </c>
      <c r="AQ503" s="18" t="s">
        <v>19</v>
      </c>
      <c r="AR503" s="18" t="s">
        <v>19</v>
      </c>
      <c r="AS503" s="70" t="s">
        <v>19</v>
      </c>
      <c r="AT503" s="72" t="s">
        <v>19</v>
      </c>
      <c r="AU503" s="29" t="s">
        <v>3153</v>
      </c>
      <c r="AV503" s="36" t="s">
        <v>19</v>
      </c>
    </row>
    <row r="504" spans="1:196" ht="60.75" hidden="1" customHeight="1" x14ac:dyDescent="0.3">
      <c r="A504" s="6" t="s">
        <v>25</v>
      </c>
      <c r="B504" s="6" t="s">
        <v>2636</v>
      </c>
      <c r="C504" s="15" t="s">
        <v>2641</v>
      </c>
      <c r="D504" s="6" t="s">
        <v>32</v>
      </c>
      <c r="E504" s="6" t="s">
        <v>109</v>
      </c>
      <c r="F504" s="6" t="s">
        <v>109</v>
      </c>
      <c r="G504" s="6" t="s">
        <v>109</v>
      </c>
      <c r="H504" s="6" t="s">
        <v>109</v>
      </c>
      <c r="I504" s="6" t="s">
        <v>109</v>
      </c>
      <c r="J504" s="6" t="s">
        <v>109</v>
      </c>
      <c r="K504" s="6" t="s">
        <v>109</v>
      </c>
      <c r="L504" s="6" t="s">
        <v>109</v>
      </c>
      <c r="M504" s="15" t="s">
        <v>2642</v>
      </c>
      <c r="N504" s="4" t="s">
        <v>2643</v>
      </c>
      <c r="O504" s="15" t="s">
        <v>2634</v>
      </c>
      <c r="P504" s="4" t="s">
        <v>2644</v>
      </c>
      <c r="S504" s="15" t="e" cm="1">
        <f t="array" aca="1" ref="S504" ca="1">COMMONMARKETCOUNT(H504:AV504)</f>
        <v>#NAME?</v>
      </c>
      <c r="T504" s="6" t="e" cm="1">
        <f t="array" aca="1" ref="T504" ca="1">AUTOMATEDCOUNT(H504:AV504)</f>
        <v>#NAME?</v>
      </c>
      <c r="V504" s="6" t="s">
        <v>109</v>
      </c>
      <c r="W504" s="6" t="s">
        <v>109</v>
      </c>
      <c r="X504" s="6" t="s">
        <v>109</v>
      </c>
      <c r="Y504" s="6" t="s">
        <v>109</v>
      </c>
      <c r="Z504" s="6" t="s">
        <v>109</v>
      </c>
      <c r="AA504" s="6" t="s">
        <v>109</v>
      </c>
      <c r="AB504" s="6" t="s">
        <v>109</v>
      </c>
      <c r="AC504" s="6" t="s">
        <v>109</v>
      </c>
      <c r="AD504" s="6" t="s">
        <v>109</v>
      </c>
      <c r="AE504" s="6" t="s">
        <v>109</v>
      </c>
      <c r="AF504" s="6" t="s">
        <v>109</v>
      </c>
      <c r="AG504" s="6" t="s">
        <v>109</v>
      </c>
      <c r="AH504" s="6" t="s">
        <v>109</v>
      </c>
      <c r="AI504" s="6" t="s">
        <v>109</v>
      </c>
      <c r="AJ504" s="6" t="s">
        <v>109</v>
      </c>
      <c r="AK504" s="6" t="s">
        <v>109</v>
      </c>
      <c r="AL504" s="6" t="s">
        <v>109</v>
      </c>
      <c r="AM504" s="6" t="s">
        <v>109</v>
      </c>
      <c r="AN504" s="6" t="s">
        <v>109</v>
      </c>
      <c r="AO504" s="6" t="s">
        <v>109</v>
      </c>
      <c r="AP504" s="6" t="s">
        <v>19</v>
      </c>
      <c r="AQ504" s="6" t="s">
        <v>19</v>
      </c>
      <c r="AR504" s="6" t="s">
        <v>19</v>
      </c>
      <c r="AS504" s="6" t="s">
        <v>19</v>
      </c>
      <c r="AT504" s="6" t="s">
        <v>19</v>
      </c>
      <c r="AU504" s="18" t="s">
        <v>109</v>
      </c>
      <c r="AV504" s="36" t="s">
        <v>19</v>
      </c>
    </row>
    <row r="505" spans="1:196" ht="108" hidden="1" customHeight="1" x14ac:dyDescent="0.3">
      <c r="A505" s="6" t="s">
        <v>25</v>
      </c>
      <c r="B505" s="15" t="s">
        <v>1823</v>
      </c>
      <c r="C505" s="15" t="s">
        <v>2645</v>
      </c>
      <c r="D505" s="6" t="s">
        <v>32</v>
      </c>
      <c r="E505" s="6" t="s">
        <v>19</v>
      </c>
      <c r="F505" s="6" t="s">
        <v>19</v>
      </c>
      <c r="G505" s="6" t="s">
        <v>19</v>
      </c>
      <c r="H505" s="6" t="s">
        <v>19</v>
      </c>
      <c r="I505" s="6" t="s">
        <v>19</v>
      </c>
      <c r="J505" s="6" t="s">
        <v>19</v>
      </c>
      <c r="K505" s="6" t="s">
        <v>19</v>
      </c>
      <c r="L505" s="6" t="s">
        <v>19</v>
      </c>
      <c r="M505" s="15" t="s">
        <v>2646</v>
      </c>
      <c r="N505" s="4" t="s">
        <v>2647</v>
      </c>
      <c r="O505" s="15" t="s">
        <v>2634</v>
      </c>
      <c r="P505" s="4" t="s">
        <v>2648</v>
      </c>
      <c r="S505" s="15" t="e" cm="1">
        <f t="array" aca="1" ref="S505" ca="1">COMMONMARKETCOUNT(H505:AV505)</f>
        <v>#NAME?</v>
      </c>
      <c r="T505" s="6" t="e" cm="1">
        <f t="array" aca="1" ref="T505" ca="1">AUTOMATEDCOUNT(H505:AV505)</f>
        <v>#NAME?</v>
      </c>
      <c r="V505" s="6" t="s">
        <v>109</v>
      </c>
      <c r="W505" s="6" t="s">
        <v>109</v>
      </c>
      <c r="X505" s="6" t="s">
        <v>19</v>
      </c>
      <c r="Y505" s="6" t="s">
        <v>19</v>
      </c>
      <c r="Z505" s="6" t="s">
        <v>19</v>
      </c>
      <c r="AA505" s="6" t="s">
        <v>19</v>
      </c>
      <c r="AB505" s="6" t="s">
        <v>19</v>
      </c>
      <c r="AC505" s="6" t="s">
        <v>19</v>
      </c>
      <c r="AD505" s="6" t="s">
        <v>19</v>
      </c>
      <c r="AE505" s="6" t="s">
        <v>19</v>
      </c>
      <c r="AF505" s="6" t="s">
        <v>19</v>
      </c>
      <c r="AG505" s="6" t="s">
        <v>19</v>
      </c>
      <c r="AH505" s="6" t="s">
        <v>19</v>
      </c>
      <c r="AI505" s="6" t="s">
        <v>19</v>
      </c>
      <c r="AJ505" s="6" t="s">
        <v>19</v>
      </c>
      <c r="AK505" s="6" t="s">
        <v>19</v>
      </c>
      <c r="AL505" s="6" t="s">
        <v>19</v>
      </c>
      <c r="AM505" s="6" t="s">
        <v>19</v>
      </c>
      <c r="AN505" s="6" t="s">
        <v>19</v>
      </c>
      <c r="AO505" s="6" t="s">
        <v>19</v>
      </c>
      <c r="AP505" s="6" t="s">
        <v>19</v>
      </c>
      <c r="AQ505" s="6" t="s">
        <v>19</v>
      </c>
      <c r="AR505" s="6" t="s">
        <v>19</v>
      </c>
      <c r="AS505" s="6" t="s">
        <v>19</v>
      </c>
      <c r="AT505" s="6" t="s">
        <v>19</v>
      </c>
      <c r="AU505" s="6" t="s">
        <v>3153</v>
      </c>
      <c r="AV505" s="36"/>
    </row>
    <row r="506" spans="1:196" ht="84.75" hidden="1" customHeight="1" x14ac:dyDescent="0.3">
      <c r="A506" s="6" t="s">
        <v>25</v>
      </c>
      <c r="B506" s="15" t="s">
        <v>1823</v>
      </c>
      <c r="C506" s="15" t="s">
        <v>2649</v>
      </c>
      <c r="D506" s="6" t="s">
        <v>32</v>
      </c>
      <c r="E506" s="6" t="s">
        <v>19</v>
      </c>
      <c r="F506" s="6" t="s">
        <v>19</v>
      </c>
      <c r="G506" s="6" t="s">
        <v>19</v>
      </c>
      <c r="H506" s="6" t="s">
        <v>19</v>
      </c>
      <c r="I506" s="6" t="s">
        <v>19</v>
      </c>
      <c r="J506" s="6" t="s">
        <v>19</v>
      </c>
      <c r="K506" s="6" t="s">
        <v>19</v>
      </c>
      <c r="L506" s="6" t="s">
        <v>19</v>
      </c>
      <c r="M506" s="15" t="s">
        <v>2650</v>
      </c>
      <c r="N506" s="4" t="s">
        <v>2651</v>
      </c>
      <c r="O506" s="15" t="s">
        <v>2634</v>
      </c>
      <c r="P506" s="4" t="s">
        <v>2652</v>
      </c>
      <c r="S506" s="15" t="e" cm="1">
        <f t="array" aca="1" ref="S506" ca="1">COMMONMARKETCOUNT(H506:AV506)</f>
        <v>#NAME?</v>
      </c>
      <c r="T506" s="6" t="e" cm="1">
        <f t="array" aca="1" ref="T506" ca="1">AUTOMATEDCOUNT(H506:AV506)</f>
        <v>#NAME?</v>
      </c>
      <c r="V506" s="6" t="s">
        <v>109</v>
      </c>
      <c r="W506" s="6" t="s">
        <v>109</v>
      </c>
      <c r="X506" s="6" t="s">
        <v>19</v>
      </c>
      <c r="Y506" s="6" t="s">
        <v>19</v>
      </c>
      <c r="Z506" s="6" t="s">
        <v>19</v>
      </c>
      <c r="AA506" s="6" t="s">
        <v>19</v>
      </c>
      <c r="AB506" s="6" t="s">
        <v>19</v>
      </c>
      <c r="AC506" s="6" t="s">
        <v>19</v>
      </c>
      <c r="AD506" s="6" t="s">
        <v>19</v>
      </c>
      <c r="AE506" s="6" t="s">
        <v>19</v>
      </c>
      <c r="AF506" s="6" t="s">
        <v>19</v>
      </c>
      <c r="AG506" s="6" t="s">
        <v>19</v>
      </c>
      <c r="AH506" s="6" t="s">
        <v>19</v>
      </c>
      <c r="AI506" s="6" t="s">
        <v>19</v>
      </c>
      <c r="AJ506" s="6" t="s">
        <v>19</v>
      </c>
      <c r="AK506" s="6" t="s">
        <v>19</v>
      </c>
      <c r="AL506" s="6" t="s">
        <v>19</v>
      </c>
      <c r="AM506" s="6" t="s">
        <v>19</v>
      </c>
      <c r="AN506" s="6" t="s">
        <v>19</v>
      </c>
      <c r="AO506" s="6" t="s">
        <v>19</v>
      </c>
      <c r="AP506" s="6" t="s">
        <v>19</v>
      </c>
      <c r="AQ506" s="6" t="s">
        <v>19</v>
      </c>
      <c r="AR506" s="6" t="s">
        <v>19</v>
      </c>
      <c r="AS506" s="6" t="s">
        <v>19</v>
      </c>
      <c r="AT506" s="6" t="s">
        <v>19</v>
      </c>
      <c r="AU506" s="6" t="s">
        <v>3153</v>
      </c>
      <c r="AV506" s="36"/>
    </row>
    <row r="507" spans="1:196" ht="99" hidden="1" customHeight="1" x14ac:dyDescent="0.3">
      <c r="A507" s="6" t="s">
        <v>25</v>
      </c>
      <c r="B507" s="15" t="s">
        <v>1823</v>
      </c>
      <c r="C507" s="15" t="s">
        <v>2653</v>
      </c>
      <c r="D507" s="6" t="s">
        <v>32</v>
      </c>
      <c r="E507" s="6" t="s">
        <v>19</v>
      </c>
      <c r="F507" s="6" t="s">
        <v>19</v>
      </c>
      <c r="G507" s="6" t="s">
        <v>19</v>
      </c>
      <c r="H507" s="6" t="s">
        <v>19</v>
      </c>
      <c r="I507" s="6" t="s">
        <v>19</v>
      </c>
      <c r="J507" s="6" t="s">
        <v>19</v>
      </c>
      <c r="K507" s="6" t="s">
        <v>19</v>
      </c>
      <c r="L507" s="6" t="s">
        <v>19</v>
      </c>
      <c r="M507" s="15" t="s">
        <v>2654</v>
      </c>
      <c r="N507" s="4" t="s">
        <v>2655</v>
      </c>
      <c r="O507" s="15" t="s">
        <v>2634</v>
      </c>
      <c r="P507" s="4" t="s">
        <v>2656</v>
      </c>
      <c r="S507" s="15" t="e" cm="1">
        <f t="array" aca="1" ref="S507" ca="1">COMMONMARKETCOUNT(H507:AV507)</f>
        <v>#NAME?</v>
      </c>
      <c r="T507" s="6" t="e" cm="1">
        <f t="array" aca="1" ref="T507" ca="1">AUTOMATEDCOUNT(H507:AV507)</f>
        <v>#NAME?</v>
      </c>
      <c r="V507" s="6" t="s">
        <v>109</v>
      </c>
      <c r="W507" s="6" t="s">
        <v>109</v>
      </c>
      <c r="X507" s="6" t="s">
        <v>19</v>
      </c>
      <c r="Y507" s="6" t="s">
        <v>19</v>
      </c>
      <c r="Z507" s="6" t="s">
        <v>19</v>
      </c>
      <c r="AA507" s="6" t="s">
        <v>19</v>
      </c>
      <c r="AB507" s="6" t="s">
        <v>19</v>
      </c>
      <c r="AC507" s="6" t="s">
        <v>19</v>
      </c>
      <c r="AD507" s="6" t="s">
        <v>19</v>
      </c>
      <c r="AE507" s="6" t="s">
        <v>19</v>
      </c>
      <c r="AF507" s="6" t="s">
        <v>19</v>
      </c>
      <c r="AG507" s="6" t="s">
        <v>19</v>
      </c>
      <c r="AH507" s="6" t="s">
        <v>19</v>
      </c>
      <c r="AI507" s="6" t="s">
        <v>19</v>
      </c>
      <c r="AJ507" s="6" t="s">
        <v>19</v>
      </c>
      <c r="AK507" s="6" t="s">
        <v>19</v>
      </c>
      <c r="AL507" s="6" t="s">
        <v>19</v>
      </c>
      <c r="AM507" s="6" t="s">
        <v>19</v>
      </c>
      <c r="AN507" s="6" t="s">
        <v>19</v>
      </c>
      <c r="AO507" s="6" t="s">
        <v>19</v>
      </c>
      <c r="AP507" s="6" t="s">
        <v>19</v>
      </c>
      <c r="AQ507" s="6" t="s">
        <v>19</v>
      </c>
      <c r="AR507" s="6" t="s">
        <v>19</v>
      </c>
      <c r="AS507" s="6" t="s">
        <v>19</v>
      </c>
      <c r="AT507" s="6" t="s">
        <v>19</v>
      </c>
      <c r="AU507" s="6" t="s">
        <v>3153</v>
      </c>
      <c r="AV507" s="36"/>
      <c r="AW507" s="5"/>
      <c r="AX507" s="5"/>
      <c r="AY507" s="5"/>
      <c r="AZ507" s="5"/>
      <c r="BA507" s="5"/>
      <c r="BB507" s="5"/>
      <c r="BC507" s="5"/>
      <c r="BD507" s="5"/>
      <c r="BE507" s="5"/>
      <c r="BF507" s="5"/>
      <c r="BG507" s="5"/>
      <c r="BH507" s="5"/>
      <c r="BI507" s="5"/>
      <c r="BJ507" s="5"/>
      <c r="BK507" s="5"/>
      <c r="BL507" s="5"/>
      <c r="BM507" s="5"/>
      <c r="BN507" s="5"/>
      <c r="BO507" s="5"/>
      <c r="BP507" s="5"/>
      <c r="BQ507" s="5"/>
      <c r="BR507" s="5"/>
      <c r="BS507" s="5"/>
      <c r="BT507" s="5"/>
      <c r="BU507" s="5"/>
      <c r="BV507" s="5"/>
      <c r="BW507" s="5"/>
      <c r="BX507" s="5"/>
      <c r="BY507" s="5"/>
      <c r="BZ507" s="5"/>
      <c r="CA507" s="5"/>
      <c r="CB507" s="5"/>
      <c r="CC507" s="5"/>
      <c r="CD507" s="5"/>
      <c r="CE507" s="5"/>
      <c r="CF507" s="5"/>
      <c r="CG507" s="5"/>
      <c r="CH507" s="5"/>
      <c r="CI507" s="5"/>
      <c r="CJ507" s="5"/>
      <c r="CK507" s="5"/>
      <c r="CL507" s="5"/>
      <c r="CM507" s="5"/>
      <c r="CN507" s="5"/>
      <c r="CO507" s="5"/>
      <c r="CP507" s="5"/>
      <c r="CQ507" s="5"/>
      <c r="CR507" s="5"/>
      <c r="CS507" s="5"/>
      <c r="CT507" s="5"/>
      <c r="CU507" s="5"/>
      <c r="CV507" s="5"/>
      <c r="CW507" s="5"/>
      <c r="CX507" s="5"/>
      <c r="CY507" s="5"/>
      <c r="CZ507" s="5"/>
      <c r="DA507" s="5"/>
      <c r="DB507" s="5"/>
      <c r="DC507" s="5"/>
      <c r="DD507" s="5"/>
      <c r="DE507" s="5"/>
      <c r="DF507" s="5"/>
      <c r="DG507" s="5"/>
      <c r="DH507" s="5"/>
      <c r="DI507" s="5"/>
      <c r="DJ507" s="5"/>
      <c r="DK507" s="5"/>
      <c r="DL507" s="5"/>
      <c r="DM507" s="5"/>
      <c r="DN507" s="5"/>
      <c r="DO507" s="5"/>
      <c r="DP507" s="5"/>
      <c r="DQ507" s="5"/>
      <c r="DR507" s="5"/>
      <c r="DS507" s="5"/>
      <c r="DT507" s="5"/>
      <c r="DU507" s="5"/>
      <c r="DV507" s="5"/>
      <c r="DW507" s="5"/>
      <c r="DX507" s="5"/>
      <c r="DY507" s="5"/>
      <c r="DZ507" s="5"/>
      <c r="EA507" s="5"/>
      <c r="EB507" s="5"/>
      <c r="EC507" s="5"/>
      <c r="ED507" s="5"/>
      <c r="EE507" s="5"/>
      <c r="EF507" s="5"/>
      <c r="EG507" s="5"/>
      <c r="EH507" s="5"/>
      <c r="EI507" s="5"/>
      <c r="EJ507" s="5"/>
      <c r="EK507" s="5"/>
      <c r="EL507" s="5"/>
      <c r="EM507" s="5"/>
      <c r="EN507" s="5"/>
      <c r="EO507" s="5"/>
      <c r="EP507" s="5"/>
      <c r="EQ507" s="5"/>
      <c r="ER507" s="5"/>
      <c r="ES507" s="5"/>
      <c r="ET507" s="5"/>
      <c r="EU507" s="5"/>
      <c r="EV507" s="5"/>
      <c r="EW507" s="5"/>
      <c r="EX507" s="5"/>
      <c r="EY507" s="5"/>
      <c r="EZ507" s="5"/>
      <c r="FA507" s="5"/>
      <c r="FB507" s="5"/>
      <c r="FC507" s="5"/>
      <c r="FD507" s="5"/>
      <c r="FE507" s="5"/>
      <c r="FF507" s="5"/>
      <c r="FG507" s="5"/>
      <c r="FH507" s="5"/>
      <c r="FI507" s="5"/>
      <c r="FJ507" s="5"/>
      <c r="FK507" s="5"/>
      <c r="FL507" s="5"/>
      <c r="FM507" s="5"/>
      <c r="FN507" s="5"/>
      <c r="FO507" s="5"/>
      <c r="FP507" s="5"/>
      <c r="FQ507" s="5"/>
      <c r="FR507" s="5"/>
      <c r="FS507" s="5"/>
      <c r="FT507" s="5"/>
      <c r="FU507" s="5"/>
      <c r="FV507" s="5"/>
      <c r="FW507" s="5"/>
      <c r="FX507" s="5"/>
      <c r="FY507" s="5"/>
      <c r="FZ507" s="5"/>
      <c r="GA507" s="5"/>
      <c r="GB507" s="5"/>
      <c r="GC507" s="5"/>
      <c r="GD507" s="5"/>
      <c r="GE507" s="5"/>
      <c r="GF507" s="5"/>
      <c r="GG507" s="5"/>
      <c r="GH507" s="5"/>
      <c r="GI507" s="5"/>
      <c r="GJ507" s="5"/>
      <c r="GK507" s="5"/>
      <c r="GL507" s="5"/>
      <c r="GM507" s="5"/>
      <c r="GN507" s="5"/>
    </row>
    <row r="508" spans="1:196" ht="57" hidden="1" customHeight="1" x14ac:dyDescent="0.3">
      <c r="A508" s="15" t="s">
        <v>18</v>
      </c>
      <c r="B508" s="18" t="s">
        <v>239</v>
      </c>
      <c r="C508" s="15" t="s">
        <v>2657</v>
      </c>
      <c r="D508" s="18" t="s">
        <v>32</v>
      </c>
      <c r="E508" s="6" t="s">
        <v>19</v>
      </c>
      <c r="F508" s="6" t="s">
        <v>19</v>
      </c>
      <c r="G508" s="6" t="s">
        <v>19</v>
      </c>
      <c r="H508" s="6" t="s">
        <v>19</v>
      </c>
      <c r="I508" s="6" t="s">
        <v>19</v>
      </c>
      <c r="J508" s="6" t="s">
        <v>19</v>
      </c>
      <c r="K508" s="6" t="s">
        <v>19</v>
      </c>
      <c r="L508" s="6" t="s">
        <v>19</v>
      </c>
      <c r="M508" s="15" t="s">
        <v>2658</v>
      </c>
      <c r="N508" s="4" t="s">
        <v>2659</v>
      </c>
      <c r="O508" s="15" t="s">
        <v>1654</v>
      </c>
      <c r="P508" s="4" t="s">
        <v>2660</v>
      </c>
      <c r="S508" s="15" t="e" cm="1">
        <f t="array" aca="1" ref="S508" ca="1">COMMONMARKETCOUNT(H508:AV508)</f>
        <v>#NAME?</v>
      </c>
      <c r="T508" s="6" t="e" cm="1">
        <f t="array" aca="1" ref="T508" ca="1">AUTOMATEDCOUNT(H508:AV508)</f>
        <v>#NAME?</v>
      </c>
      <c r="V508" s="6" t="s">
        <v>19</v>
      </c>
      <c r="W508" s="6" t="s">
        <v>19</v>
      </c>
      <c r="X508" s="6" t="s">
        <v>19</v>
      </c>
      <c r="Y508" s="6" t="s">
        <v>19</v>
      </c>
      <c r="Z508" s="6" t="s">
        <v>19</v>
      </c>
      <c r="AA508" s="6" t="s">
        <v>19</v>
      </c>
      <c r="AB508" s="6" t="s">
        <v>19</v>
      </c>
      <c r="AC508" s="6" t="s">
        <v>19</v>
      </c>
      <c r="AD508" s="6" t="s">
        <v>19</v>
      </c>
      <c r="AE508" s="6" t="s">
        <v>19</v>
      </c>
      <c r="AF508" s="6" t="s">
        <v>19</v>
      </c>
      <c r="AG508" s="6" t="s">
        <v>19</v>
      </c>
      <c r="AH508" s="6" t="s">
        <v>19</v>
      </c>
      <c r="AI508" s="6" t="s">
        <v>19</v>
      </c>
      <c r="AJ508" s="6" t="s">
        <v>19</v>
      </c>
      <c r="AK508" s="6" t="s">
        <v>19</v>
      </c>
      <c r="AL508" s="6" t="s">
        <v>19</v>
      </c>
      <c r="AM508" s="6" t="s">
        <v>19</v>
      </c>
      <c r="AN508" s="6" t="s">
        <v>19</v>
      </c>
      <c r="AO508" s="6" t="s">
        <v>19</v>
      </c>
      <c r="AP508" s="6" t="s">
        <v>19</v>
      </c>
      <c r="AQ508" s="6" t="s">
        <v>19</v>
      </c>
      <c r="AR508" s="6" t="s">
        <v>19</v>
      </c>
      <c r="AS508" s="6" t="s">
        <v>19</v>
      </c>
      <c r="AT508" s="6" t="s">
        <v>19</v>
      </c>
      <c r="AU508" s="6" t="s">
        <v>3153</v>
      </c>
      <c r="AV508" s="36"/>
      <c r="AW508" s="5"/>
      <c r="AX508" s="5"/>
      <c r="AY508" s="5"/>
      <c r="AZ508" s="5"/>
      <c r="BA508" s="5"/>
      <c r="BB508" s="5"/>
      <c r="BC508" s="5"/>
      <c r="BD508" s="5"/>
      <c r="BE508" s="5"/>
      <c r="BF508" s="5"/>
      <c r="BG508" s="5"/>
      <c r="BH508" s="5"/>
      <c r="BI508" s="5"/>
      <c r="BJ508" s="5"/>
      <c r="BK508" s="5"/>
      <c r="BL508" s="5"/>
      <c r="BM508" s="5"/>
      <c r="BN508" s="5"/>
      <c r="BO508" s="5"/>
      <c r="BP508" s="5"/>
      <c r="BQ508" s="5"/>
      <c r="BR508" s="5"/>
      <c r="BS508" s="5"/>
      <c r="BT508" s="5"/>
      <c r="BU508" s="5"/>
      <c r="BV508" s="5"/>
      <c r="BW508" s="5"/>
      <c r="BX508" s="5"/>
      <c r="BY508" s="5"/>
      <c r="BZ508" s="5"/>
      <c r="CA508" s="5"/>
      <c r="CB508" s="5"/>
      <c r="CC508" s="5"/>
      <c r="CD508" s="5"/>
      <c r="CE508" s="5"/>
      <c r="CF508" s="5"/>
      <c r="CG508" s="5"/>
      <c r="CH508" s="5"/>
      <c r="CI508" s="5"/>
      <c r="CJ508" s="5"/>
      <c r="CK508" s="5"/>
      <c r="CL508" s="5"/>
      <c r="CM508" s="5"/>
      <c r="CN508" s="5"/>
      <c r="CO508" s="5"/>
      <c r="CP508" s="5"/>
      <c r="CQ508" s="5"/>
      <c r="CR508" s="5"/>
      <c r="CS508" s="5"/>
      <c r="CT508" s="5"/>
      <c r="CU508" s="5"/>
      <c r="CV508" s="5"/>
      <c r="CW508" s="5"/>
      <c r="CX508" s="5"/>
      <c r="CY508" s="5"/>
      <c r="CZ508" s="5"/>
      <c r="DA508" s="5"/>
      <c r="DB508" s="5"/>
      <c r="DC508" s="5"/>
      <c r="DD508" s="5"/>
      <c r="DE508" s="5"/>
      <c r="DF508" s="5"/>
      <c r="DG508" s="5"/>
      <c r="DH508" s="5"/>
      <c r="DI508" s="5"/>
      <c r="DJ508" s="5"/>
      <c r="DK508" s="5"/>
      <c r="DL508" s="5"/>
      <c r="DM508" s="5"/>
      <c r="DN508" s="5"/>
      <c r="DO508" s="5"/>
      <c r="DP508" s="5"/>
      <c r="DQ508" s="5"/>
      <c r="DR508" s="5"/>
      <c r="DS508" s="5"/>
      <c r="DT508" s="5"/>
      <c r="DU508" s="5"/>
      <c r="DV508" s="5"/>
      <c r="DW508" s="5"/>
      <c r="DX508" s="5"/>
      <c r="DY508" s="5"/>
      <c r="DZ508" s="5"/>
      <c r="EA508" s="5"/>
      <c r="EB508" s="5"/>
      <c r="EC508" s="5"/>
      <c r="ED508" s="5"/>
      <c r="EE508" s="5"/>
      <c r="EF508" s="5"/>
      <c r="EG508" s="5"/>
      <c r="EH508" s="5"/>
      <c r="EI508" s="5"/>
      <c r="EJ508" s="5"/>
      <c r="EK508" s="5"/>
      <c r="EL508" s="5"/>
      <c r="EM508" s="5"/>
      <c r="EN508" s="5"/>
      <c r="EO508" s="5"/>
      <c r="EP508" s="5"/>
      <c r="EQ508" s="5"/>
      <c r="ER508" s="5"/>
      <c r="ES508" s="5"/>
      <c r="ET508" s="5"/>
      <c r="EU508" s="5"/>
      <c r="EV508" s="5"/>
      <c r="EW508" s="5"/>
      <c r="EX508" s="5"/>
      <c r="EY508" s="5"/>
      <c r="EZ508" s="5"/>
      <c r="FA508" s="5"/>
      <c r="FB508" s="5"/>
      <c r="FC508" s="5"/>
      <c r="FD508" s="5"/>
      <c r="FE508" s="5"/>
      <c r="FF508" s="5"/>
      <c r="FG508" s="5"/>
      <c r="FH508" s="5"/>
      <c r="FI508" s="5"/>
      <c r="FJ508" s="5"/>
      <c r="FK508" s="5"/>
      <c r="FL508" s="5"/>
      <c r="FM508" s="5"/>
      <c r="FN508" s="5"/>
      <c r="FO508" s="5"/>
      <c r="FP508" s="5"/>
      <c r="FQ508" s="5"/>
      <c r="FR508" s="5"/>
      <c r="FS508" s="5"/>
      <c r="FT508" s="5"/>
      <c r="FU508" s="5"/>
      <c r="FV508" s="5"/>
      <c r="FW508" s="5"/>
      <c r="FX508" s="5"/>
      <c r="FY508" s="5"/>
      <c r="FZ508" s="5"/>
      <c r="GA508" s="5"/>
      <c r="GB508" s="5"/>
      <c r="GC508" s="5"/>
      <c r="GD508" s="5"/>
      <c r="GE508" s="5"/>
      <c r="GF508" s="5"/>
      <c r="GG508" s="5"/>
      <c r="GH508" s="5"/>
      <c r="GI508" s="5"/>
      <c r="GJ508" s="5"/>
      <c r="GK508" s="5"/>
      <c r="GL508" s="5"/>
      <c r="GM508" s="5"/>
      <c r="GN508" s="5"/>
    </row>
    <row r="509" spans="1:196" ht="77.25" hidden="1" customHeight="1" x14ac:dyDescent="0.3">
      <c r="A509" s="15" t="s">
        <v>18</v>
      </c>
      <c r="B509" s="18" t="s">
        <v>239</v>
      </c>
      <c r="C509" s="15" t="s">
        <v>2661</v>
      </c>
      <c r="D509" s="18" t="s">
        <v>32</v>
      </c>
      <c r="E509" s="6" t="s">
        <v>19</v>
      </c>
      <c r="F509" s="6" t="s">
        <v>19</v>
      </c>
      <c r="G509" s="6" t="s">
        <v>19</v>
      </c>
      <c r="H509" s="6" t="s">
        <v>19</v>
      </c>
      <c r="I509" s="6" t="s">
        <v>19</v>
      </c>
      <c r="J509" s="6" t="s">
        <v>19</v>
      </c>
      <c r="K509" s="6" t="s">
        <v>19</v>
      </c>
      <c r="L509" s="6" t="s">
        <v>19</v>
      </c>
      <c r="M509" s="15" t="s">
        <v>2662</v>
      </c>
      <c r="N509" s="4" t="s">
        <v>2663</v>
      </c>
      <c r="O509" s="15" t="s">
        <v>1654</v>
      </c>
      <c r="P509" s="4" t="s">
        <v>2664</v>
      </c>
      <c r="S509" s="15" t="e" cm="1">
        <f t="array" aca="1" ref="S509" ca="1">COMMONMARKETCOUNT(H509:AV509)</f>
        <v>#NAME?</v>
      </c>
      <c r="T509" s="6" t="e" cm="1">
        <f t="array" aca="1" ref="T509" ca="1">AUTOMATEDCOUNT(H509:AV509)</f>
        <v>#NAME?</v>
      </c>
      <c r="V509" s="6" t="s">
        <v>19</v>
      </c>
      <c r="W509" s="6" t="s">
        <v>19</v>
      </c>
      <c r="X509" s="6" t="s">
        <v>19</v>
      </c>
      <c r="Y509" s="6" t="s">
        <v>19</v>
      </c>
      <c r="Z509" s="6" t="s">
        <v>19</v>
      </c>
      <c r="AA509" s="6" t="s">
        <v>19</v>
      </c>
      <c r="AB509" s="6" t="s">
        <v>19</v>
      </c>
      <c r="AC509" s="6" t="s">
        <v>19</v>
      </c>
      <c r="AD509" s="6" t="s">
        <v>19</v>
      </c>
      <c r="AE509" s="6" t="s">
        <v>19</v>
      </c>
      <c r="AF509" s="6" t="s">
        <v>19</v>
      </c>
      <c r="AG509" s="6" t="s">
        <v>19</v>
      </c>
      <c r="AH509" s="6" t="s">
        <v>19</v>
      </c>
      <c r="AI509" s="6" t="s">
        <v>19</v>
      </c>
      <c r="AJ509" s="6" t="s">
        <v>19</v>
      </c>
      <c r="AK509" s="6" t="s">
        <v>19</v>
      </c>
      <c r="AL509" s="6" t="s">
        <v>19</v>
      </c>
      <c r="AM509" s="6" t="s">
        <v>19</v>
      </c>
      <c r="AN509" s="6" t="s">
        <v>19</v>
      </c>
      <c r="AO509" s="6" t="s">
        <v>19</v>
      </c>
      <c r="AP509" s="6" t="s">
        <v>19</v>
      </c>
      <c r="AQ509" s="6" t="s">
        <v>19</v>
      </c>
      <c r="AR509" s="6" t="s">
        <v>19</v>
      </c>
      <c r="AS509" s="6" t="s">
        <v>19</v>
      </c>
      <c r="AT509" s="6" t="s">
        <v>19</v>
      </c>
      <c r="AU509" s="6" t="s">
        <v>3153</v>
      </c>
      <c r="AV509" s="36"/>
    </row>
    <row r="510" spans="1:196" ht="111" hidden="1" customHeight="1" x14ac:dyDescent="0.3">
      <c r="A510" s="15" t="s">
        <v>18</v>
      </c>
      <c r="B510" s="18" t="s">
        <v>239</v>
      </c>
      <c r="C510" s="15" t="s">
        <v>2665</v>
      </c>
      <c r="D510" s="18" t="s">
        <v>32</v>
      </c>
      <c r="E510" s="6" t="s">
        <v>19</v>
      </c>
      <c r="F510" s="6" t="s">
        <v>19</v>
      </c>
      <c r="G510" s="6" t="s">
        <v>19</v>
      </c>
      <c r="H510" s="6" t="s">
        <v>19</v>
      </c>
      <c r="I510" s="6" t="s">
        <v>19</v>
      </c>
      <c r="J510" s="6" t="s">
        <v>19</v>
      </c>
      <c r="K510" s="6" t="s">
        <v>19</v>
      </c>
      <c r="L510" s="6" t="s">
        <v>19</v>
      </c>
      <c r="M510" s="15" t="s">
        <v>2666</v>
      </c>
      <c r="N510" s="4" t="s">
        <v>2667</v>
      </c>
      <c r="O510" s="15" t="s">
        <v>1654</v>
      </c>
      <c r="P510" s="4" t="s">
        <v>2668</v>
      </c>
      <c r="S510" s="15" t="e" cm="1">
        <f t="array" aca="1" ref="S510" ca="1">COMMONMARKETCOUNT(H510:AV510)</f>
        <v>#NAME?</v>
      </c>
      <c r="T510" s="6" t="e" cm="1">
        <f t="array" aca="1" ref="T510" ca="1">AUTOMATEDCOUNT(H510:AV510)</f>
        <v>#NAME?</v>
      </c>
      <c r="V510" s="6" t="s">
        <v>19</v>
      </c>
      <c r="W510" s="6" t="s">
        <v>19</v>
      </c>
      <c r="X510" s="6" t="s">
        <v>19</v>
      </c>
      <c r="Y510" s="6" t="s">
        <v>19</v>
      </c>
      <c r="Z510" s="6" t="s">
        <v>19</v>
      </c>
      <c r="AA510" s="6" t="s">
        <v>19</v>
      </c>
      <c r="AB510" s="6" t="s">
        <v>19</v>
      </c>
      <c r="AC510" s="6" t="s">
        <v>19</v>
      </c>
      <c r="AD510" s="6" t="s">
        <v>19</v>
      </c>
      <c r="AE510" s="6" t="s">
        <v>19</v>
      </c>
      <c r="AF510" s="6" t="s">
        <v>19</v>
      </c>
      <c r="AG510" s="6" t="s">
        <v>19</v>
      </c>
      <c r="AH510" s="6" t="s">
        <v>19</v>
      </c>
      <c r="AI510" s="6" t="s">
        <v>19</v>
      </c>
      <c r="AJ510" s="6" t="s">
        <v>19</v>
      </c>
      <c r="AK510" s="6" t="s">
        <v>19</v>
      </c>
      <c r="AL510" s="6" t="s">
        <v>19</v>
      </c>
      <c r="AM510" s="6" t="s">
        <v>19</v>
      </c>
      <c r="AN510" s="6" t="s">
        <v>19</v>
      </c>
      <c r="AO510" s="6" t="s">
        <v>19</v>
      </c>
      <c r="AP510" s="6" t="s">
        <v>19</v>
      </c>
      <c r="AQ510" s="6" t="s">
        <v>19</v>
      </c>
      <c r="AR510" s="6" t="s">
        <v>19</v>
      </c>
      <c r="AS510" s="6" t="s">
        <v>19</v>
      </c>
      <c r="AT510" s="6" t="s">
        <v>19</v>
      </c>
      <c r="AU510" s="6" t="s">
        <v>3153</v>
      </c>
      <c r="AV510" s="36"/>
    </row>
    <row r="511" spans="1:196" ht="89.25" hidden="1" customHeight="1" x14ac:dyDescent="0.3">
      <c r="A511" s="15" t="s">
        <v>18</v>
      </c>
      <c r="B511" s="18" t="s">
        <v>239</v>
      </c>
      <c r="C511" s="15" t="s">
        <v>2669</v>
      </c>
      <c r="D511" s="18" t="s">
        <v>32</v>
      </c>
      <c r="E511" s="6" t="s">
        <v>19</v>
      </c>
      <c r="F511" s="6" t="s">
        <v>19</v>
      </c>
      <c r="G511" s="6" t="s">
        <v>19</v>
      </c>
      <c r="H511" s="6" t="s">
        <v>19</v>
      </c>
      <c r="I511" s="6" t="s">
        <v>19</v>
      </c>
      <c r="J511" s="6" t="s">
        <v>19</v>
      </c>
      <c r="K511" s="6" t="s">
        <v>19</v>
      </c>
      <c r="L511" s="6" t="s">
        <v>19</v>
      </c>
      <c r="M511" s="15" t="s">
        <v>2670</v>
      </c>
      <c r="N511" s="4" t="s">
        <v>2671</v>
      </c>
      <c r="O511" s="4" t="s">
        <v>1649</v>
      </c>
      <c r="P511" s="4" t="s">
        <v>2672</v>
      </c>
      <c r="S511" s="15" t="e" cm="1">
        <f t="array" aca="1" ref="S511" ca="1">COMMONMARKETCOUNT(H511:AV511)</f>
        <v>#NAME?</v>
      </c>
      <c r="T511" s="6" t="e" cm="1">
        <f t="array" aca="1" ref="T511" ca="1">AUTOMATEDCOUNT(H511:AV511)</f>
        <v>#NAME?</v>
      </c>
      <c r="V511" s="6" t="s">
        <v>19</v>
      </c>
      <c r="W511" s="6" t="s">
        <v>19</v>
      </c>
      <c r="X511" s="6" t="s">
        <v>19</v>
      </c>
      <c r="Y511" s="6" t="s">
        <v>19</v>
      </c>
      <c r="Z511" s="6" t="s">
        <v>19</v>
      </c>
      <c r="AA511" s="6" t="s">
        <v>19</v>
      </c>
      <c r="AB511" s="6" t="s">
        <v>19</v>
      </c>
      <c r="AC511" s="6" t="s">
        <v>19</v>
      </c>
      <c r="AD511" s="6" t="s">
        <v>19</v>
      </c>
      <c r="AE511" s="6" t="s">
        <v>19</v>
      </c>
      <c r="AF511" s="6" t="s">
        <v>19</v>
      </c>
      <c r="AG511" s="6" t="s">
        <v>19</v>
      </c>
      <c r="AH511" s="6" t="s">
        <v>19</v>
      </c>
      <c r="AI511" s="6" t="s">
        <v>19</v>
      </c>
      <c r="AJ511" s="6" t="s">
        <v>19</v>
      </c>
      <c r="AK511" s="6" t="s">
        <v>19</v>
      </c>
      <c r="AL511" s="6" t="s">
        <v>19</v>
      </c>
      <c r="AM511" s="6" t="s">
        <v>19</v>
      </c>
      <c r="AN511" s="6" t="s">
        <v>19</v>
      </c>
      <c r="AO511" s="6" t="s">
        <v>19</v>
      </c>
      <c r="AP511" s="6" t="s">
        <v>19</v>
      </c>
      <c r="AQ511" s="6" t="s">
        <v>19</v>
      </c>
      <c r="AR511" s="6" t="s">
        <v>19</v>
      </c>
      <c r="AS511" s="6" t="s">
        <v>19</v>
      </c>
      <c r="AT511" s="6" t="s">
        <v>19</v>
      </c>
      <c r="AU511" s="6" t="s">
        <v>3153</v>
      </c>
      <c r="AV511" s="36"/>
    </row>
    <row r="512" spans="1:196" ht="54.75" hidden="1" customHeight="1" x14ac:dyDescent="0.3">
      <c r="A512" s="6" t="s">
        <v>25</v>
      </c>
      <c r="B512" s="6" t="s">
        <v>1124</v>
      </c>
      <c r="C512" s="15" t="s">
        <v>2673</v>
      </c>
      <c r="D512" s="6" t="s">
        <v>32</v>
      </c>
      <c r="E512" s="6" t="s">
        <v>109</v>
      </c>
      <c r="F512" s="6" t="s">
        <v>109</v>
      </c>
      <c r="G512" s="6" t="s">
        <v>109</v>
      </c>
      <c r="H512" s="6" t="s">
        <v>109</v>
      </c>
      <c r="I512" s="6" t="s">
        <v>109</v>
      </c>
      <c r="J512" s="6" t="s">
        <v>109</v>
      </c>
      <c r="K512" s="6" t="s">
        <v>109</v>
      </c>
      <c r="L512" s="6" t="s">
        <v>109</v>
      </c>
      <c r="M512" s="15" t="s">
        <v>2674</v>
      </c>
      <c r="N512" s="4" t="s">
        <v>2675</v>
      </c>
      <c r="O512" s="107" t="s">
        <v>2676</v>
      </c>
      <c r="P512" s="4" t="s">
        <v>2677</v>
      </c>
      <c r="S512" s="15" t="e" cm="1">
        <f t="array" aca="1" ref="S512" ca="1">COMMONMARKETCOUNT(H512:AV512)</f>
        <v>#NAME?</v>
      </c>
      <c r="T512" s="6" t="e" cm="1">
        <f t="array" aca="1" ref="T512" ca="1">AUTOMATEDCOUNT(H512:AV512)</f>
        <v>#NAME?</v>
      </c>
      <c r="V512" s="6" t="s">
        <v>109</v>
      </c>
      <c r="W512" s="6" t="s">
        <v>109</v>
      </c>
      <c r="X512" s="6" t="s">
        <v>109</v>
      </c>
      <c r="Y512" s="6" t="s">
        <v>109</v>
      </c>
      <c r="Z512" s="6" t="s">
        <v>109</v>
      </c>
      <c r="AA512" s="6" t="s">
        <v>109</v>
      </c>
      <c r="AB512" s="6" t="s">
        <v>109</v>
      </c>
      <c r="AC512" s="6" t="s">
        <v>109</v>
      </c>
      <c r="AD512" s="6" t="s">
        <v>109</v>
      </c>
      <c r="AE512" s="6" t="s">
        <v>109</v>
      </c>
      <c r="AF512" s="6" t="s">
        <v>109</v>
      </c>
      <c r="AG512" s="6" t="s">
        <v>109</v>
      </c>
      <c r="AH512" s="6" t="s">
        <v>109</v>
      </c>
      <c r="AI512" s="6" t="s">
        <v>109</v>
      </c>
      <c r="AJ512" s="6" t="s">
        <v>109</v>
      </c>
      <c r="AK512" s="6" t="s">
        <v>109</v>
      </c>
      <c r="AL512" s="6" t="s">
        <v>109</v>
      </c>
      <c r="AM512" s="6" t="s">
        <v>109</v>
      </c>
      <c r="AN512" s="6" t="s">
        <v>109</v>
      </c>
      <c r="AO512" s="6" t="s">
        <v>109</v>
      </c>
      <c r="AP512" s="6" t="s">
        <v>109</v>
      </c>
      <c r="AQ512" s="6" t="s">
        <v>109</v>
      </c>
      <c r="AR512" s="6" t="s">
        <v>2678</v>
      </c>
      <c r="AS512" s="6" t="s">
        <v>109</v>
      </c>
      <c r="AT512" s="6" t="s">
        <v>109</v>
      </c>
      <c r="AU512" s="6" t="s">
        <v>109</v>
      </c>
      <c r="AV512" s="36" t="s">
        <v>19</v>
      </c>
    </row>
    <row r="513" spans="1:48" ht="78.75" hidden="1" customHeight="1" x14ac:dyDescent="0.3">
      <c r="A513" s="4" t="s">
        <v>18</v>
      </c>
      <c r="B513" s="4" t="s">
        <v>1823</v>
      </c>
      <c r="C513" s="15" t="s">
        <v>2679</v>
      </c>
      <c r="D513" s="15" t="s">
        <v>32</v>
      </c>
      <c r="E513" s="6" t="s">
        <v>109</v>
      </c>
      <c r="F513" s="6" t="s">
        <v>109</v>
      </c>
      <c r="G513" s="6" t="s">
        <v>109</v>
      </c>
      <c r="H513" s="6" t="s">
        <v>109</v>
      </c>
      <c r="I513" s="6" t="s">
        <v>109</v>
      </c>
      <c r="J513" s="6" t="s">
        <v>109</v>
      </c>
      <c r="K513" s="6" t="s">
        <v>19</v>
      </c>
      <c r="L513" s="6" t="s">
        <v>19</v>
      </c>
      <c r="M513" s="15" t="s">
        <v>2680</v>
      </c>
      <c r="N513" s="4" t="s">
        <v>2681</v>
      </c>
      <c r="O513" s="106" t="s">
        <v>2682</v>
      </c>
      <c r="P513" s="4" t="s">
        <v>2683</v>
      </c>
      <c r="S513" s="15" t="e" cm="1">
        <f t="array" aca="1" ref="S513" ca="1">COMMONMARKETCOUNT(H513:AV513)</f>
        <v>#NAME?</v>
      </c>
      <c r="T513" s="6" t="e" cm="1">
        <f t="array" aca="1" ref="T513" ca="1">AUTOMATEDCOUNT(H513:AV513)</f>
        <v>#NAME?</v>
      </c>
      <c r="V513" s="6" t="s">
        <v>109</v>
      </c>
      <c r="W513" s="6" t="s">
        <v>109</v>
      </c>
      <c r="X513" s="6" t="s">
        <v>109</v>
      </c>
      <c r="Y513" s="6" t="s">
        <v>109</v>
      </c>
      <c r="Z513" s="6" t="s">
        <v>109</v>
      </c>
      <c r="AA513" s="6" t="s">
        <v>109</v>
      </c>
      <c r="AB513" s="6" t="s">
        <v>109</v>
      </c>
      <c r="AC513" s="6" t="s">
        <v>109</v>
      </c>
      <c r="AD513" s="6" t="s">
        <v>109</v>
      </c>
      <c r="AE513" s="6" t="s">
        <v>109</v>
      </c>
      <c r="AF513" s="6" t="s">
        <v>19</v>
      </c>
      <c r="AG513" s="6" t="s">
        <v>19</v>
      </c>
      <c r="AH513" s="6" t="s">
        <v>19</v>
      </c>
      <c r="AI513" s="18" t="s">
        <v>109</v>
      </c>
      <c r="AJ513" s="18" t="s">
        <v>109</v>
      </c>
      <c r="AK513" s="6" t="s">
        <v>19</v>
      </c>
      <c r="AL513" s="6" t="s">
        <v>19</v>
      </c>
      <c r="AM513" s="18" t="s">
        <v>109</v>
      </c>
      <c r="AN513" s="18" t="s">
        <v>109</v>
      </c>
      <c r="AO513" s="18" t="s">
        <v>109</v>
      </c>
      <c r="AP513" s="18" t="s">
        <v>109</v>
      </c>
      <c r="AQ513" s="18" t="s">
        <v>109</v>
      </c>
      <c r="AR513" s="18" t="s">
        <v>109</v>
      </c>
      <c r="AS513" s="18" t="s">
        <v>109</v>
      </c>
      <c r="AT513" s="18" t="s">
        <v>109</v>
      </c>
      <c r="AU513" s="18" t="s">
        <v>109</v>
      </c>
      <c r="AV513" s="36" t="s">
        <v>109</v>
      </c>
    </row>
    <row r="514" spans="1:48" ht="72.75" hidden="1" customHeight="1" x14ac:dyDescent="0.3">
      <c r="A514" s="6" t="s">
        <v>705</v>
      </c>
      <c r="B514" s="4" t="s">
        <v>2688</v>
      </c>
      <c r="C514" s="15" t="s">
        <v>2684</v>
      </c>
      <c r="D514" s="15" t="s">
        <v>32</v>
      </c>
      <c r="E514" s="6" t="s">
        <v>109</v>
      </c>
      <c r="F514" s="6" t="s">
        <v>109</v>
      </c>
      <c r="G514" s="6" t="s">
        <v>109</v>
      </c>
      <c r="H514" s="6" t="s">
        <v>109</v>
      </c>
      <c r="I514" s="6" t="s">
        <v>109</v>
      </c>
      <c r="J514" s="6" t="s">
        <v>109</v>
      </c>
      <c r="K514" s="6" t="s">
        <v>19</v>
      </c>
      <c r="L514" s="6" t="s">
        <v>19</v>
      </c>
      <c r="M514" s="15" t="s">
        <v>2685</v>
      </c>
      <c r="N514" s="4" t="s">
        <v>2686</v>
      </c>
      <c r="O514" s="3" t="s">
        <v>2682</v>
      </c>
      <c r="P514" s="4" t="s">
        <v>2687</v>
      </c>
      <c r="S514" s="15" t="e" cm="1">
        <f t="array" aca="1" ref="S514" ca="1">COMMONMARKETCOUNT(H514:AV514)</f>
        <v>#NAME?</v>
      </c>
      <c r="T514" s="6" t="e" cm="1">
        <f t="array" aca="1" ref="T514" ca="1">AUTOMATEDCOUNT(H514:AV514)</f>
        <v>#NAME?</v>
      </c>
      <c r="V514" s="6" t="s">
        <v>109</v>
      </c>
      <c r="W514" s="6" t="s">
        <v>109</v>
      </c>
      <c r="X514" s="6" t="s">
        <v>109</v>
      </c>
      <c r="Y514" s="6" t="s">
        <v>109</v>
      </c>
      <c r="Z514" s="6" t="s">
        <v>109</v>
      </c>
      <c r="AA514" s="6" t="s">
        <v>109</v>
      </c>
      <c r="AB514" s="6" t="s">
        <v>109</v>
      </c>
      <c r="AC514" s="6" t="s">
        <v>109</v>
      </c>
      <c r="AD514" s="6" t="s">
        <v>109</v>
      </c>
      <c r="AE514" s="6" t="s">
        <v>109</v>
      </c>
      <c r="AF514" s="6" t="s">
        <v>19</v>
      </c>
      <c r="AG514" s="6" t="s">
        <v>19</v>
      </c>
      <c r="AH514" s="6" t="s">
        <v>19</v>
      </c>
      <c r="AI514" s="18" t="s">
        <v>109</v>
      </c>
      <c r="AJ514" s="18" t="s">
        <v>109</v>
      </c>
      <c r="AK514" s="6" t="s">
        <v>19</v>
      </c>
      <c r="AL514" s="6" t="s">
        <v>19</v>
      </c>
      <c r="AM514" s="18" t="s">
        <v>109</v>
      </c>
      <c r="AN514" s="18" t="s">
        <v>109</v>
      </c>
      <c r="AO514" s="18" t="s">
        <v>109</v>
      </c>
      <c r="AP514" s="18" t="s">
        <v>109</v>
      </c>
      <c r="AQ514" s="18" t="s">
        <v>109</v>
      </c>
      <c r="AR514" s="18" t="s">
        <v>109</v>
      </c>
      <c r="AS514" s="18" t="s">
        <v>109</v>
      </c>
      <c r="AT514" s="18" t="s">
        <v>109</v>
      </c>
      <c r="AU514" s="18" t="s">
        <v>109</v>
      </c>
      <c r="AV514" s="36" t="s">
        <v>109</v>
      </c>
    </row>
    <row r="515" spans="1:48" ht="69" hidden="1" customHeight="1" x14ac:dyDescent="0.3">
      <c r="A515" s="6" t="s">
        <v>705</v>
      </c>
      <c r="B515" s="4" t="s">
        <v>2688</v>
      </c>
      <c r="C515" s="15" t="s">
        <v>2689</v>
      </c>
      <c r="D515" s="15" t="s">
        <v>32</v>
      </c>
      <c r="E515" s="6" t="s">
        <v>109</v>
      </c>
      <c r="F515" s="6" t="s">
        <v>109</v>
      </c>
      <c r="G515" s="6" t="s">
        <v>109</v>
      </c>
      <c r="H515" s="6" t="s">
        <v>109</v>
      </c>
      <c r="I515" s="6" t="s">
        <v>109</v>
      </c>
      <c r="J515" s="6" t="s">
        <v>109</v>
      </c>
      <c r="K515" s="6" t="s">
        <v>19</v>
      </c>
      <c r="L515" s="6" t="s">
        <v>19</v>
      </c>
      <c r="M515" s="15" t="s">
        <v>2690</v>
      </c>
      <c r="N515" s="4" t="s">
        <v>2691</v>
      </c>
      <c r="O515" s="3" t="s">
        <v>2682</v>
      </c>
      <c r="P515" s="4" t="s">
        <v>2692</v>
      </c>
      <c r="S515" s="15" t="e" cm="1">
        <f t="array" aca="1" ref="S515" ca="1">COMMONMARKETCOUNT(H515:AV515)</f>
        <v>#NAME?</v>
      </c>
      <c r="T515" s="6" t="e" cm="1">
        <f t="array" aca="1" ref="T515" ca="1">AUTOMATEDCOUNT(H515:AV515)</f>
        <v>#NAME?</v>
      </c>
      <c r="V515" s="6" t="s">
        <v>109</v>
      </c>
      <c r="W515" s="6" t="s">
        <v>109</v>
      </c>
      <c r="X515" s="6" t="s">
        <v>109</v>
      </c>
      <c r="Y515" s="6" t="s">
        <v>109</v>
      </c>
      <c r="Z515" s="6" t="s">
        <v>109</v>
      </c>
      <c r="AA515" s="6" t="s">
        <v>109</v>
      </c>
      <c r="AB515" s="6" t="s">
        <v>109</v>
      </c>
      <c r="AC515" s="6" t="s">
        <v>109</v>
      </c>
      <c r="AD515" s="6" t="s">
        <v>109</v>
      </c>
      <c r="AE515" s="6" t="s">
        <v>109</v>
      </c>
      <c r="AF515" s="6" t="s">
        <v>19</v>
      </c>
      <c r="AG515" s="6" t="s">
        <v>19</v>
      </c>
      <c r="AH515" s="6" t="s">
        <v>19</v>
      </c>
      <c r="AI515" s="18" t="s">
        <v>109</v>
      </c>
      <c r="AJ515" s="18" t="s">
        <v>109</v>
      </c>
      <c r="AK515" s="6" t="s">
        <v>19</v>
      </c>
      <c r="AL515" s="6" t="s">
        <v>19</v>
      </c>
      <c r="AM515" s="18" t="s">
        <v>109</v>
      </c>
      <c r="AN515" s="18" t="s">
        <v>109</v>
      </c>
      <c r="AO515" s="18" t="s">
        <v>109</v>
      </c>
      <c r="AP515" s="18" t="s">
        <v>109</v>
      </c>
      <c r="AQ515" s="18" t="s">
        <v>109</v>
      </c>
      <c r="AR515" s="18" t="s">
        <v>109</v>
      </c>
      <c r="AS515" s="18" t="s">
        <v>109</v>
      </c>
      <c r="AT515" s="18" t="s">
        <v>109</v>
      </c>
      <c r="AU515" s="18" t="s">
        <v>109</v>
      </c>
      <c r="AV515" s="36" t="s">
        <v>109</v>
      </c>
    </row>
    <row r="516" spans="1:48" ht="61.5" hidden="1" customHeight="1" x14ac:dyDescent="0.3">
      <c r="A516" s="6" t="s">
        <v>705</v>
      </c>
      <c r="B516" s="4" t="s">
        <v>2688</v>
      </c>
      <c r="C516" s="15" t="s">
        <v>2693</v>
      </c>
      <c r="D516" s="15" t="s">
        <v>32</v>
      </c>
      <c r="E516" s="6" t="s">
        <v>109</v>
      </c>
      <c r="F516" s="6" t="s">
        <v>109</v>
      </c>
      <c r="G516" s="6" t="s">
        <v>109</v>
      </c>
      <c r="H516" s="6" t="s">
        <v>109</v>
      </c>
      <c r="I516" s="6" t="s">
        <v>109</v>
      </c>
      <c r="J516" s="6" t="s">
        <v>109</v>
      </c>
      <c r="K516" s="6" t="s">
        <v>19</v>
      </c>
      <c r="L516" s="6" t="s">
        <v>19</v>
      </c>
      <c r="M516" s="15" t="s">
        <v>2694</v>
      </c>
      <c r="N516" s="4" t="s">
        <v>2695</v>
      </c>
      <c r="O516" s="3" t="s">
        <v>2682</v>
      </c>
      <c r="P516" s="4" t="s">
        <v>2696</v>
      </c>
      <c r="S516" s="15" t="e" cm="1">
        <f t="array" aca="1" ref="S516" ca="1">COMMONMARKETCOUNT(H516:AV516)</f>
        <v>#NAME?</v>
      </c>
      <c r="T516" s="6" t="e" cm="1">
        <f t="array" aca="1" ref="T516" ca="1">AUTOMATEDCOUNT(H516:AV516)</f>
        <v>#NAME?</v>
      </c>
      <c r="V516" s="6" t="s">
        <v>109</v>
      </c>
      <c r="W516" s="6" t="s">
        <v>109</v>
      </c>
      <c r="X516" s="6" t="s">
        <v>109</v>
      </c>
      <c r="Y516" s="6" t="s">
        <v>109</v>
      </c>
      <c r="Z516" s="6" t="s">
        <v>109</v>
      </c>
      <c r="AA516" s="6" t="s">
        <v>109</v>
      </c>
      <c r="AB516" s="6" t="s">
        <v>109</v>
      </c>
      <c r="AC516" s="6" t="s">
        <v>109</v>
      </c>
      <c r="AD516" s="6" t="s">
        <v>109</v>
      </c>
      <c r="AE516" s="6" t="s">
        <v>109</v>
      </c>
      <c r="AF516" s="6" t="s">
        <v>19</v>
      </c>
      <c r="AG516" s="6" t="s">
        <v>19</v>
      </c>
      <c r="AH516" s="6" t="s">
        <v>19</v>
      </c>
      <c r="AI516" s="18" t="s">
        <v>109</v>
      </c>
      <c r="AJ516" s="18" t="s">
        <v>109</v>
      </c>
      <c r="AK516" s="6" t="s">
        <v>19</v>
      </c>
      <c r="AL516" s="6" t="s">
        <v>19</v>
      </c>
      <c r="AM516" s="18" t="s">
        <v>109</v>
      </c>
      <c r="AN516" s="18" t="s">
        <v>109</v>
      </c>
      <c r="AO516" s="18" t="s">
        <v>109</v>
      </c>
      <c r="AP516" s="18" t="s">
        <v>109</v>
      </c>
      <c r="AQ516" s="18" t="s">
        <v>109</v>
      </c>
      <c r="AR516" s="18" t="s">
        <v>109</v>
      </c>
      <c r="AS516" s="18" t="s">
        <v>109</v>
      </c>
      <c r="AT516" s="18" t="s">
        <v>109</v>
      </c>
      <c r="AU516" s="18" t="s">
        <v>109</v>
      </c>
      <c r="AV516" s="36" t="s">
        <v>109</v>
      </c>
    </row>
    <row r="517" spans="1:48" ht="60.75" hidden="1" customHeight="1" x14ac:dyDescent="0.3">
      <c r="A517" s="6"/>
      <c r="B517" s="6" t="s">
        <v>2701</v>
      </c>
      <c r="C517" s="15" t="s">
        <v>2697</v>
      </c>
      <c r="D517" s="6" t="s">
        <v>32</v>
      </c>
      <c r="E517" s="6"/>
      <c r="F517" s="6"/>
      <c r="G517" s="6"/>
      <c r="H517" s="6"/>
      <c r="I517" s="6"/>
      <c r="J517" s="6"/>
      <c r="K517" s="6"/>
      <c r="L517" s="6"/>
      <c r="M517" s="15" t="s">
        <v>2698</v>
      </c>
      <c r="N517" s="4" t="s">
        <v>2699</v>
      </c>
      <c r="O517" s="107" t="s">
        <v>2676</v>
      </c>
      <c r="P517" s="4" t="s">
        <v>2700</v>
      </c>
      <c r="S517" s="15" t="e" cm="1">
        <f t="array" aca="1" ref="S517" ca="1">COMMONMARKETCOUNT(H517:AV517)</f>
        <v>#NAME?</v>
      </c>
      <c r="T517" s="6" t="e" cm="1">
        <f t="array" aca="1" ref="T517" ca="1">AUTOMATEDCOUNT(H517:AV517)</f>
        <v>#NAME?</v>
      </c>
      <c r="V517" s="6"/>
      <c r="W517" s="6"/>
      <c r="X517" s="6"/>
      <c r="Y517" s="6"/>
      <c r="Z517" s="6"/>
      <c r="AA517" s="6"/>
      <c r="AB517" s="6"/>
      <c r="AC517" s="6"/>
      <c r="AD517" s="6"/>
      <c r="AE517" s="6"/>
      <c r="AF517" s="6"/>
      <c r="AG517" s="6"/>
      <c r="AH517" s="6"/>
      <c r="AI517" s="6"/>
      <c r="AJ517" s="6"/>
      <c r="AK517" s="6"/>
      <c r="AL517" s="6"/>
      <c r="AM517" s="6"/>
      <c r="AN517" s="6"/>
      <c r="AO517" s="6"/>
      <c r="AP517" s="6"/>
      <c r="AQ517" s="6"/>
      <c r="AR517" s="6"/>
      <c r="AS517" s="6"/>
      <c r="AT517" s="6"/>
      <c r="AU517" s="6"/>
      <c r="AV517" s="36"/>
    </row>
    <row r="518" spans="1:48" ht="60.75" hidden="1" customHeight="1" x14ac:dyDescent="0.3">
      <c r="A518" s="6" t="s">
        <v>56</v>
      </c>
      <c r="B518" s="6" t="s">
        <v>55</v>
      </c>
      <c r="C518" s="15" t="s">
        <v>2702</v>
      </c>
      <c r="D518" s="6" t="s">
        <v>32</v>
      </c>
      <c r="E518" s="6" t="s">
        <v>19</v>
      </c>
      <c r="F518" s="6" t="s">
        <v>19</v>
      </c>
      <c r="G518" s="6" t="s">
        <v>19</v>
      </c>
      <c r="H518" s="6" t="s">
        <v>19</v>
      </c>
      <c r="I518" s="6" t="s">
        <v>19</v>
      </c>
      <c r="J518" s="6" t="s">
        <v>19</v>
      </c>
      <c r="K518" s="6" t="s">
        <v>19</v>
      </c>
      <c r="L518" s="6" t="s">
        <v>19</v>
      </c>
      <c r="M518" s="15" t="s">
        <v>2703</v>
      </c>
      <c r="N518" s="4" t="s">
        <v>2704</v>
      </c>
      <c r="O518" s="107" t="s">
        <v>2676</v>
      </c>
      <c r="P518" s="4" t="s">
        <v>2705</v>
      </c>
      <c r="S518" s="15" t="e" cm="1">
        <f t="array" aca="1" ref="S518" ca="1">COMMONMARKETCOUNT(H518:AV518)</f>
        <v>#NAME?</v>
      </c>
      <c r="T518" s="6" t="e" cm="1">
        <f t="array" aca="1" ref="T518" ca="1">AUTOMATEDCOUNT(H518:AV518)</f>
        <v>#NAME?</v>
      </c>
      <c r="V518" s="6" t="s">
        <v>19</v>
      </c>
      <c r="W518" s="6" t="s">
        <v>19</v>
      </c>
      <c r="X518" s="6" t="s">
        <v>19</v>
      </c>
      <c r="Y518" s="6" t="s">
        <v>19</v>
      </c>
      <c r="Z518" s="6" t="s">
        <v>19</v>
      </c>
      <c r="AA518" s="6" t="s">
        <v>19</v>
      </c>
      <c r="AB518" s="6" t="s">
        <v>19</v>
      </c>
      <c r="AC518" s="6" t="s">
        <v>19</v>
      </c>
      <c r="AD518" s="6" t="s">
        <v>19</v>
      </c>
      <c r="AE518" s="6" t="s">
        <v>19</v>
      </c>
      <c r="AF518" s="6" t="s">
        <v>19</v>
      </c>
      <c r="AG518" s="6" t="s">
        <v>19</v>
      </c>
      <c r="AH518" s="6" t="s">
        <v>19</v>
      </c>
      <c r="AI518" s="6" t="s">
        <v>19</v>
      </c>
      <c r="AJ518" s="6" t="s">
        <v>19</v>
      </c>
      <c r="AK518" s="6" t="s">
        <v>19</v>
      </c>
      <c r="AL518" s="6" t="s">
        <v>19</v>
      </c>
      <c r="AM518" s="6" t="s">
        <v>19</v>
      </c>
      <c r="AN518" s="6" t="s">
        <v>19</v>
      </c>
      <c r="AO518" s="6" t="s">
        <v>19</v>
      </c>
      <c r="AP518" s="6" t="s">
        <v>19</v>
      </c>
      <c r="AQ518" s="6" t="s">
        <v>19</v>
      </c>
      <c r="AR518" s="6" t="s">
        <v>19</v>
      </c>
      <c r="AS518" s="6" t="s">
        <v>19</v>
      </c>
      <c r="AT518" s="6" t="s">
        <v>19</v>
      </c>
      <c r="AU518" s="6" t="s">
        <v>3153</v>
      </c>
      <c r="AV518" s="36" t="s">
        <v>19</v>
      </c>
    </row>
    <row r="519" spans="1:48" ht="60.75" hidden="1" customHeight="1" x14ac:dyDescent="0.3">
      <c r="A519" s="6" t="s">
        <v>56</v>
      </c>
      <c r="B519" s="6" t="s">
        <v>55</v>
      </c>
      <c r="C519" s="15" t="s">
        <v>2706</v>
      </c>
      <c r="D519" s="6" t="s">
        <v>32</v>
      </c>
      <c r="E519" s="6" t="s">
        <v>19</v>
      </c>
      <c r="F519" s="6" t="s">
        <v>19</v>
      </c>
      <c r="G519" s="6" t="s">
        <v>19</v>
      </c>
      <c r="H519" s="6" t="s">
        <v>19</v>
      </c>
      <c r="I519" s="6" t="s">
        <v>19</v>
      </c>
      <c r="J519" s="6" t="s">
        <v>19</v>
      </c>
      <c r="K519" s="6" t="s">
        <v>19</v>
      </c>
      <c r="L519" s="6" t="s">
        <v>19</v>
      </c>
      <c r="M519" s="15" t="s">
        <v>2707</v>
      </c>
      <c r="N519" s="4" t="s">
        <v>2704</v>
      </c>
      <c r="O519" s="107" t="s">
        <v>2676</v>
      </c>
      <c r="P519" s="4" t="s">
        <v>2708</v>
      </c>
      <c r="S519" s="15" t="e" cm="1">
        <f t="array" aca="1" ref="S519" ca="1">COMMONMARKETCOUNT(H519:AV519)</f>
        <v>#NAME?</v>
      </c>
      <c r="T519" s="6" t="e" cm="1">
        <f t="array" aca="1" ref="T519" ca="1">AUTOMATEDCOUNT(H519:AV519)</f>
        <v>#NAME?</v>
      </c>
      <c r="V519" s="6" t="s">
        <v>19</v>
      </c>
      <c r="W519" s="6" t="s">
        <v>19</v>
      </c>
      <c r="X519" s="6" t="s">
        <v>19</v>
      </c>
      <c r="Y519" s="6" t="s">
        <v>19</v>
      </c>
      <c r="Z519" s="6" t="s">
        <v>19</v>
      </c>
      <c r="AA519" s="6" t="s">
        <v>19</v>
      </c>
      <c r="AB519" s="6" t="s">
        <v>19</v>
      </c>
      <c r="AC519" s="6" t="s">
        <v>19</v>
      </c>
      <c r="AD519" s="6" t="s">
        <v>19</v>
      </c>
      <c r="AE519" s="6" t="s">
        <v>19</v>
      </c>
      <c r="AF519" s="6" t="s">
        <v>19</v>
      </c>
      <c r="AG519" s="6" t="s">
        <v>19</v>
      </c>
      <c r="AH519" s="6" t="s">
        <v>19</v>
      </c>
      <c r="AI519" s="6" t="s">
        <v>19</v>
      </c>
      <c r="AJ519" s="6" t="s">
        <v>19</v>
      </c>
      <c r="AK519" s="6" t="s">
        <v>19</v>
      </c>
      <c r="AL519" s="6" t="s">
        <v>19</v>
      </c>
      <c r="AM519" s="6" t="s">
        <v>19</v>
      </c>
      <c r="AN519" s="6" t="s">
        <v>19</v>
      </c>
      <c r="AO519" s="6" t="s">
        <v>19</v>
      </c>
      <c r="AP519" s="6" t="s">
        <v>19</v>
      </c>
      <c r="AQ519" s="6" t="s">
        <v>19</v>
      </c>
      <c r="AR519" s="6" t="s">
        <v>19</v>
      </c>
      <c r="AS519" s="6" t="s">
        <v>19</v>
      </c>
      <c r="AT519" s="6" t="s">
        <v>19</v>
      </c>
      <c r="AU519" s="6" t="s">
        <v>3153</v>
      </c>
      <c r="AV519" s="36" t="s">
        <v>19</v>
      </c>
    </row>
    <row r="520" spans="1:48" ht="60.75" hidden="1" customHeight="1" x14ac:dyDescent="0.3">
      <c r="A520" s="6"/>
      <c r="B520" s="6"/>
      <c r="C520" s="15" t="s">
        <v>2709</v>
      </c>
      <c r="D520" s="6" t="s">
        <v>32</v>
      </c>
      <c r="E520" s="6"/>
      <c r="F520" s="6"/>
      <c r="G520" s="6"/>
      <c r="H520" s="6"/>
      <c r="I520" s="6"/>
      <c r="J520" s="6"/>
      <c r="K520" s="6"/>
      <c r="L520" s="6"/>
      <c r="M520" s="15" t="s">
        <v>2710</v>
      </c>
      <c r="N520" s="4" t="s">
        <v>2711</v>
      </c>
      <c r="O520" s="107" t="s">
        <v>2712</v>
      </c>
      <c r="P520" s="4" t="s">
        <v>2713</v>
      </c>
      <c r="S520" s="15" t="e" cm="1">
        <f t="array" aca="1" ref="S520" ca="1">COMMONMARKETCOUNT(H520:AV520)</f>
        <v>#NAME?</v>
      </c>
      <c r="T520" s="6" t="e" cm="1">
        <f t="array" aca="1" ref="T520" ca="1">AUTOMATEDCOUNT(H520:AV520)</f>
        <v>#NAME?</v>
      </c>
      <c r="V520" s="6"/>
      <c r="W520" s="6"/>
      <c r="X520" s="6"/>
      <c r="Y520" s="6"/>
      <c r="Z520" s="6"/>
      <c r="AA520" s="6"/>
      <c r="AB520" s="6"/>
      <c r="AC520" s="6"/>
      <c r="AD520" s="6"/>
      <c r="AE520" s="6"/>
      <c r="AF520" s="6"/>
      <c r="AG520" s="6"/>
      <c r="AH520" s="6"/>
      <c r="AI520" s="6"/>
      <c r="AJ520" s="6"/>
      <c r="AK520" s="6"/>
      <c r="AL520" s="6"/>
      <c r="AM520" s="6"/>
      <c r="AN520" s="6"/>
      <c r="AO520" s="6"/>
      <c r="AP520" s="6"/>
      <c r="AQ520" s="6"/>
      <c r="AR520" s="6"/>
      <c r="AS520" s="6"/>
      <c r="AT520" s="6"/>
      <c r="AU520" s="6"/>
      <c r="AV520" s="36"/>
    </row>
    <row r="521" spans="1:48" ht="81" hidden="1" customHeight="1" x14ac:dyDescent="0.3">
      <c r="A521" s="6" t="s">
        <v>25</v>
      </c>
      <c r="B521" s="6" t="s">
        <v>2718</v>
      </c>
      <c r="C521" s="15" t="s">
        <v>2714</v>
      </c>
      <c r="D521" s="6" t="s">
        <v>32</v>
      </c>
      <c r="E521" s="6" t="s">
        <v>19</v>
      </c>
      <c r="F521" s="6" t="s">
        <v>19</v>
      </c>
      <c r="G521" s="6" t="s">
        <v>19</v>
      </c>
      <c r="H521" s="6" t="s">
        <v>19</v>
      </c>
      <c r="I521" s="6" t="s">
        <v>109</v>
      </c>
      <c r="J521" s="6" t="s">
        <v>109</v>
      </c>
      <c r="K521" s="6" t="s">
        <v>109</v>
      </c>
      <c r="L521" s="6" t="s">
        <v>109</v>
      </c>
      <c r="M521" s="15" t="s">
        <v>2715</v>
      </c>
      <c r="N521" s="4" t="s">
        <v>2716</v>
      </c>
      <c r="O521" s="3" t="s">
        <v>2712</v>
      </c>
      <c r="P521" s="4" t="s">
        <v>2717</v>
      </c>
      <c r="S521" s="15" t="e" cm="1">
        <f t="array" aca="1" ref="S521" ca="1">COMMONMARKETCOUNT(H521:AV521)</f>
        <v>#NAME?</v>
      </c>
      <c r="T521" s="6" t="e" cm="1">
        <f t="array" aca="1" ref="T521" ca="1">AUTOMATEDCOUNT(H521:AV521)</f>
        <v>#NAME?</v>
      </c>
      <c r="V521" s="6" t="s">
        <v>109</v>
      </c>
      <c r="W521" s="6" t="s">
        <v>109</v>
      </c>
      <c r="X521" s="6" t="s">
        <v>19</v>
      </c>
      <c r="Y521" s="6" t="s">
        <v>19</v>
      </c>
      <c r="Z521" s="6" t="s">
        <v>19</v>
      </c>
      <c r="AA521" s="6" t="s">
        <v>109</v>
      </c>
      <c r="AB521" s="6" t="s">
        <v>109</v>
      </c>
      <c r="AC521" s="6" t="s">
        <v>109</v>
      </c>
      <c r="AD521" s="6" t="s">
        <v>109</v>
      </c>
      <c r="AE521" s="6" t="s">
        <v>109</v>
      </c>
      <c r="AF521" s="6" t="s">
        <v>109</v>
      </c>
      <c r="AG521" s="6" t="s">
        <v>109</v>
      </c>
      <c r="AH521" s="6" t="s">
        <v>109</v>
      </c>
      <c r="AI521" s="6" t="s">
        <v>109</v>
      </c>
      <c r="AJ521" s="6" t="s">
        <v>109</v>
      </c>
      <c r="AK521" s="6" t="s">
        <v>109</v>
      </c>
      <c r="AL521" s="6" t="s">
        <v>109</v>
      </c>
      <c r="AM521" s="6" t="s">
        <v>109</v>
      </c>
      <c r="AN521" s="6" t="s">
        <v>109</v>
      </c>
      <c r="AO521" s="6" t="s">
        <v>109</v>
      </c>
      <c r="AP521" s="6" t="s">
        <v>109</v>
      </c>
      <c r="AQ521" s="6" t="s">
        <v>109</v>
      </c>
      <c r="AR521" s="6" t="s">
        <v>109</v>
      </c>
      <c r="AS521" s="6" t="s">
        <v>109</v>
      </c>
      <c r="AT521" s="6" t="s">
        <v>109</v>
      </c>
      <c r="AU521" s="6" t="s">
        <v>109</v>
      </c>
      <c r="AV521" s="36" t="s">
        <v>109</v>
      </c>
    </row>
    <row r="522" spans="1:48" ht="78" hidden="1" customHeight="1" x14ac:dyDescent="0.3">
      <c r="A522" s="6"/>
      <c r="B522" s="6"/>
      <c r="C522" s="15" t="s">
        <v>2719</v>
      </c>
      <c r="D522" s="6" t="s">
        <v>109</v>
      </c>
      <c r="E522" s="6"/>
      <c r="F522" s="6"/>
      <c r="G522" s="6"/>
      <c r="H522" s="6"/>
      <c r="I522" s="6"/>
      <c r="J522" s="6"/>
      <c r="K522" s="6"/>
      <c r="L522" s="6"/>
      <c r="M522" s="15" t="s">
        <v>2720</v>
      </c>
      <c r="N522" s="4" t="s">
        <v>2721</v>
      </c>
      <c r="O522" s="107" t="s">
        <v>2712</v>
      </c>
      <c r="P522" s="4" t="s">
        <v>2722</v>
      </c>
      <c r="S522" s="15" t="e" cm="1">
        <f t="array" aca="1" ref="S522" ca="1">COMMONMARKETCOUNT(H522:AV522)</f>
        <v>#NAME?</v>
      </c>
      <c r="T522" s="6" t="e" cm="1">
        <f t="array" aca="1" ref="T522" ca="1">AUTOMATEDCOUNT(H522:AV522)</f>
        <v>#NAME?</v>
      </c>
      <c r="V522" s="6"/>
      <c r="W522" s="6"/>
      <c r="X522" s="6"/>
      <c r="Y522" s="6"/>
      <c r="Z522" s="6"/>
      <c r="AA522" s="6"/>
      <c r="AB522" s="6"/>
      <c r="AC522" s="6"/>
      <c r="AD522" s="6"/>
      <c r="AE522" s="6"/>
      <c r="AF522" s="6"/>
      <c r="AG522" s="6"/>
      <c r="AH522" s="6"/>
      <c r="AI522" s="6"/>
      <c r="AJ522" s="6"/>
      <c r="AK522" s="6"/>
      <c r="AL522" s="6"/>
      <c r="AM522" s="6"/>
      <c r="AN522" s="6"/>
      <c r="AO522" s="6"/>
      <c r="AP522" s="6"/>
      <c r="AQ522" s="6"/>
      <c r="AR522" s="6"/>
      <c r="AS522" s="6"/>
      <c r="AT522" s="6"/>
      <c r="AU522" s="6"/>
      <c r="AV522" s="36"/>
    </row>
    <row r="523" spans="1:48" ht="102" hidden="1" customHeight="1" x14ac:dyDescent="0.3">
      <c r="A523" s="6"/>
      <c r="B523" s="6" t="s">
        <v>1297</v>
      </c>
      <c r="C523" s="15" t="s">
        <v>2723</v>
      </c>
      <c r="D523" s="6" t="s">
        <v>32</v>
      </c>
      <c r="E523" s="6"/>
      <c r="F523" s="6"/>
      <c r="G523" s="6"/>
      <c r="H523" s="6"/>
      <c r="I523" s="6"/>
      <c r="J523" s="6"/>
      <c r="K523" s="6"/>
      <c r="L523" s="6"/>
      <c r="M523" s="15" t="s">
        <v>2724</v>
      </c>
      <c r="N523" s="4" t="s">
        <v>2725</v>
      </c>
      <c r="O523" s="44" t="s">
        <v>2676</v>
      </c>
      <c r="P523" s="4" t="s">
        <v>2726</v>
      </c>
      <c r="S523" s="15" t="e" cm="1">
        <f t="array" aca="1" ref="S523" ca="1">COMMONMARKETCOUNT(H523:AV523)</f>
        <v>#NAME?</v>
      </c>
      <c r="T523" s="6" t="e" cm="1">
        <f t="array" aca="1" ref="T523" ca="1">AUTOMATEDCOUNT(H523:AV523)</f>
        <v>#NAME?</v>
      </c>
      <c r="V523" s="6"/>
      <c r="W523" s="6"/>
      <c r="X523" s="6"/>
      <c r="Y523" s="6"/>
      <c r="Z523" s="6"/>
      <c r="AA523" s="6"/>
      <c r="AB523" s="6"/>
      <c r="AC523" s="6"/>
      <c r="AD523" s="6"/>
      <c r="AE523" s="6"/>
      <c r="AF523" s="6"/>
      <c r="AG523" s="6"/>
      <c r="AH523" s="6"/>
      <c r="AI523" s="6"/>
      <c r="AJ523" s="6"/>
      <c r="AK523" s="6"/>
      <c r="AL523" s="6"/>
      <c r="AM523" s="6"/>
      <c r="AN523" s="6"/>
      <c r="AO523" s="6"/>
      <c r="AP523" s="6"/>
      <c r="AQ523" s="6"/>
      <c r="AR523" s="6"/>
      <c r="AS523" s="6"/>
      <c r="AT523" s="6"/>
      <c r="AU523" s="6"/>
      <c r="AV523" s="36"/>
    </row>
    <row r="524" spans="1:48" ht="96" hidden="1" customHeight="1" x14ac:dyDescent="0.3">
      <c r="A524" s="15" t="s">
        <v>25</v>
      </c>
      <c r="B524" s="15" t="s">
        <v>37</v>
      </c>
      <c r="C524" s="15" t="s">
        <v>589</v>
      </c>
      <c r="D524" s="15" t="s">
        <v>19</v>
      </c>
      <c r="E524" s="70" t="s">
        <v>19</v>
      </c>
      <c r="F524" s="70" t="s">
        <v>19</v>
      </c>
      <c r="G524" s="70" t="s">
        <v>19</v>
      </c>
      <c r="H524" s="70" t="s">
        <v>3178</v>
      </c>
      <c r="I524" s="72" t="s">
        <v>19</v>
      </c>
      <c r="J524" s="72" t="s">
        <v>19</v>
      </c>
      <c r="K524" s="72" t="s">
        <v>19</v>
      </c>
      <c r="L524" s="72" t="s">
        <v>19</v>
      </c>
      <c r="M524" s="15" t="s">
        <v>590</v>
      </c>
      <c r="N524" s="4" t="s">
        <v>1165</v>
      </c>
      <c r="O524" s="15"/>
      <c r="P524" s="4" t="s">
        <v>1564</v>
      </c>
      <c r="S524" s="15" t="e" cm="1">
        <f t="array" aca="1" ref="S524" ca="1">COMMONMARKETCOUNT(H524:AV524)</f>
        <v>#NAME?</v>
      </c>
      <c r="T524" s="6" t="e" cm="1">
        <f t="array" aca="1" ref="T524" ca="1">AUTOMATEDCOUNT(H524:AV524)</f>
        <v>#NAME?</v>
      </c>
      <c r="V524" s="70" t="s">
        <v>19</v>
      </c>
      <c r="W524" s="70" t="s">
        <v>19</v>
      </c>
      <c r="X524" s="70" t="s">
        <v>19</v>
      </c>
      <c r="Y524" s="70" t="s">
        <v>19</v>
      </c>
      <c r="Z524" s="70" t="s">
        <v>19</v>
      </c>
      <c r="AA524" s="72" t="s">
        <v>19</v>
      </c>
      <c r="AB524" s="72" t="s">
        <v>19</v>
      </c>
      <c r="AC524" s="72" t="s">
        <v>19</v>
      </c>
      <c r="AD524" s="72" t="s">
        <v>19</v>
      </c>
      <c r="AE524" s="18" t="s">
        <v>19</v>
      </c>
      <c r="AF524" s="18" t="s">
        <v>19</v>
      </c>
      <c r="AG524" s="29" t="s">
        <v>19</v>
      </c>
      <c r="AH524" s="18" t="s">
        <v>19</v>
      </c>
      <c r="AI524" s="18" t="s">
        <v>19</v>
      </c>
      <c r="AJ524" s="18" t="s">
        <v>19</v>
      </c>
      <c r="AK524" s="18" t="s">
        <v>19</v>
      </c>
      <c r="AL524" s="18" t="s">
        <v>19</v>
      </c>
      <c r="AM524" s="18" t="s">
        <v>19</v>
      </c>
      <c r="AN524" s="18" t="s">
        <v>19</v>
      </c>
      <c r="AO524" s="18" t="s">
        <v>19</v>
      </c>
      <c r="AP524" s="18" t="s">
        <v>19</v>
      </c>
      <c r="AQ524" s="18" t="s">
        <v>19</v>
      </c>
      <c r="AR524" s="18" t="s">
        <v>19</v>
      </c>
      <c r="AS524" s="70" t="s">
        <v>19</v>
      </c>
      <c r="AT524" s="72" t="s">
        <v>19</v>
      </c>
      <c r="AU524" s="18" t="s">
        <v>3153</v>
      </c>
      <c r="AV524" s="36" t="s">
        <v>19</v>
      </c>
    </row>
    <row r="525" spans="1:48" ht="96" hidden="1" customHeight="1" x14ac:dyDescent="0.3">
      <c r="A525" s="6"/>
      <c r="B525" s="6"/>
      <c r="C525" s="15" t="s">
        <v>2727</v>
      </c>
      <c r="D525" s="6" t="s">
        <v>109</v>
      </c>
      <c r="E525" s="6"/>
      <c r="F525" s="6"/>
      <c r="G525" s="6"/>
      <c r="H525" s="6"/>
      <c r="I525" s="6"/>
      <c r="J525" s="6"/>
      <c r="K525" s="6"/>
      <c r="L525" s="6"/>
      <c r="M525" s="15" t="s">
        <v>2728</v>
      </c>
      <c r="N525" s="4" t="s">
        <v>2729</v>
      </c>
      <c r="O525" s="107" t="s">
        <v>2676</v>
      </c>
      <c r="P525" s="4" t="s">
        <v>2730</v>
      </c>
      <c r="S525" s="15" t="e" cm="1">
        <f t="array" aca="1" ref="S525" ca="1">COMMONMARKETCOUNT(H525:AV525)</f>
        <v>#NAME?</v>
      </c>
      <c r="T525" s="6" t="e" cm="1">
        <f t="array" aca="1" ref="T525" ca="1">AUTOMATEDCOUNT(H525:AV525)</f>
        <v>#NAME?</v>
      </c>
      <c r="V525" s="6"/>
      <c r="W525" s="6"/>
      <c r="X525" s="6"/>
      <c r="Y525" s="6"/>
      <c r="Z525" s="6"/>
      <c r="AA525" s="6"/>
      <c r="AB525" s="6"/>
      <c r="AC525" s="6"/>
      <c r="AD525" s="6"/>
      <c r="AE525" s="6"/>
      <c r="AF525" s="6"/>
      <c r="AG525" s="6"/>
      <c r="AH525" s="6"/>
      <c r="AI525" s="6"/>
      <c r="AJ525" s="6"/>
      <c r="AK525" s="6"/>
      <c r="AL525" s="6"/>
      <c r="AM525" s="6"/>
      <c r="AN525" s="6"/>
      <c r="AO525" s="6"/>
      <c r="AP525" s="6"/>
      <c r="AQ525" s="6"/>
      <c r="AR525" s="6"/>
      <c r="AS525" s="6"/>
      <c r="AT525" s="6"/>
      <c r="AU525" s="6"/>
      <c r="AV525" s="36"/>
    </row>
    <row r="526" spans="1:48" ht="87" hidden="1" customHeight="1" x14ac:dyDescent="0.3">
      <c r="A526" s="6"/>
      <c r="B526" s="6"/>
      <c r="C526" s="15" t="s">
        <v>2731</v>
      </c>
      <c r="D526" s="6" t="s">
        <v>109</v>
      </c>
      <c r="E526" s="6"/>
      <c r="F526" s="6"/>
      <c r="G526" s="6"/>
      <c r="H526" s="6"/>
      <c r="I526" s="6"/>
      <c r="J526" s="6"/>
      <c r="K526" s="6"/>
      <c r="L526" s="6"/>
      <c r="M526" s="15" t="s">
        <v>2732</v>
      </c>
      <c r="N526" s="4" t="s">
        <v>2733</v>
      </c>
      <c r="O526" s="107" t="s">
        <v>2676</v>
      </c>
      <c r="P526" s="4" t="s">
        <v>2734</v>
      </c>
      <c r="S526" s="15" t="e" cm="1">
        <f t="array" aca="1" ref="S526" ca="1">COMMONMARKETCOUNT(H526:AV526)</f>
        <v>#NAME?</v>
      </c>
      <c r="T526" s="6" t="e" cm="1">
        <f t="array" aca="1" ref="T526" ca="1">AUTOMATEDCOUNT(H526:AV526)</f>
        <v>#NAME?</v>
      </c>
      <c r="V526" s="6"/>
      <c r="W526" s="6"/>
      <c r="X526" s="6"/>
      <c r="Y526" s="6"/>
      <c r="Z526" s="6"/>
      <c r="AA526" s="6"/>
      <c r="AB526" s="6"/>
      <c r="AC526" s="6"/>
      <c r="AD526" s="6"/>
      <c r="AE526" s="6"/>
      <c r="AF526" s="6"/>
      <c r="AG526" s="6"/>
      <c r="AH526" s="6"/>
      <c r="AI526" s="6"/>
      <c r="AJ526" s="6"/>
      <c r="AK526" s="6"/>
      <c r="AL526" s="6"/>
      <c r="AM526" s="6"/>
      <c r="AN526" s="6"/>
      <c r="AO526" s="6"/>
      <c r="AP526" s="6"/>
      <c r="AQ526" s="6"/>
      <c r="AR526" s="6"/>
      <c r="AS526" s="6"/>
      <c r="AT526" s="6"/>
      <c r="AU526" s="6"/>
      <c r="AV526" s="36"/>
    </row>
    <row r="527" spans="1:48" ht="100.5" hidden="1" customHeight="1" x14ac:dyDescent="0.3">
      <c r="A527" s="6" t="s">
        <v>25</v>
      </c>
      <c r="B527" s="6" t="s">
        <v>1159</v>
      </c>
      <c r="C527" s="15" t="s">
        <v>2735</v>
      </c>
      <c r="D527" s="6" t="s">
        <v>32</v>
      </c>
      <c r="E527" s="6" t="s">
        <v>19</v>
      </c>
      <c r="F527" s="6" t="s">
        <v>19</v>
      </c>
      <c r="G527" s="6" t="s">
        <v>19</v>
      </c>
      <c r="H527" s="6" t="s">
        <v>19</v>
      </c>
      <c r="I527" s="6" t="s">
        <v>19</v>
      </c>
      <c r="J527" s="6" t="s">
        <v>19</v>
      </c>
      <c r="K527" s="6" t="s">
        <v>19</v>
      </c>
      <c r="L527" s="6" t="s">
        <v>19</v>
      </c>
      <c r="M527" s="15" t="s">
        <v>2736</v>
      </c>
      <c r="N527" s="4" t="s">
        <v>2737</v>
      </c>
      <c r="O527" s="107" t="s">
        <v>2676</v>
      </c>
      <c r="P527" s="4" t="s">
        <v>2738</v>
      </c>
      <c r="S527" s="15" t="e" cm="1">
        <f t="array" aca="1" ref="S527" ca="1">COMMONMARKETCOUNT(H527:AV527)</f>
        <v>#NAME?</v>
      </c>
      <c r="T527" s="6" t="e" cm="1">
        <f t="array" aca="1" ref="T527" ca="1">AUTOMATEDCOUNT(H527:AV527)</f>
        <v>#NAME?</v>
      </c>
      <c r="V527" s="6" t="s">
        <v>19</v>
      </c>
      <c r="W527" s="6" t="s">
        <v>19</v>
      </c>
      <c r="X527" s="6" t="s">
        <v>19</v>
      </c>
      <c r="Y527" s="6" t="s">
        <v>19</v>
      </c>
      <c r="Z527" s="6" t="s">
        <v>19</v>
      </c>
      <c r="AA527" s="6" t="s">
        <v>19</v>
      </c>
      <c r="AB527" s="6" t="s">
        <v>19</v>
      </c>
      <c r="AC527" s="6" t="s">
        <v>19</v>
      </c>
      <c r="AD527" s="6" t="s">
        <v>19</v>
      </c>
      <c r="AE527" s="6" t="s">
        <v>19</v>
      </c>
      <c r="AF527" s="6" t="s">
        <v>19</v>
      </c>
      <c r="AG527" s="6" t="s">
        <v>19</v>
      </c>
      <c r="AH527" s="6" t="s">
        <v>19</v>
      </c>
      <c r="AI527" s="6" t="s">
        <v>19</v>
      </c>
      <c r="AJ527" s="6" t="s">
        <v>19</v>
      </c>
      <c r="AK527" s="6" t="s">
        <v>19</v>
      </c>
      <c r="AL527" s="6" t="s">
        <v>19</v>
      </c>
      <c r="AM527" s="6" t="s">
        <v>19</v>
      </c>
      <c r="AN527" s="6" t="s">
        <v>19</v>
      </c>
      <c r="AO527" s="6" t="s">
        <v>19</v>
      </c>
      <c r="AP527" s="6" t="s">
        <v>19</v>
      </c>
      <c r="AQ527" s="6" t="s">
        <v>19</v>
      </c>
      <c r="AR527" s="6" t="s">
        <v>19</v>
      </c>
      <c r="AS527" s="6" t="s">
        <v>19</v>
      </c>
      <c r="AT527" s="6" t="s">
        <v>19</v>
      </c>
      <c r="AU527" s="6" t="s">
        <v>3153</v>
      </c>
      <c r="AV527" s="36" t="s">
        <v>19</v>
      </c>
    </row>
    <row r="528" spans="1:48" ht="93" hidden="1" customHeight="1" x14ac:dyDescent="0.3">
      <c r="A528" s="6"/>
      <c r="B528" s="6"/>
      <c r="C528" s="15" t="s">
        <v>2739</v>
      </c>
      <c r="D528" s="6" t="s">
        <v>32</v>
      </c>
      <c r="E528" s="6"/>
      <c r="F528" s="6"/>
      <c r="G528" s="6"/>
      <c r="H528" s="6"/>
      <c r="I528" s="6"/>
      <c r="J528" s="6"/>
      <c r="K528" s="6"/>
      <c r="L528" s="6"/>
      <c r="M528" s="15" t="s">
        <v>2740</v>
      </c>
      <c r="N528" s="4"/>
      <c r="O528" s="108" t="s">
        <v>2712</v>
      </c>
      <c r="P528" s="4"/>
      <c r="S528" s="15" t="e" cm="1">
        <f t="array" aca="1" ref="S528" ca="1">COMMONMARKETCOUNT(H528:AV528)</f>
        <v>#NAME?</v>
      </c>
      <c r="T528" s="6" t="e" cm="1">
        <f t="array" aca="1" ref="T528" ca="1">AUTOMATEDCOUNT(H528:AV528)</f>
        <v>#NAME?</v>
      </c>
      <c r="V528" s="6"/>
      <c r="W528" s="6"/>
      <c r="X528" s="6"/>
      <c r="Y528" s="6"/>
      <c r="Z528" s="6"/>
      <c r="AA528" s="6"/>
      <c r="AB528" s="6"/>
      <c r="AC528" s="6"/>
      <c r="AD528" s="6"/>
      <c r="AE528" s="6"/>
      <c r="AF528" s="6"/>
      <c r="AG528" s="6"/>
      <c r="AH528" s="6"/>
      <c r="AI528" s="6"/>
      <c r="AJ528" s="6"/>
      <c r="AK528" s="6"/>
      <c r="AL528" s="6"/>
      <c r="AM528" s="6"/>
      <c r="AN528" s="6"/>
      <c r="AO528" s="6"/>
      <c r="AP528" s="6"/>
      <c r="AQ528" s="6"/>
      <c r="AR528" s="6"/>
      <c r="AS528" s="6"/>
      <c r="AT528" s="6"/>
      <c r="AU528" s="6"/>
      <c r="AV528" s="36"/>
    </row>
    <row r="529" spans="1:264" ht="88.5" hidden="1" customHeight="1" x14ac:dyDescent="0.3">
      <c r="A529" s="6"/>
      <c r="B529" s="6"/>
      <c r="C529" s="15" t="s">
        <v>2741</v>
      </c>
      <c r="D529" s="6" t="s">
        <v>32</v>
      </c>
      <c r="E529" s="6"/>
      <c r="F529" s="6"/>
      <c r="G529" s="6"/>
      <c r="H529" s="6"/>
      <c r="I529" s="6"/>
      <c r="J529" s="6"/>
      <c r="K529" s="6"/>
      <c r="L529" s="6"/>
      <c r="M529" s="15" t="s">
        <v>2742</v>
      </c>
      <c r="N529" s="4"/>
      <c r="O529" s="108" t="s">
        <v>2712</v>
      </c>
      <c r="P529" s="4"/>
      <c r="S529" s="15" t="e" cm="1">
        <f t="array" aca="1" ref="S529" ca="1">COMMONMARKETCOUNT(H529:AV529)</f>
        <v>#NAME?</v>
      </c>
      <c r="T529" s="6" t="e" cm="1">
        <f t="array" aca="1" ref="T529" ca="1">AUTOMATEDCOUNT(H529:AV529)</f>
        <v>#NAME?</v>
      </c>
      <c r="V529" s="6"/>
      <c r="W529" s="6"/>
      <c r="X529" s="6"/>
      <c r="Y529" s="6"/>
      <c r="Z529" s="6"/>
      <c r="AA529" s="6"/>
      <c r="AB529" s="6"/>
      <c r="AC529" s="6"/>
      <c r="AD529" s="6"/>
      <c r="AE529" s="6"/>
      <c r="AF529" s="6"/>
      <c r="AG529" s="6"/>
      <c r="AH529" s="6"/>
      <c r="AI529" s="6"/>
      <c r="AJ529" s="6"/>
      <c r="AK529" s="6"/>
      <c r="AL529" s="6"/>
      <c r="AM529" s="6"/>
      <c r="AN529" s="6"/>
      <c r="AO529" s="6"/>
      <c r="AP529" s="6"/>
      <c r="AQ529" s="6"/>
      <c r="AR529" s="6"/>
      <c r="AS529" s="6"/>
      <c r="AT529" s="6"/>
      <c r="AU529" s="6"/>
      <c r="AV529" s="36"/>
    </row>
    <row r="530" spans="1:264" ht="80.25" hidden="1" customHeight="1" x14ac:dyDescent="0.3">
      <c r="A530" s="6" t="s">
        <v>25</v>
      </c>
      <c r="B530" s="6" t="s">
        <v>1159</v>
      </c>
      <c r="C530" s="15" t="s">
        <v>2743</v>
      </c>
      <c r="D530" s="6" t="s">
        <v>109</v>
      </c>
      <c r="E530" s="6" t="s">
        <v>19</v>
      </c>
      <c r="F530" s="6" t="s">
        <v>19</v>
      </c>
      <c r="G530" s="6" t="s">
        <v>19</v>
      </c>
      <c r="H530" s="6" t="s">
        <v>19</v>
      </c>
      <c r="I530" s="6" t="s">
        <v>19</v>
      </c>
      <c r="J530" s="6" t="s">
        <v>19</v>
      </c>
      <c r="K530" s="6" t="s">
        <v>19</v>
      </c>
      <c r="L530" s="6" t="s">
        <v>19</v>
      </c>
      <c r="M530" s="15" t="s">
        <v>2744</v>
      </c>
      <c r="N530" s="4"/>
      <c r="O530" s="108" t="s">
        <v>2712</v>
      </c>
      <c r="P530" s="4"/>
      <c r="S530" s="15" t="e" cm="1">
        <f t="array" aca="1" ref="S530" ca="1">COMMONMARKETCOUNT(H530:AV530)</f>
        <v>#NAME?</v>
      </c>
      <c r="T530" s="6">
        <v>0</v>
      </c>
      <c r="V530" s="6" t="s">
        <v>19</v>
      </c>
      <c r="W530" s="6" t="s">
        <v>19</v>
      </c>
      <c r="X530" s="6" t="s">
        <v>19</v>
      </c>
      <c r="Y530" s="6" t="s">
        <v>19</v>
      </c>
      <c r="Z530" s="6" t="s">
        <v>19</v>
      </c>
      <c r="AA530" s="6" t="s">
        <v>19</v>
      </c>
      <c r="AB530" s="6" t="s">
        <v>19</v>
      </c>
      <c r="AC530" s="6" t="s">
        <v>19</v>
      </c>
      <c r="AD530" s="6" t="s">
        <v>19</v>
      </c>
      <c r="AE530" s="6" t="s">
        <v>19</v>
      </c>
      <c r="AF530" s="6" t="s">
        <v>19</v>
      </c>
      <c r="AG530" s="6" t="s">
        <v>19</v>
      </c>
      <c r="AH530" s="6" t="s">
        <v>19</v>
      </c>
      <c r="AI530" s="6" t="s">
        <v>19</v>
      </c>
      <c r="AJ530" s="6" t="s">
        <v>19</v>
      </c>
      <c r="AK530" s="6" t="s">
        <v>19</v>
      </c>
      <c r="AL530" s="6" t="s">
        <v>19</v>
      </c>
      <c r="AM530" s="6" t="s">
        <v>19</v>
      </c>
      <c r="AN530" s="6" t="s">
        <v>19</v>
      </c>
      <c r="AO530" s="6" t="s">
        <v>19</v>
      </c>
      <c r="AP530" s="6" t="s">
        <v>19</v>
      </c>
      <c r="AQ530" s="6" t="s">
        <v>19</v>
      </c>
      <c r="AR530" s="6" t="s">
        <v>19</v>
      </c>
      <c r="AS530" s="6" t="s">
        <v>19</v>
      </c>
      <c r="AT530" s="6" t="s">
        <v>19</v>
      </c>
      <c r="AU530" s="6" t="s">
        <v>3153</v>
      </c>
      <c r="AV530" s="36" t="s">
        <v>19</v>
      </c>
    </row>
    <row r="531" spans="1:264" ht="73.5" hidden="1" customHeight="1" x14ac:dyDescent="0.4">
      <c r="A531" s="6" t="s">
        <v>56</v>
      </c>
      <c r="B531" s="6" t="s">
        <v>55</v>
      </c>
      <c r="C531" s="15" t="s">
        <v>2745</v>
      </c>
      <c r="D531" s="6" t="s">
        <v>32</v>
      </c>
      <c r="E531" s="6" t="s">
        <v>19</v>
      </c>
      <c r="F531" s="6" t="s">
        <v>19</v>
      </c>
      <c r="G531" s="6" t="s">
        <v>19</v>
      </c>
      <c r="H531" s="6" t="s">
        <v>19</v>
      </c>
      <c r="I531" s="6" t="s">
        <v>19</v>
      </c>
      <c r="J531" s="6" t="s">
        <v>19</v>
      </c>
      <c r="K531" s="6" t="s">
        <v>19</v>
      </c>
      <c r="L531" s="6" t="s">
        <v>19</v>
      </c>
      <c r="M531" s="15" t="s">
        <v>2746</v>
      </c>
      <c r="N531" s="109" t="s">
        <v>2747</v>
      </c>
      <c r="O531" s="108" t="s">
        <v>2712</v>
      </c>
      <c r="P531" s="4" t="s">
        <v>2748</v>
      </c>
      <c r="S531" s="15" t="e" cm="1">
        <f t="array" aca="1" ref="S531" ca="1">COMMONMARKETCOUNT(H531:AV531)</f>
        <v>#NAME?</v>
      </c>
      <c r="T531" s="6">
        <v>2</v>
      </c>
      <c r="V531" s="6" t="s">
        <v>19</v>
      </c>
      <c r="W531" s="6" t="s">
        <v>19</v>
      </c>
      <c r="X531" s="6" t="s">
        <v>19</v>
      </c>
      <c r="Y531" s="6" t="s">
        <v>19</v>
      </c>
      <c r="Z531" s="6" t="s">
        <v>19</v>
      </c>
      <c r="AA531" s="6" t="s">
        <v>19</v>
      </c>
      <c r="AB531" s="6" t="s">
        <v>19</v>
      </c>
      <c r="AC531" s="6" t="s">
        <v>19</v>
      </c>
      <c r="AD531" s="6" t="s">
        <v>19</v>
      </c>
      <c r="AE531" s="6" t="s">
        <v>19</v>
      </c>
      <c r="AF531" s="6" t="s">
        <v>19</v>
      </c>
      <c r="AG531" s="6" t="s">
        <v>19</v>
      </c>
      <c r="AH531" s="6" t="s">
        <v>19</v>
      </c>
      <c r="AI531" s="6" t="s">
        <v>19</v>
      </c>
      <c r="AJ531" s="6" t="s">
        <v>19</v>
      </c>
      <c r="AK531" s="6" t="s">
        <v>19</v>
      </c>
      <c r="AL531" s="6" t="s">
        <v>19</v>
      </c>
      <c r="AM531" s="6" t="s">
        <v>19</v>
      </c>
      <c r="AN531" s="6" t="s">
        <v>19</v>
      </c>
      <c r="AO531" s="6" t="s">
        <v>19</v>
      </c>
      <c r="AP531" s="6" t="s">
        <v>19</v>
      </c>
      <c r="AQ531" s="6" t="s">
        <v>19</v>
      </c>
      <c r="AR531" s="6" t="s">
        <v>19</v>
      </c>
      <c r="AS531" s="6" t="s">
        <v>19</v>
      </c>
      <c r="AT531" s="6" t="s">
        <v>19</v>
      </c>
      <c r="AU531" s="6" t="s">
        <v>3153</v>
      </c>
      <c r="AV531" s="36" t="s">
        <v>19</v>
      </c>
    </row>
    <row r="532" spans="1:264" ht="48" hidden="1" customHeight="1" x14ac:dyDescent="0.4">
      <c r="A532" s="6" t="s">
        <v>56</v>
      </c>
      <c r="B532" s="6" t="s">
        <v>55</v>
      </c>
      <c r="C532" s="15" t="s">
        <v>2749</v>
      </c>
      <c r="D532" s="6" t="s">
        <v>32</v>
      </c>
      <c r="E532" s="6" t="s">
        <v>19</v>
      </c>
      <c r="F532" s="6" t="s">
        <v>19</v>
      </c>
      <c r="G532" s="6" t="s">
        <v>19</v>
      </c>
      <c r="H532" s="6" t="s">
        <v>19</v>
      </c>
      <c r="I532" s="6" t="s">
        <v>19</v>
      </c>
      <c r="J532" s="6" t="s">
        <v>19</v>
      </c>
      <c r="K532" s="6" t="s">
        <v>19</v>
      </c>
      <c r="L532" s="6" t="s">
        <v>19</v>
      </c>
      <c r="M532" s="15" t="s">
        <v>2750</v>
      </c>
      <c r="N532" s="109" t="s">
        <v>2747</v>
      </c>
      <c r="O532" s="108" t="s">
        <v>2712</v>
      </c>
      <c r="P532" s="4" t="s">
        <v>2751</v>
      </c>
      <c r="S532" s="15" t="e" cm="1">
        <f t="array" aca="1" ref="S532" ca="1">COMMONMARKETCOUNT(H532:AV532)</f>
        <v>#NAME?</v>
      </c>
      <c r="T532" s="6">
        <v>3</v>
      </c>
      <c r="V532" s="6" t="s">
        <v>19</v>
      </c>
      <c r="W532" s="6" t="s">
        <v>19</v>
      </c>
      <c r="X532" s="6" t="s">
        <v>19</v>
      </c>
      <c r="Y532" s="6" t="s">
        <v>19</v>
      </c>
      <c r="Z532" s="6" t="s">
        <v>19</v>
      </c>
      <c r="AA532" s="6" t="s">
        <v>19</v>
      </c>
      <c r="AB532" s="6" t="s">
        <v>19</v>
      </c>
      <c r="AC532" s="6" t="s">
        <v>19</v>
      </c>
      <c r="AD532" s="6" t="s">
        <v>19</v>
      </c>
      <c r="AE532" s="6" t="s">
        <v>19</v>
      </c>
      <c r="AF532" s="6" t="s">
        <v>19</v>
      </c>
      <c r="AG532" s="6" t="s">
        <v>19</v>
      </c>
      <c r="AH532" s="6" t="s">
        <v>19</v>
      </c>
      <c r="AI532" s="6" t="s">
        <v>19</v>
      </c>
      <c r="AJ532" s="6" t="s">
        <v>19</v>
      </c>
      <c r="AK532" s="6" t="s">
        <v>19</v>
      </c>
      <c r="AL532" s="6" t="s">
        <v>19</v>
      </c>
      <c r="AM532" s="6" t="s">
        <v>19</v>
      </c>
      <c r="AN532" s="6" t="s">
        <v>19</v>
      </c>
      <c r="AO532" s="6" t="s">
        <v>19</v>
      </c>
      <c r="AP532" s="6" t="s">
        <v>19</v>
      </c>
      <c r="AQ532" s="6" t="s">
        <v>19</v>
      </c>
      <c r="AR532" s="6" t="s">
        <v>19</v>
      </c>
      <c r="AS532" s="6" t="s">
        <v>19</v>
      </c>
      <c r="AT532" s="6" t="s">
        <v>19</v>
      </c>
      <c r="AU532" s="6" t="s">
        <v>3153</v>
      </c>
      <c r="AV532" s="36" t="s">
        <v>19</v>
      </c>
    </row>
    <row r="533" spans="1:264" ht="45.75" hidden="1" customHeight="1" x14ac:dyDescent="0.4">
      <c r="A533" s="6" t="s">
        <v>56</v>
      </c>
      <c r="B533" s="6" t="s">
        <v>55</v>
      </c>
      <c r="C533" s="15" t="s">
        <v>2752</v>
      </c>
      <c r="D533" s="6" t="s">
        <v>32</v>
      </c>
      <c r="E533" s="6" t="s">
        <v>19</v>
      </c>
      <c r="F533" s="6" t="s">
        <v>19</v>
      </c>
      <c r="G533" s="6" t="s">
        <v>19</v>
      </c>
      <c r="H533" s="6" t="s">
        <v>19</v>
      </c>
      <c r="I533" s="6" t="s">
        <v>19</v>
      </c>
      <c r="J533" s="6" t="s">
        <v>19</v>
      </c>
      <c r="K533" s="6" t="s">
        <v>19</v>
      </c>
      <c r="L533" s="6" t="s">
        <v>19</v>
      </c>
      <c r="M533" s="15" t="s">
        <v>2753</v>
      </c>
      <c r="N533" s="109" t="s">
        <v>2747</v>
      </c>
      <c r="O533" s="108" t="s">
        <v>2712</v>
      </c>
      <c r="P533" s="4" t="s">
        <v>2754</v>
      </c>
      <c r="S533" s="15" t="e" cm="1">
        <f t="array" aca="1" ref="S533" ca="1">COMMONMARKETCOUNT(H533:AV533)</f>
        <v>#NAME?</v>
      </c>
      <c r="T533" s="6">
        <v>4</v>
      </c>
      <c r="V533" s="6" t="s">
        <v>19</v>
      </c>
      <c r="W533" s="6" t="s">
        <v>19</v>
      </c>
      <c r="X533" s="6" t="s">
        <v>19</v>
      </c>
      <c r="Y533" s="6" t="s">
        <v>19</v>
      </c>
      <c r="Z533" s="6" t="s">
        <v>19</v>
      </c>
      <c r="AA533" s="6" t="s">
        <v>19</v>
      </c>
      <c r="AB533" s="6" t="s">
        <v>19</v>
      </c>
      <c r="AC533" s="6" t="s">
        <v>19</v>
      </c>
      <c r="AD533" s="6" t="s">
        <v>19</v>
      </c>
      <c r="AE533" s="6" t="s">
        <v>19</v>
      </c>
      <c r="AF533" s="6" t="s">
        <v>19</v>
      </c>
      <c r="AG533" s="6" t="s">
        <v>19</v>
      </c>
      <c r="AH533" s="6" t="s">
        <v>19</v>
      </c>
      <c r="AI533" s="6" t="s">
        <v>19</v>
      </c>
      <c r="AJ533" s="6" t="s">
        <v>19</v>
      </c>
      <c r="AK533" s="6" t="s">
        <v>19</v>
      </c>
      <c r="AL533" s="6" t="s">
        <v>19</v>
      </c>
      <c r="AM533" s="6" t="s">
        <v>19</v>
      </c>
      <c r="AN533" s="6" t="s">
        <v>19</v>
      </c>
      <c r="AO533" s="6" t="s">
        <v>19</v>
      </c>
      <c r="AP533" s="6" t="s">
        <v>19</v>
      </c>
      <c r="AQ533" s="6" t="s">
        <v>19</v>
      </c>
      <c r="AR533" s="6" t="s">
        <v>19</v>
      </c>
      <c r="AS533" s="6" t="s">
        <v>19</v>
      </c>
      <c r="AT533" s="6" t="s">
        <v>19</v>
      </c>
      <c r="AU533" s="6" t="s">
        <v>3153</v>
      </c>
      <c r="AV533" s="36" t="s">
        <v>19</v>
      </c>
    </row>
    <row r="534" spans="1:264" ht="193.2" hidden="1" x14ac:dyDescent="0.4">
      <c r="A534" s="6" t="s">
        <v>56</v>
      </c>
      <c r="B534" s="6" t="s">
        <v>55</v>
      </c>
      <c r="C534" s="15" t="s">
        <v>2755</v>
      </c>
      <c r="D534" s="6" t="s">
        <v>32</v>
      </c>
      <c r="E534" s="6" t="s">
        <v>19</v>
      </c>
      <c r="F534" s="6" t="s">
        <v>19</v>
      </c>
      <c r="G534" s="6" t="s">
        <v>19</v>
      </c>
      <c r="H534" s="6" t="s">
        <v>19</v>
      </c>
      <c r="I534" s="6" t="s">
        <v>19</v>
      </c>
      <c r="J534" s="6" t="s">
        <v>19</v>
      </c>
      <c r="K534" s="6" t="s">
        <v>19</v>
      </c>
      <c r="L534" s="6" t="s">
        <v>19</v>
      </c>
      <c r="M534" s="15" t="s">
        <v>2756</v>
      </c>
      <c r="N534" s="109" t="s">
        <v>2747</v>
      </c>
      <c r="O534" s="108" t="s">
        <v>2712</v>
      </c>
      <c r="P534" s="4" t="s">
        <v>2757</v>
      </c>
      <c r="S534" s="15" t="e" cm="1">
        <f t="array" aca="1" ref="S534" ca="1">COMMONMARKETCOUNT(H534:AV534)</f>
        <v>#NAME?</v>
      </c>
      <c r="T534" s="6">
        <v>5</v>
      </c>
      <c r="V534" s="6" t="s">
        <v>19</v>
      </c>
      <c r="W534" s="6" t="s">
        <v>19</v>
      </c>
      <c r="X534" s="6" t="s">
        <v>19</v>
      </c>
      <c r="Y534" s="6" t="s">
        <v>19</v>
      </c>
      <c r="Z534" s="6" t="s">
        <v>19</v>
      </c>
      <c r="AA534" s="6" t="s">
        <v>19</v>
      </c>
      <c r="AB534" s="6" t="s">
        <v>19</v>
      </c>
      <c r="AC534" s="6" t="s">
        <v>19</v>
      </c>
      <c r="AD534" s="6" t="s">
        <v>19</v>
      </c>
      <c r="AE534" s="6" t="s">
        <v>19</v>
      </c>
      <c r="AF534" s="6" t="s">
        <v>19</v>
      </c>
      <c r="AG534" s="6" t="s">
        <v>19</v>
      </c>
      <c r="AH534" s="6" t="s">
        <v>19</v>
      </c>
      <c r="AI534" s="6" t="s">
        <v>19</v>
      </c>
      <c r="AJ534" s="6" t="s">
        <v>19</v>
      </c>
      <c r="AK534" s="6" t="s">
        <v>19</v>
      </c>
      <c r="AL534" s="6" t="s">
        <v>19</v>
      </c>
      <c r="AM534" s="6" t="s">
        <v>19</v>
      </c>
      <c r="AN534" s="6" t="s">
        <v>19</v>
      </c>
      <c r="AO534" s="6" t="s">
        <v>19</v>
      </c>
      <c r="AP534" s="6" t="s">
        <v>19</v>
      </c>
      <c r="AQ534" s="6" t="s">
        <v>19</v>
      </c>
      <c r="AR534" s="6" t="s">
        <v>19</v>
      </c>
      <c r="AS534" s="6" t="s">
        <v>19</v>
      </c>
      <c r="AT534" s="6" t="s">
        <v>19</v>
      </c>
      <c r="AU534" s="6" t="s">
        <v>3153</v>
      </c>
      <c r="AV534" s="36" t="s">
        <v>19</v>
      </c>
    </row>
    <row r="535" spans="1:264" ht="74.25" hidden="1" customHeight="1" x14ac:dyDescent="0.3">
      <c r="A535" s="6" t="s">
        <v>25</v>
      </c>
      <c r="B535" s="6" t="s">
        <v>1159</v>
      </c>
      <c r="C535" s="15" t="s">
        <v>2758</v>
      </c>
      <c r="D535" s="6" t="s">
        <v>32</v>
      </c>
      <c r="E535" s="6" t="s">
        <v>19</v>
      </c>
      <c r="F535" s="6" t="s">
        <v>19</v>
      </c>
      <c r="G535" s="6" t="s">
        <v>19</v>
      </c>
      <c r="H535" s="6" t="s">
        <v>19</v>
      </c>
      <c r="I535" s="6" t="s">
        <v>19</v>
      </c>
      <c r="J535" s="6" t="s">
        <v>19</v>
      </c>
      <c r="K535" s="6" t="s">
        <v>19</v>
      </c>
      <c r="L535" s="6" t="s">
        <v>19</v>
      </c>
      <c r="M535" s="15" t="s">
        <v>2759</v>
      </c>
      <c r="N535" s="2" t="s">
        <v>2760</v>
      </c>
      <c r="O535" s="3" t="s">
        <v>2712</v>
      </c>
      <c r="P535" s="4" t="s">
        <v>2761</v>
      </c>
      <c r="S535" s="15" t="e" cm="1">
        <f t="array" aca="1" ref="S535" ca="1">COMMONMARKETCOUNT(H535:AV535)</f>
        <v>#NAME?</v>
      </c>
      <c r="T535" s="6">
        <v>0</v>
      </c>
      <c r="V535" s="6" t="s">
        <v>19</v>
      </c>
      <c r="W535" s="6" t="s">
        <v>19</v>
      </c>
      <c r="X535" s="6" t="s">
        <v>19</v>
      </c>
      <c r="Y535" s="6" t="s">
        <v>19</v>
      </c>
      <c r="Z535" s="6" t="s">
        <v>19</v>
      </c>
      <c r="AA535" s="6" t="s">
        <v>19</v>
      </c>
      <c r="AB535" s="6" t="s">
        <v>19</v>
      </c>
      <c r="AC535" s="6" t="s">
        <v>19</v>
      </c>
      <c r="AD535" s="6" t="s">
        <v>19</v>
      </c>
      <c r="AE535" s="6" t="s">
        <v>19</v>
      </c>
      <c r="AF535" s="6" t="s">
        <v>19</v>
      </c>
      <c r="AG535" s="6" t="s">
        <v>19</v>
      </c>
      <c r="AH535" s="6" t="s">
        <v>19</v>
      </c>
      <c r="AI535" s="6" t="s">
        <v>19</v>
      </c>
      <c r="AJ535" s="6" t="s">
        <v>19</v>
      </c>
      <c r="AK535" s="6" t="s">
        <v>19</v>
      </c>
      <c r="AL535" s="6" t="s">
        <v>19</v>
      </c>
      <c r="AM535" s="6" t="s">
        <v>19</v>
      </c>
      <c r="AN535" s="6" t="s">
        <v>19</v>
      </c>
      <c r="AO535" s="6" t="s">
        <v>19</v>
      </c>
      <c r="AP535" s="6" t="s">
        <v>19</v>
      </c>
      <c r="AQ535" s="6" t="s">
        <v>19</v>
      </c>
      <c r="AR535" s="6" t="s">
        <v>19</v>
      </c>
      <c r="AS535" s="6" t="s">
        <v>19</v>
      </c>
      <c r="AT535" s="6" t="s">
        <v>19</v>
      </c>
      <c r="AU535" s="6" t="s">
        <v>109</v>
      </c>
      <c r="AV535" s="36" t="s">
        <v>19</v>
      </c>
      <c r="AW535" s="5"/>
      <c r="AX535" s="5"/>
      <c r="AY535" s="5"/>
      <c r="AZ535" s="5"/>
      <c r="BA535" s="5"/>
      <c r="BB535" s="5"/>
      <c r="BC535" s="5"/>
      <c r="BD535" s="5"/>
      <c r="BE535" s="5"/>
      <c r="BF535" s="5"/>
      <c r="BG535" s="5"/>
      <c r="BH535" s="5"/>
      <c r="BI535" s="5"/>
      <c r="BJ535" s="5"/>
      <c r="BK535" s="5"/>
      <c r="BL535" s="5"/>
      <c r="BM535" s="5"/>
      <c r="BN535" s="5"/>
      <c r="BO535" s="5"/>
      <c r="BP535" s="5"/>
      <c r="BQ535" s="5"/>
      <c r="BR535" s="5"/>
      <c r="BS535" s="5"/>
      <c r="BT535" s="5"/>
      <c r="BU535" s="5"/>
      <c r="BV535" s="5"/>
      <c r="BW535" s="5"/>
      <c r="BX535" s="5"/>
      <c r="BY535" s="5"/>
      <c r="BZ535" s="5"/>
      <c r="CA535" s="5"/>
      <c r="CB535" s="5"/>
      <c r="CC535" s="5"/>
      <c r="CD535" s="5"/>
      <c r="CE535" s="5"/>
      <c r="CF535" s="5"/>
      <c r="CG535" s="5"/>
      <c r="CH535" s="5"/>
      <c r="CI535" s="5"/>
      <c r="CJ535" s="5"/>
      <c r="CK535" s="5"/>
      <c r="CL535" s="5"/>
      <c r="CM535" s="5"/>
      <c r="CN535" s="5"/>
      <c r="CO535" s="5"/>
      <c r="CP535" s="5"/>
      <c r="CQ535" s="5"/>
      <c r="CR535" s="5"/>
      <c r="CS535" s="5"/>
      <c r="CT535" s="5"/>
      <c r="CU535" s="5"/>
      <c r="CV535" s="5"/>
      <c r="CW535" s="5"/>
      <c r="CX535" s="5"/>
      <c r="CY535" s="5"/>
      <c r="CZ535" s="5"/>
      <c r="DA535" s="5"/>
      <c r="DB535" s="5"/>
      <c r="DC535" s="5"/>
      <c r="DD535" s="5"/>
      <c r="DE535" s="5"/>
      <c r="DF535" s="5"/>
      <c r="DG535" s="5"/>
      <c r="DH535" s="5"/>
      <c r="DI535" s="5"/>
      <c r="DJ535" s="5"/>
      <c r="DK535" s="5"/>
      <c r="DL535" s="5"/>
      <c r="DM535" s="5"/>
      <c r="DN535" s="5"/>
      <c r="DO535" s="5"/>
      <c r="DP535" s="5"/>
      <c r="DQ535" s="5"/>
      <c r="DR535" s="5"/>
      <c r="DS535" s="5"/>
      <c r="DT535" s="5"/>
      <c r="DU535" s="5"/>
      <c r="DV535" s="5"/>
      <c r="DW535" s="5"/>
      <c r="DX535" s="5"/>
      <c r="DY535" s="5"/>
      <c r="DZ535" s="5"/>
      <c r="EA535" s="5"/>
      <c r="EB535" s="5"/>
      <c r="EC535" s="5"/>
      <c r="ED535" s="5"/>
      <c r="EE535" s="5"/>
      <c r="EF535" s="5"/>
      <c r="EG535" s="5"/>
      <c r="EH535" s="5"/>
      <c r="EI535" s="5"/>
      <c r="EJ535" s="5"/>
      <c r="EK535" s="5"/>
      <c r="EL535" s="5"/>
      <c r="EM535" s="5"/>
      <c r="EN535" s="5"/>
      <c r="EO535" s="5"/>
      <c r="EP535" s="5"/>
      <c r="EQ535" s="5"/>
      <c r="ER535" s="5"/>
      <c r="ES535" s="5"/>
      <c r="ET535" s="5"/>
      <c r="EU535" s="5"/>
      <c r="EV535" s="5"/>
      <c r="EW535" s="5"/>
      <c r="EX535" s="5"/>
      <c r="EY535" s="5"/>
      <c r="EZ535" s="5"/>
      <c r="FA535" s="5"/>
      <c r="FB535" s="5"/>
      <c r="FC535" s="5"/>
      <c r="FD535" s="5"/>
      <c r="FE535" s="5"/>
      <c r="FF535" s="5"/>
      <c r="FG535" s="5"/>
      <c r="FH535" s="5"/>
      <c r="FI535" s="5"/>
      <c r="FJ535" s="5"/>
      <c r="FK535" s="5"/>
      <c r="FL535" s="5"/>
      <c r="FM535" s="5"/>
      <c r="FN535" s="5"/>
      <c r="FO535" s="5"/>
      <c r="FP535" s="5"/>
      <c r="FQ535" s="5"/>
      <c r="FR535" s="5"/>
      <c r="FS535" s="5"/>
      <c r="FT535" s="5"/>
      <c r="FU535" s="5"/>
      <c r="FV535" s="5"/>
      <c r="FW535" s="5"/>
      <c r="FX535" s="5"/>
      <c r="FY535" s="5"/>
      <c r="FZ535" s="5"/>
      <c r="GA535" s="5"/>
      <c r="GB535" s="5"/>
      <c r="GC535" s="5"/>
      <c r="GD535" s="5"/>
      <c r="GE535" s="5"/>
      <c r="GF535" s="5"/>
      <c r="GG535" s="5"/>
      <c r="GH535" s="5"/>
      <c r="GI535" s="5"/>
      <c r="GJ535" s="5"/>
      <c r="GK535" s="5"/>
      <c r="GL535" s="5"/>
      <c r="GM535" s="5"/>
      <c r="GN535" s="5"/>
    </row>
    <row r="536" spans="1:264" ht="49.5" hidden="1" customHeight="1" x14ac:dyDescent="0.3">
      <c r="A536" s="6" t="s">
        <v>25</v>
      </c>
      <c r="B536" s="6" t="s">
        <v>1159</v>
      </c>
      <c r="C536" s="15" t="s">
        <v>2762</v>
      </c>
      <c r="D536" s="6" t="s">
        <v>32</v>
      </c>
      <c r="E536" s="6" t="s">
        <v>19</v>
      </c>
      <c r="F536" s="6" t="s">
        <v>19</v>
      </c>
      <c r="G536" s="6" t="s">
        <v>19</v>
      </c>
      <c r="H536" s="6" t="s">
        <v>19</v>
      </c>
      <c r="I536" s="6" t="s">
        <v>19</v>
      </c>
      <c r="J536" s="6" t="s">
        <v>19</v>
      </c>
      <c r="K536" s="6" t="s">
        <v>19</v>
      </c>
      <c r="L536" s="6" t="s">
        <v>19</v>
      </c>
      <c r="M536" s="15" t="s">
        <v>2759</v>
      </c>
      <c r="N536" s="2" t="s">
        <v>2763</v>
      </c>
      <c r="O536" s="3" t="s">
        <v>2764</v>
      </c>
      <c r="P536" s="4" t="s">
        <v>2765</v>
      </c>
      <c r="S536" s="15" t="e" cm="1">
        <f t="array" aca="1" ref="S536" ca="1">COMMONMARKETCOUNT(H536:AV536)</f>
        <v>#NAME?</v>
      </c>
      <c r="T536" s="6">
        <v>0</v>
      </c>
      <c r="V536" s="6" t="s">
        <v>19</v>
      </c>
      <c r="W536" s="6" t="s">
        <v>19</v>
      </c>
      <c r="X536" s="6" t="s">
        <v>19</v>
      </c>
      <c r="Y536" s="6" t="s">
        <v>19</v>
      </c>
      <c r="Z536" s="6" t="s">
        <v>19</v>
      </c>
      <c r="AA536" s="6" t="s">
        <v>19</v>
      </c>
      <c r="AB536" s="6" t="s">
        <v>19</v>
      </c>
      <c r="AC536" s="6" t="s">
        <v>19</v>
      </c>
      <c r="AD536" s="6" t="s">
        <v>19</v>
      </c>
      <c r="AE536" s="6" t="s">
        <v>19</v>
      </c>
      <c r="AF536" s="6" t="s">
        <v>19</v>
      </c>
      <c r="AG536" s="6" t="s">
        <v>19</v>
      </c>
      <c r="AH536" s="6" t="s">
        <v>19</v>
      </c>
      <c r="AI536" s="6" t="s">
        <v>19</v>
      </c>
      <c r="AJ536" s="6" t="s">
        <v>19</v>
      </c>
      <c r="AK536" s="6" t="s">
        <v>19</v>
      </c>
      <c r="AL536" s="6" t="s">
        <v>19</v>
      </c>
      <c r="AM536" s="6" t="s">
        <v>19</v>
      </c>
      <c r="AN536" s="6" t="s">
        <v>19</v>
      </c>
      <c r="AO536" s="6" t="s">
        <v>19</v>
      </c>
      <c r="AP536" s="6" t="s">
        <v>19</v>
      </c>
      <c r="AQ536" s="6" t="s">
        <v>19</v>
      </c>
      <c r="AR536" s="6" t="s">
        <v>19</v>
      </c>
      <c r="AS536" s="6" t="s">
        <v>19</v>
      </c>
      <c r="AT536" s="6" t="s">
        <v>19</v>
      </c>
      <c r="AU536" s="6" t="s">
        <v>109</v>
      </c>
      <c r="AV536" s="36" t="s">
        <v>19</v>
      </c>
    </row>
    <row r="537" spans="1:264" ht="107.25" hidden="1" customHeight="1" x14ac:dyDescent="0.3">
      <c r="A537" s="6" t="s">
        <v>25</v>
      </c>
      <c r="B537" s="6" t="s">
        <v>1159</v>
      </c>
      <c r="C537" s="15" t="s">
        <v>2766</v>
      </c>
      <c r="D537" s="6" t="s">
        <v>32</v>
      </c>
      <c r="E537" s="6" t="s">
        <v>19</v>
      </c>
      <c r="F537" s="6" t="s">
        <v>19</v>
      </c>
      <c r="G537" s="6" t="s">
        <v>19</v>
      </c>
      <c r="H537" s="6" t="s">
        <v>19</v>
      </c>
      <c r="I537" s="6" t="s">
        <v>19</v>
      </c>
      <c r="J537" s="6" t="s">
        <v>19</v>
      </c>
      <c r="K537" s="6" t="s">
        <v>19</v>
      </c>
      <c r="L537" s="6" t="s">
        <v>19</v>
      </c>
      <c r="M537" s="15" t="s">
        <v>2767</v>
      </c>
      <c r="N537" s="2" t="s">
        <v>2768</v>
      </c>
      <c r="O537" s="3" t="s">
        <v>2769</v>
      </c>
      <c r="P537" s="4" t="s">
        <v>2770</v>
      </c>
      <c r="S537" s="15" t="e" cm="1">
        <f t="array" aca="1" ref="S537" ca="1">COMMONMARKETCOUNT(H537:AV537)</f>
        <v>#NAME?</v>
      </c>
      <c r="T537" s="6">
        <v>0</v>
      </c>
      <c r="V537" s="6" t="s">
        <v>19</v>
      </c>
      <c r="W537" s="6" t="s">
        <v>19</v>
      </c>
      <c r="X537" s="6" t="s">
        <v>19</v>
      </c>
      <c r="Y537" s="6" t="s">
        <v>19</v>
      </c>
      <c r="Z537" s="6" t="s">
        <v>19</v>
      </c>
      <c r="AA537" s="6" t="s">
        <v>19</v>
      </c>
      <c r="AB537" s="6" t="s">
        <v>19</v>
      </c>
      <c r="AC537" s="6" t="s">
        <v>19</v>
      </c>
      <c r="AD537" s="6" t="s">
        <v>19</v>
      </c>
      <c r="AE537" s="6" t="s">
        <v>19</v>
      </c>
      <c r="AF537" s="6" t="s">
        <v>19</v>
      </c>
      <c r="AG537" s="6" t="s">
        <v>19</v>
      </c>
      <c r="AH537" s="6" t="s">
        <v>19</v>
      </c>
      <c r="AI537" s="6" t="s">
        <v>19</v>
      </c>
      <c r="AJ537" s="6" t="s">
        <v>19</v>
      </c>
      <c r="AK537" s="6" t="s">
        <v>19</v>
      </c>
      <c r="AL537" s="6" t="s">
        <v>19</v>
      </c>
      <c r="AM537" s="6" t="s">
        <v>19</v>
      </c>
      <c r="AN537" s="6" t="s">
        <v>19</v>
      </c>
      <c r="AO537" s="6" t="s">
        <v>19</v>
      </c>
      <c r="AP537" s="6" t="s">
        <v>19</v>
      </c>
      <c r="AQ537" s="6" t="s">
        <v>19</v>
      </c>
      <c r="AR537" s="6" t="s">
        <v>19</v>
      </c>
      <c r="AS537" s="6" t="s">
        <v>19</v>
      </c>
      <c r="AT537" s="6" t="s">
        <v>19</v>
      </c>
      <c r="AU537" s="6" t="s">
        <v>109</v>
      </c>
      <c r="AV537" s="36" t="s">
        <v>19</v>
      </c>
    </row>
    <row r="538" spans="1:264" ht="89.25" hidden="1" customHeight="1" x14ac:dyDescent="0.3">
      <c r="A538" s="6" t="s">
        <v>25</v>
      </c>
      <c r="B538" s="6" t="s">
        <v>1159</v>
      </c>
      <c r="C538" s="15" t="s">
        <v>2771</v>
      </c>
      <c r="D538" s="6" t="s">
        <v>32</v>
      </c>
      <c r="E538" s="6" t="s">
        <v>19</v>
      </c>
      <c r="F538" s="6" t="s">
        <v>19</v>
      </c>
      <c r="G538" s="6" t="s">
        <v>19</v>
      </c>
      <c r="H538" s="6" t="s">
        <v>19</v>
      </c>
      <c r="I538" s="6" t="s">
        <v>19</v>
      </c>
      <c r="J538" s="6" t="s">
        <v>19</v>
      </c>
      <c r="K538" s="6" t="s">
        <v>19</v>
      </c>
      <c r="L538" s="6" t="s">
        <v>19</v>
      </c>
      <c r="M538" s="15" t="s">
        <v>2767</v>
      </c>
      <c r="N538" s="2" t="s">
        <v>2772</v>
      </c>
      <c r="O538" s="3" t="s">
        <v>2773</v>
      </c>
      <c r="P538" s="4" t="s">
        <v>2774</v>
      </c>
      <c r="S538" s="15" t="e" cm="1">
        <f t="array" aca="1" ref="S538" ca="1">COMMONMARKETCOUNT(H538:AV538)</f>
        <v>#NAME?</v>
      </c>
      <c r="T538" s="6">
        <v>0</v>
      </c>
      <c r="V538" s="6" t="s">
        <v>19</v>
      </c>
      <c r="W538" s="6" t="s">
        <v>19</v>
      </c>
      <c r="X538" s="6" t="s">
        <v>19</v>
      </c>
      <c r="Y538" s="6" t="s">
        <v>19</v>
      </c>
      <c r="Z538" s="6" t="s">
        <v>19</v>
      </c>
      <c r="AA538" s="6" t="s">
        <v>19</v>
      </c>
      <c r="AB538" s="6" t="s">
        <v>19</v>
      </c>
      <c r="AC538" s="6" t="s">
        <v>19</v>
      </c>
      <c r="AD538" s="6" t="s">
        <v>19</v>
      </c>
      <c r="AE538" s="6" t="s">
        <v>19</v>
      </c>
      <c r="AF538" s="6" t="s">
        <v>19</v>
      </c>
      <c r="AG538" s="6" t="s">
        <v>19</v>
      </c>
      <c r="AH538" s="6" t="s">
        <v>19</v>
      </c>
      <c r="AI538" s="6" t="s">
        <v>19</v>
      </c>
      <c r="AJ538" s="6" t="s">
        <v>19</v>
      </c>
      <c r="AK538" s="6" t="s">
        <v>19</v>
      </c>
      <c r="AL538" s="6" t="s">
        <v>19</v>
      </c>
      <c r="AM538" s="6" t="s">
        <v>19</v>
      </c>
      <c r="AN538" s="6" t="s">
        <v>19</v>
      </c>
      <c r="AO538" s="6" t="s">
        <v>19</v>
      </c>
      <c r="AP538" s="6" t="s">
        <v>19</v>
      </c>
      <c r="AQ538" s="6" t="s">
        <v>19</v>
      </c>
      <c r="AR538" s="6" t="s">
        <v>19</v>
      </c>
      <c r="AS538" s="6" t="s">
        <v>19</v>
      </c>
      <c r="AT538" s="6" t="s">
        <v>19</v>
      </c>
      <c r="AU538" s="6" t="s">
        <v>109</v>
      </c>
      <c r="AV538" s="36" t="s">
        <v>19</v>
      </c>
    </row>
    <row r="539" spans="1:264" ht="85.5" hidden="1" customHeight="1" x14ac:dyDescent="0.3">
      <c r="A539" s="6" t="s">
        <v>25</v>
      </c>
      <c r="B539" s="6" t="s">
        <v>2701</v>
      </c>
      <c r="C539" s="15" t="s">
        <v>2775</v>
      </c>
      <c r="D539" s="6" t="s">
        <v>32</v>
      </c>
      <c r="E539" s="6" t="s">
        <v>19</v>
      </c>
      <c r="F539" s="6" t="s">
        <v>19</v>
      </c>
      <c r="G539" s="6" t="s">
        <v>19</v>
      </c>
      <c r="H539" s="6" t="s">
        <v>19</v>
      </c>
      <c r="I539" s="6" t="s">
        <v>19</v>
      </c>
      <c r="J539" s="6" t="s">
        <v>19</v>
      </c>
      <c r="K539" s="6" t="s">
        <v>19</v>
      </c>
      <c r="L539" s="6" t="s">
        <v>19</v>
      </c>
      <c r="M539" s="15" t="s">
        <v>2776</v>
      </c>
      <c r="N539" s="4" t="s">
        <v>2777</v>
      </c>
      <c r="O539" s="3" t="s">
        <v>2712</v>
      </c>
      <c r="P539" s="4" t="s">
        <v>2778</v>
      </c>
      <c r="S539" s="15" t="e" cm="1">
        <f t="array" aca="1" ref="S539" ca="1">COMMONMARKETCOUNT(H539:AV539)</f>
        <v>#NAME?</v>
      </c>
      <c r="T539" s="6">
        <v>0</v>
      </c>
      <c r="V539" s="6" t="s">
        <v>19</v>
      </c>
      <c r="W539" s="6" t="s">
        <v>19</v>
      </c>
      <c r="X539" s="6" t="s">
        <v>19</v>
      </c>
      <c r="Y539" s="6" t="s">
        <v>19</v>
      </c>
      <c r="Z539" s="6" t="s">
        <v>19</v>
      </c>
      <c r="AA539" s="6" t="s">
        <v>19</v>
      </c>
      <c r="AB539" s="6" t="s">
        <v>19</v>
      </c>
      <c r="AC539" s="6" t="s">
        <v>19</v>
      </c>
      <c r="AD539" s="6" t="s">
        <v>19</v>
      </c>
      <c r="AE539" s="6" t="s">
        <v>19</v>
      </c>
      <c r="AF539" s="6" t="s">
        <v>19</v>
      </c>
      <c r="AG539" s="6" t="s">
        <v>19</v>
      </c>
      <c r="AH539" s="6" t="s">
        <v>19</v>
      </c>
      <c r="AI539" s="6" t="s">
        <v>19</v>
      </c>
      <c r="AJ539" s="6" t="s">
        <v>19</v>
      </c>
      <c r="AK539" s="6" t="s">
        <v>19</v>
      </c>
      <c r="AL539" s="6" t="s">
        <v>19</v>
      </c>
      <c r="AM539" s="6" t="s">
        <v>19</v>
      </c>
      <c r="AN539" s="6" t="s">
        <v>19</v>
      </c>
      <c r="AO539" s="6" t="s">
        <v>19</v>
      </c>
      <c r="AP539" s="6" t="s">
        <v>19</v>
      </c>
      <c r="AQ539" s="6" t="s">
        <v>19</v>
      </c>
      <c r="AR539" s="6" t="s">
        <v>19</v>
      </c>
      <c r="AS539" s="6" t="s">
        <v>19</v>
      </c>
      <c r="AT539" s="6" t="s">
        <v>19</v>
      </c>
      <c r="AU539" s="6" t="s">
        <v>109</v>
      </c>
      <c r="AV539" s="36" t="s">
        <v>19</v>
      </c>
    </row>
    <row r="540" spans="1:264" ht="75" hidden="1" customHeight="1" x14ac:dyDescent="0.3">
      <c r="A540" s="6" t="s">
        <v>56</v>
      </c>
      <c r="B540" s="6" t="s">
        <v>1297</v>
      </c>
      <c r="C540" s="15" t="s">
        <v>2779</v>
      </c>
      <c r="D540" s="6" t="s">
        <v>32</v>
      </c>
      <c r="E540" s="6" t="s">
        <v>19</v>
      </c>
      <c r="F540" s="6" t="s">
        <v>19</v>
      </c>
      <c r="G540" s="6" t="s">
        <v>19</v>
      </c>
      <c r="H540" s="6" t="s">
        <v>19</v>
      </c>
      <c r="I540" s="6" t="s">
        <v>19</v>
      </c>
      <c r="J540" s="6" t="s">
        <v>19</v>
      </c>
      <c r="K540" s="6" t="s">
        <v>19</v>
      </c>
      <c r="L540" s="6" t="s">
        <v>19</v>
      </c>
      <c r="M540" s="15" t="s">
        <v>2780</v>
      </c>
      <c r="N540" s="4" t="s">
        <v>2781</v>
      </c>
      <c r="O540" s="3" t="s">
        <v>2712</v>
      </c>
      <c r="P540" s="4" t="s">
        <v>2782</v>
      </c>
      <c r="S540" s="15" t="e" cm="1">
        <f t="array" aca="1" ref="S540" ca="1">COMMONMARKETCOUNT(H540:AV540)</f>
        <v>#NAME?</v>
      </c>
      <c r="T540" s="6">
        <v>0</v>
      </c>
      <c r="V540" s="6" t="s">
        <v>19</v>
      </c>
      <c r="W540" s="6" t="s">
        <v>19</v>
      </c>
      <c r="X540" s="6" t="s">
        <v>19</v>
      </c>
      <c r="Y540" s="6" t="s">
        <v>19</v>
      </c>
      <c r="Z540" s="6" t="s">
        <v>19</v>
      </c>
      <c r="AA540" s="6" t="s">
        <v>19</v>
      </c>
      <c r="AB540" s="6" t="s">
        <v>19</v>
      </c>
      <c r="AC540" s="6" t="s">
        <v>19</v>
      </c>
      <c r="AD540" s="6" t="s">
        <v>19</v>
      </c>
      <c r="AE540" s="6" t="s">
        <v>19</v>
      </c>
      <c r="AF540" s="6" t="s">
        <v>19</v>
      </c>
      <c r="AG540" s="6" t="s">
        <v>19</v>
      </c>
      <c r="AH540" s="6" t="s">
        <v>19</v>
      </c>
      <c r="AI540" s="6" t="s">
        <v>19</v>
      </c>
      <c r="AJ540" s="6" t="s">
        <v>19</v>
      </c>
      <c r="AK540" s="6" t="s">
        <v>19</v>
      </c>
      <c r="AL540" s="6" t="s">
        <v>19</v>
      </c>
      <c r="AM540" s="6" t="s">
        <v>19</v>
      </c>
      <c r="AN540" s="6" t="s">
        <v>19</v>
      </c>
      <c r="AO540" s="6" t="s">
        <v>19</v>
      </c>
      <c r="AP540" s="6" t="s">
        <v>19</v>
      </c>
      <c r="AQ540" s="6" t="s">
        <v>19</v>
      </c>
      <c r="AR540" s="6" t="s">
        <v>19</v>
      </c>
      <c r="AS540" s="6" t="s">
        <v>19</v>
      </c>
      <c r="AT540" s="6" t="s">
        <v>19</v>
      </c>
      <c r="AU540" s="6" t="s">
        <v>109</v>
      </c>
      <c r="AV540" s="36" t="s">
        <v>19</v>
      </c>
    </row>
    <row r="541" spans="1:264" ht="78.75" hidden="1" customHeight="1" x14ac:dyDescent="0.3">
      <c r="A541" s="15" t="s">
        <v>25</v>
      </c>
      <c r="B541" s="15" t="s">
        <v>1823</v>
      </c>
      <c r="C541" s="15" t="s">
        <v>930</v>
      </c>
      <c r="D541" s="15" t="s">
        <v>32</v>
      </c>
      <c r="E541" s="15" t="s">
        <v>19</v>
      </c>
      <c r="F541" s="15" t="s">
        <v>19</v>
      </c>
      <c r="G541" s="15" t="s">
        <v>19</v>
      </c>
      <c r="H541" s="15" t="s">
        <v>19</v>
      </c>
      <c r="I541" s="15" t="s">
        <v>19</v>
      </c>
      <c r="J541" s="15" t="s">
        <v>19</v>
      </c>
      <c r="K541" s="15" t="s">
        <v>19</v>
      </c>
      <c r="L541" s="15" t="s">
        <v>19</v>
      </c>
      <c r="M541" s="15" t="s">
        <v>2340</v>
      </c>
      <c r="N541" s="15" t="s">
        <v>1164</v>
      </c>
      <c r="O541" s="33" t="s">
        <v>1645</v>
      </c>
      <c r="P541" s="4" t="s">
        <v>2310</v>
      </c>
      <c r="S541" s="15" t="e" cm="1">
        <f t="array" aca="1" ref="S541" ca="1">COMMONMARKETCOUNT(H541:AV541)</f>
        <v>#NAME?</v>
      </c>
      <c r="T541" s="15" t="e" cm="1">
        <f t="array" aca="1" ref="T541" ca="1">AUTOMATEDCOUNT(H541:AU541)</f>
        <v>#NAME?</v>
      </c>
      <c r="V541" s="15" t="s">
        <v>109</v>
      </c>
      <c r="W541" s="15" t="s">
        <v>109</v>
      </c>
      <c r="X541" s="15" t="s">
        <v>19</v>
      </c>
      <c r="Y541" s="15" t="s">
        <v>19</v>
      </c>
      <c r="Z541" s="15" t="s">
        <v>19</v>
      </c>
      <c r="AA541" s="15" t="s">
        <v>19</v>
      </c>
      <c r="AB541" s="15" t="s">
        <v>19</v>
      </c>
      <c r="AC541" s="15" t="s">
        <v>19</v>
      </c>
      <c r="AD541" s="15" t="s">
        <v>19</v>
      </c>
      <c r="AE541" s="15" t="s">
        <v>19</v>
      </c>
      <c r="AF541" s="15" t="s">
        <v>19</v>
      </c>
      <c r="AG541" s="15" t="s">
        <v>19</v>
      </c>
      <c r="AH541" s="15" t="s">
        <v>19</v>
      </c>
      <c r="AI541" s="15" t="s">
        <v>19</v>
      </c>
      <c r="AJ541" s="15" t="s">
        <v>19</v>
      </c>
      <c r="AK541" s="15" t="s">
        <v>19</v>
      </c>
      <c r="AL541" s="15" t="s">
        <v>19</v>
      </c>
      <c r="AM541" s="15" t="s">
        <v>19</v>
      </c>
      <c r="AN541" s="15" t="s">
        <v>19</v>
      </c>
      <c r="AO541" s="15" t="s">
        <v>19</v>
      </c>
      <c r="AP541" s="15" t="s">
        <v>19</v>
      </c>
      <c r="AQ541" s="15" t="s">
        <v>19</v>
      </c>
      <c r="AR541" s="15" t="s">
        <v>19</v>
      </c>
      <c r="AS541" s="15" t="s">
        <v>19</v>
      </c>
      <c r="AT541" s="15" t="s">
        <v>19</v>
      </c>
      <c r="AU541" s="18" t="s">
        <v>3153</v>
      </c>
      <c r="AV541" s="36" t="s">
        <v>19</v>
      </c>
      <c r="AW541" s="5"/>
      <c r="AX541" s="5"/>
      <c r="AY541" s="5"/>
      <c r="AZ541" s="5"/>
      <c r="BA541" s="5"/>
      <c r="BB541" s="5"/>
      <c r="BC541" s="5"/>
      <c r="BD541" s="5"/>
      <c r="BE541" s="5"/>
      <c r="BF541" s="5"/>
      <c r="BG541" s="5"/>
      <c r="BH541" s="5"/>
      <c r="BI541" s="5"/>
      <c r="BJ541" s="5"/>
      <c r="BK541" s="5"/>
      <c r="BL541" s="5"/>
      <c r="BM541" s="5"/>
      <c r="BN541" s="5"/>
      <c r="BO541" s="5"/>
      <c r="BP541" s="5"/>
      <c r="BQ541" s="5"/>
      <c r="BR541" s="5"/>
      <c r="BS541" s="5"/>
      <c r="BT541" s="5"/>
      <c r="BU541" s="5"/>
      <c r="BV541" s="5"/>
      <c r="BW541" s="5"/>
      <c r="BX541" s="5"/>
      <c r="BY541" s="5"/>
      <c r="BZ541" s="5"/>
      <c r="CA541" s="5"/>
      <c r="CB541" s="5"/>
      <c r="CC541" s="5"/>
      <c r="CD541" s="5"/>
      <c r="CE541" s="5"/>
      <c r="CF541" s="5"/>
      <c r="CG541" s="5"/>
      <c r="CH541" s="5"/>
      <c r="CI541" s="5"/>
      <c r="CJ541" s="5"/>
      <c r="CK541" s="5"/>
      <c r="CL541" s="5"/>
      <c r="CM541" s="5"/>
      <c r="CN541" s="5"/>
      <c r="CO541" s="5"/>
      <c r="CP541" s="5"/>
      <c r="CQ541" s="5"/>
      <c r="CR541" s="5"/>
      <c r="CS541" s="5"/>
      <c r="CT541" s="5"/>
      <c r="CU541" s="5"/>
      <c r="CV541" s="5"/>
      <c r="CW541" s="5"/>
      <c r="CX541" s="5"/>
      <c r="CY541" s="5"/>
      <c r="CZ541" s="5"/>
      <c r="DA541" s="5"/>
      <c r="DB541" s="5"/>
      <c r="DC541" s="5"/>
      <c r="DD541" s="5"/>
      <c r="DE541" s="5"/>
      <c r="DF541" s="5"/>
      <c r="DG541" s="5"/>
      <c r="DH541" s="5"/>
      <c r="DI541" s="5"/>
      <c r="DJ541" s="5"/>
      <c r="DK541" s="5"/>
      <c r="DL541" s="5"/>
      <c r="DM541" s="5"/>
      <c r="DN541" s="5"/>
      <c r="DO541" s="5"/>
      <c r="DP541" s="5"/>
      <c r="DQ541" s="5"/>
      <c r="DR541" s="5"/>
      <c r="DS541" s="5"/>
      <c r="DT541" s="5"/>
      <c r="DU541" s="5"/>
      <c r="DV541" s="5"/>
      <c r="DW541" s="5"/>
      <c r="DX541" s="5"/>
      <c r="DY541" s="5"/>
      <c r="DZ541" s="5"/>
      <c r="EA541" s="5"/>
      <c r="EB541" s="5"/>
      <c r="EC541" s="5"/>
      <c r="ED541" s="5"/>
      <c r="EE541" s="5"/>
      <c r="EF541" s="5"/>
      <c r="EG541" s="5"/>
      <c r="EH541" s="5"/>
      <c r="EI541" s="5"/>
      <c r="EJ541" s="5"/>
      <c r="EK541" s="5"/>
      <c r="EL541" s="5"/>
      <c r="EM541" s="5"/>
      <c r="EN541" s="5"/>
      <c r="EO541" s="5"/>
      <c r="EP541" s="5"/>
      <c r="EQ541" s="5"/>
      <c r="ER541" s="5"/>
      <c r="ES541" s="5"/>
      <c r="ET541" s="5"/>
      <c r="EU541" s="5"/>
      <c r="EV541" s="5"/>
      <c r="EW541" s="5"/>
      <c r="EX541" s="5"/>
      <c r="EY541" s="5"/>
      <c r="EZ541" s="5"/>
      <c r="FA541" s="5"/>
      <c r="FB541" s="5"/>
      <c r="FC541" s="5"/>
      <c r="FD541" s="5"/>
      <c r="FE541" s="5"/>
      <c r="FF541" s="5"/>
      <c r="FG541" s="5"/>
      <c r="FH541" s="5"/>
      <c r="FI541" s="5"/>
      <c r="FJ541" s="5"/>
      <c r="FK541" s="5"/>
      <c r="FL541" s="5"/>
      <c r="FM541" s="5"/>
      <c r="FN541" s="5"/>
      <c r="FO541" s="5"/>
      <c r="FP541" s="5"/>
      <c r="FQ541" s="5"/>
      <c r="FR541" s="5"/>
      <c r="FS541" s="5"/>
      <c r="FT541" s="5"/>
      <c r="FU541" s="5"/>
      <c r="FV541" s="5"/>
      <c r="FW541" s="5"/>
      <c r="FX541" s="5"/>
      <c r="FY541" s="5"/>
      <c r="FZ541" s="5"/>
      <c r="GA541" s="5"/>
      <c r="GB541" s="5"/>
      <c r="GC541" s="5"/>
      <c r="GD541" s="5"/>
      <c r="GE541" s="5"/>
      <c r="GF541" s="5"/>
      <c r="GG541" s="5"/>
      <c r="GH541" s="5"/>
      <c r="GI541" s="5"/>
      <c r="GJ541" s="5"/>
      <c r="GK541" s="5"/>
      <c r="GL541" s="5"/>
      <c r="GM541" s="5"/>
      <c r="GN541" s="5"/>
      <c r="GO541" s="5"/>
      <c r="GP541" s="5"/>
      <c r="GQ541" s="5"/>
      <c r="GR541" s="5"/>
      <c r="GS541" s="5"/>
      <c r="GT541" s="5"/>
      <c r="GU541" s="5"/>
      <c r="GV541" s="5"/>
      <c r="GW541" s="5"/>
      <c r="GX541" s="5"/>
      <c r="GY541" s="5"/>
      <c r="GZ541" s="5"/>
      <c r="HA541" s="5"/>
      <c r="HB541" s="5"/>
      <c r="HC541" s="5"/>
      <c r="HD541" s="5"/>
      <c r="HE541" s="5"/>
      <c r="HF541" s="5"/>
      <c r="HG541" s="5"/>
      <c r="HH541" s="5"/>
      <c r="HI541" s="5"/>
      <c r="HJ541" s="5"/>
      <c r="HK541" s="5"/>
      <c r="HL541" s="5"/>
      <c r="HM541" s="5"/>
      <c r="HN541" s="5"/>
      <c r="HO541" s="5"/>
      <c r="HP541" s="5"/>
      <c r="HQ541" s="5"/>
      <c r="HR541" s="5"/>
      <c r="HS541" s="5"/>
      <c r="HT541" s="5"/>
      <c r="HU541" s="5"/>
      <c r="HV541" s="5"/>
      <c r="HW541" s="5"/>
      <c r="HX541" s="5"/>
      <c r="HY541" s="5"/>
      <c r="HZ541" s="5"/>
      <c r="IA541" s="5"/>
      <c r="IB541" s="5"/>
      <c r="IC541" s="5"/>
      <c r="ID541" s="5"/>
      <c r="IE541" s="5"/>
      <c r="IF541" s="5"/>
      <c r="IG541" s="5"/>
      <c r="IH541" s="5"/>
      <c r="II541" s="5"/>
      <c r="IJ541" s="5"/>
      <c r="IK541" s="5"/>
      <c r="IL541" s="5"/>
      <c r="IM541" s="5"/>
      <c r="IN541" s="5"/>
      <c r="IO541" s="5"/>
      <c r="IP541" s="5"/>
      <c r="IQ541" s="5"/>
      <c r="IR541" s="5"/>
      <c r="IS541" s="5"/>
      <c r="IT541" s="5"/>
      <c r="IU541" s="5"/>
      <c r="IV541" s="5"/>
      <c r="IW541" s="5"/>
      <c r="IX541" s="5"/>
      <c r="IY541" s="5"/>
      <c r="IZ541" s="5"/>
      <c r="JA541" s="5"/>
      <c r="JB541" s="5"/>
      <c r="JC541" s="5"/>
      <c r="JD541" s="5"/>
    </row>
    <row r="542" spans="1:264" ht="54" hidden="1" customHeight="1" x14ac:dyDescent="0.3">
      <c r="A542" s="15" t="s">
        <v>25</v>
      </c>
      <c r="B542" s="15" t="s">
        <v>1823</v>
      </c>
      <c r="C542" s="15" t="s">
        <v>931</v>
      </c>
      <c r="D542" s="15" t="s">
        <v>32</v>
      </c>
      <c r="E542" s="15" t="s">
        <v>19</v>
      </c>
      <c r="F542" s="15" t="s">
        <v>19</v>
      </c>
      <c r="G542" s="15" t="s">
        <v>19</v>
      </c>
      <c r="H542" s="15" t="s">
        <v>19</v>
      </c>
      <c r="I542" s="15" t="s">
        <v>19</v>
      </c>
      <c r="J542" s="15" t="s">
        <v>19</v>
      </c>
      <c r="K542" s="15" t="s">
        <v>19</v>
      </c>
      <c r="L542" s="15" t="s">
        <v>19</v>
      </c>
      <c r="M542" s="15" t="s">
        <v>1764</v>
      </c>
      <c r="N542" s="15" t="s">
        <v>1165</v>
      </c>
      <c r="O542" s="33" t="s">
        <v>1645</v>
      </c>
      <c r="P542" s="4" t="s">
        <v>2341</v>
      </c>
      <c r="S542" s="15" t="e" cm="1">
        <f t="array" aca="1" ref="S542" ca="1">COMMONMARKETCOUNT(H542:AV542)</f>
        <v>#NAME?</v>
      </c>
      <c r="T542" s="15" t="e" cm="1">
        <f t="array" aca="1" ref="T542" ca="1">AUTOMATEDCOUNT(H542:AU542)</f>
        <v>#NAME?</v>
      </c>
      <c r="V542" s="15" t="s">
        <v>109</v>
      </c>
      <c r="W542" s="15" t="s">
        <v>109</v>
      </c>
      <c r="X542" s="15" t="s">
        <v>19</v>
      </c>
      <c r="Y542" s="15" t="s">
        <v>19</v>
      </c>
      <c r="Z542" s="15" t="s">
        <v>19</v>
      </c>
      <c r="AA542" s="15" t="s">
        <v>19</v>
      </c>
      <c r="AB542" s="15" t="s">
        <v>19</v>
      </c>
      <c r="AC542" s="15" t="s">
        <v>19</v>
      </c>
      <c r="AD542" s="18" t="s">
        <v>19</v>
      </c>
      <c r="AE542" s="18" t="s">
        <v>19</v>
      </c>
      <c r="AF542" s="15" t="s">
        <v>19</v>
      </c>
      <c r="AG542" s="15" t="s">
        <v>19</v>
      </c>
      <c r="AH542" s="15" t="s">
        <v>19</v>
      </c>
      <c r="AI542" s="15" t="s">
        <v>19</v>
      </c>
      <c r="AJ542" s="15" t="s">
        <v>19</v>
      </c>
      <c r="AK542" s="15" t="s">
        <v>19</v>
      </c>
      <c r="AL542" s="15" t="s">
        <v>19</v>
      </c>
      <c r="AM542" s="15" t="s">
        <v>19</v>
      </c>
      <c r="AN542" s="15" t="s">
        <v>19</v>
      </c>
      <c r="AO542" s="15" t="s">
        <v>19</v>
      </c>
      <c r="AP542" s="15" t="s">
        <v>19</v>
      </c>
      <c r="AQ542" s="15" t="s">
        <v>19</v>
      </c>
      <c r="AR542" s="15" t="s">
        <v>19</v>
      </c>
      <c r="AS542" s="15" t="s">
        <v>19</v>
      </c>
      <c r="AT542" s="15" t="s">
        <v>19</v>
      </c>
      <c r="AU542" s="18" t="s">
        <v>3153</v>
      </c>
      <c r="AV542" s="36" t="s">
        <v>19</v>
      </c>
      <c r="AW542" s="5"/>
      <c r="AX542" s="5"/>
      <c r="AY542" s="5"/>
      <c r="AZ542" s="5"/>
      <c r="BA542" s="5"/>
      <c r="BB542" s="5"/>
      <c r="BC542" s="5"/>
      <c r="BD542" s="5"/>
      <c r="BE542" s="5"/>
      <c r="BF542" s="5"/>
      <c r="BG542" s="5"/>
      <c r="BH542" s="5"/>
      <c r="BI542" s="5"/>
      <c r="BJ542" s="5"/>
      <c r="BK542" s="5"/>
      <c r="BL542" s="5"/>
      <c r="BM542" s="5"/>
      <c r="BN542" s="5"/>
      <c r="BO542" s="5"/>
      <c r="BP542" s="5"/>
      <c r="BQ542" s="5"/>
      <c r="BR542" s="5"/>
      <c r="BS542" s="5"/>
      <c r="BT542" s="5"/>
      <c r="BU542" s="5"/>
      <c r="BV542" s="5"/>
      <c r="BW542" s="5"/>
      <c r="BX542" s="5"/>
      <c r="BY542" s="5"/>
      <c r="BZ542" s="5"/>
      <c r="CA542" s="5"/>
      <c r="CB542" s="5"/>
      <c r="CC542" s="5"/>
      <c r="CD542" s="5"/>
      <c r="CE542" s="5"/>
      <c r="CF542" s="5"/>
      <c r="CG542" s="5"/>
      <c r="CH542" s="5"/>
      <c r="CI542" s="5"/>
      <c r="CJ542" s="5"/>
      <c r="CK542" s="5"/>
      <c r="CL542" s="5"/>
      <c r="CM542" s="5"/>
      <c r="CN542" s="5"/>
      <c r="CO542" s="5"/>
      <c r="CP542" s="5"/>
      <c r="CQ542" s="5"/>
      <c r="CR542" s="5"/>
      <c r="CS542" s="5"/>
      <c r="CT542" s="5"/>
      <c r="CU542" s="5"/>
      <c r="CV542" s="5"/>
      <c r="CW542" s="5"/>
      <c r="CX542" s="5"/>
      <c r="CY542" s="5"/>
      <c r="CZ542" s="5"/>
      <c r="DA542" s="5"/>
      <c r="DB542" s="5"/>
      <c r="DC542" s="5"/>
      <c r="DD542" s="5"/>
      <c r="DE542" s="5"/>
      <c r="DF542" s="5"/>
      <c r="DG542" s="5"/>
      <c r="DH542" s="5"/>
      <c r="DI542" s="5"/>
      <c r="DJ542" s="5"/>
      <c r="DK542" s="5"/>
      <c r="DL542" s="5"/>
      <c r="DM542" s="5"/>
      <c r="DN542" s="5"/>
      <c r="DO542" s="5"/>
      <c r="DP542" s="5"/>
      <c r="DQ542" s="5"/>
      <c r="DR542" s="5"/>
      <c r="DS542" s="5"/>
      <c r="DT542" s="5"/>
      <c r="DU542" s="5"/>
      <c r="DV542" s="5"/>
      <c r="DW542" s="5"/>
      <c r="DX542" s="5"/>
      <c r="DY542" s="5"/>
      <c r="DZ542" s="5"/>
      <c r="EA542" s="5"/>
      <c r="EB542" s="5"/>
      <c r="EC542" s="5"/>
      <c r="ED542" s="5"/>
      <c r="EE542" s="5"/>
      <c r="EF542" s="5"/>
      <c r="EG542" s="5"/>
      <c r="EH542" s="5"/>
      <c r="EI542" s="5"/>
      <c r="EJ542" s="5"/>
      <c r="EK542" s="5"/>
      <c r="EL542" s="5"/>
      <c r="EM542" s="5"/>
      <c r="EN542" s="5"/>
      <c r="EO542" s="5"/>
      <c r="EP542" s="5"/>
      <c r="EQ542" s="5"/>
      <c r="ER542" s="5"/>
      <c r="ES542" s="5"/>
      <c r="ET542" s="5"/>
      <c r="EU542" s="5"/>
      <c r="EV542" s="5"/>
      <c r="EW542" s="5"/>
      <c r="EX542" s="5"/>
      <c r="EY542" s="5"/>
      <c r="EZ542" s="5"/>
      <c r="FA542" s="5"/>
      <c r="FB542" s="5"/>
      <c r="FC542" s="5"/>
      <c r="FD542" s="5"/>
      <c r="FE542" s="5"/>
      <c r="FF542" s="5"/>
      <c r="FG542" s="5"/>
      <c r="FH542" s="5"/>
      <c r="FI542" s="5"/>
      <c r="FJ542" s="5"/>
      <c r="FK542" s="5"/>
      <c r="FL542" s="5"/>
      <c r="FM542" s="5"/>
      <c r="FN542" s="5"/>
      <c r="FO542" s="5"/>
      <c r="FP542" s="5"/>
      <c r="FQ542" s="5"/>
      <c r="FR542" s="5"/>
      <c r="FS542" s="5"/>
      <c r="FT542" s="5"/>
      <c r="FU542" s="5"/>
      <c r="FV542" s="5"/>
      <c r="FW542" s="5"/>
      <c r="FX542" s="5"/>
      <c r="FY542" s="5"/>
      <c r="FZ542" s="5"/>
      <c r="GA542" s="5"/>
      <c r="GB542" s="5"/>
      <c r="GC542" s="5"/>
      <c r="GD542" s="5"/>
      <c r="GE542" s="5"/>
      <c r="GF542" s="5"/>
      <c r="GG542" s="5"/>
      <c r="GH542" s="5"/>
      <c r="GI542" s="5"/>
      <c r="GJ542" s="5"/>
      <c r="GK542" s="5"/>
      <c r="GL542" s="5"/>
      <c r="GM542" s="5"/>
      <c r="GN542" s="5"/>
      <c r="GO542" s="5"/>
      <c r="GP542" s="5"/>
      <c r="GQ542" s="5"/>
      <c r="GR542" s="5"/>
      <c r="GS542" s="5"/>
      <c r="GT542" s="5"/>
      <c r="GU542" s="5"/>
      <c r="GV542" s="5"/>
      <c r="GW542" s="5"/>
      <c r="GX542" s="5"/>
      <c r="GY542" s="5"/>
      <c r="GZ542" s="5"/>
      <c r="HA542" s="5"/>
      <c r="HB542" s="5"/>
      <c r="HC542" s="5"/>
      <c r="HD542" s="5"/>
      <c r="HE542" s="5"/>
      <c r="HF542" s="5"/>
      <c r="HG542" s="5"/>
      <c r="HH542" s="5"/>
      <c r="HI542" s="5"/>
      <c r="HJ542" s="5"/>
      <c r="HK542" s="5"/>
      <c r="HL542" s="5"/>
      <c r="HM542" s="5"/>
      <c r="HN542" s="5"/>
      <c r="HO542" s="5"/>
      <c r="HP542" s="5"/>
      <c r="HQ542" s="5"/>
      <c r="HR542" s="5"/>
      <c r="HS542" s="5"/>
      <c r="HT542" s="5"/>
      <c r="HU542" s="5"/>
      <c r="HV542" s="5"/>
      <c r="HW542" s="5"/>
      <c r="HX542" s="5"/>
      <c r="HY542" s="5"/>
      <c r="HZ542" s="5"/>
      <c r="IA542" s="5"/>
      <c r="IB542" s="5"/>
      <c r="IC542" s="5"/>
      <c r="ID542" s="5"/>
      <c r="IE542" s="5"/>
      <c r="IF542" s="5"/>
      <c r="IG542" s="5"/>
      <c r="IH542" s="5"/>
      <c r="II542" s="5"/>
      <c r="IJ542" s="5"/>
      <c r="IK542" s="5"/>
      <c r="IL542" s="5"/>
      <c r="IM542" s="5"/>
      <c r="IN542" s="5"/>
      <c r="IO542" s="5"/>
      <c r="IP542" s="5"/>
      <c r="IQ542" s="5"/>
      <c r="IR542" s="5"/>
      <c r="IS542" s="5"/>
      <c r="IT542" s="5"/>
      <c r="IU542" s="5"/>
      <c r="IV542" s="5"/>
      <c r="IW542" s="5"/>
      <c r="IX542" s="5"/>
      <c r="IY542" s="5"/>
      <c r="IZ542" s="5"/>
      <c r="JA542" s="5"/>
      <c r="JB542" s="5"/>
      <c r="JC542" s="5"/>
      <c r="JD542" s="5"/>
    </row>
    <row r="543" spans="1:264" ht="90.75" hidden="1" customHeight="1" x14ac:dyDescent="0.3">
      <c r="A543" s="15" t="s">
        <v>25</v>
      </c>
      <c r="B543" s="15" t="s">
        <v>37</v>
      </c>
      <c r="C543" s="15" t="s">
        <v>591</v>
      </c>
      <c r="D543" s="15" t="s">
        <v>19</v>
      </c>
      <c r="E543" s="70" t="s">
        <v>19</v>
      </c>
      <c r="F543" s="70" t="s">
        <v>19</v>
      </c>
      <c r="G543" s="70" t="s">
        <v>19</v>
      </c>
      <c r="H543" s="117" t="s">
        <v>3199</v>
      </c>
      <c r="I543" s="72" t="s">
        <v>19</v>
      </c>
      <c r="J543" s="72" t="s">
        <v>19</v>
      </c>
      <c r="K543" s="72" t="s">
        <v>19</v>
      </c>
      <c r="L543" s="72" t="s">
        <v>19</v>
      </c>
      <c r="M543" s="15" t="s">
        <v>1765</v>
      </c>
      <c r="N543" s="15" t="s">
        <v>1565</v>
      </c>
      <c r="O543" s="15"/>
      <c r="P543" s="4" t="s">
        <v>1617</v>
      </c>
      <c r="S543" s="15" t="e" cm="1">
        <f t="array" aca="1" ref="S543" ca="1">COMMONMARKETCOUNT(H543:AV543)</f>
        <v>#NAME?</v>
      </c>
      <c r="T543" s="15" t="e" cm="1">
        <f t="array" aca="1" ref="T543" ca="1">AUTOMATEDCOUNT(H543:AU543)</f>
        <v>#NAME?</v>
      </c>
      <c r="V543" s="70" t="s">
        <v>19</v>
      </c>
      <c r="W543" s="70" t="s">
        <v>19</v>
      </c>
      <c r="X543" s="70" t="s">
        <v>19</v>
      </c>
      <c r="Y543" s="70" t="s">
        <v>19</v>
      </c>
      <c r="Z543" s="70" t="s">
        <v>19</v>
      </c>
      <c r="AA543" s="72" t="s">
        <v>19</v>
      </c>
      <c r="AB543" s="72" t="s">
        <v>19</v>
      </c>
      <c r="AC543" s="72" t="s">
        <v>19</v>
      </c>
      <c r="AD543" s="72" t="s">
        <v>19</v>
      </c>
      <c r="AE543" s="18" t="s">
        <v>19</v>
      </c>
      <c r="AF543" s="18" t="s">
        <v>19</v>
      </c>
      <c r="AG543" s="29" t="s">
        <v>19</v>
      </c>
      <c r="AH543" s="18" t="s">
        <v>19</v>
      </c>
      <c r="AI543" s="18" t="s">
        <v>19</v>
      </c>
      <c r="AJ543" s="18" t="s">
        <v>19</v>
      </c>
      <c r="AK543" s="18" t="s">
        <v>19</v>
      </c>
      <c r="AL543" s="18" t="s">
        <v>19</v>
      </c>
      <c r="AM543" s="18" t="s">
        <v>19</v>
      </c>
      <c r="AN543" s="18" t="s">
        <v>19</v>
      </c>
      <c r="AO543" s="18" t="s">
        <v>19</v>
      </c>
      <c r="AP543" s="18" t="s">
        <v>19</v>
      </c>
      <c r="AQ543" s="18" t="s">
        <v>19</v>
      </c>
      <c r="AR543" s="18" t="s">
        <v>19</v>
      </c>
      <c r="AS543" s="70" t="s">
        <v>19</v>
      </c>
      <c r="AT543" s="72" t="s">
        <v>19</v>
      </c>
      <c r="AU543" s="29" t="s">
        <v>3153</v>
      </c>
      <c r="AV543" s="36" t="s">
        <v>19</v>
      </c>
    </row>
    <row r="544" spans="1:264" ht="63" hidden="1" customHeight="1" x14ac:dyDescent="0.3">
      <c r="A544" s="6" t="s">
        <v>56</v>
      </c>
      <c r="B544" s="6" t="s">
        <v>1297</v>
      </c>
      <c r="C544" s="15" t="s">
        <v>2783</v>
      </c>
      <c r="D544" s="6" t="s">
        <v>32</v>
      </c>
      <c r="E544" s="6" t="s">
        <v>19</v>
      </c>
      <c r="F544" s="6" t="s">
        <v>19</v>
      </c>
      <c r="G544" s="6" t="s">
        <v>19</v>
      </c>
      <c r="H544" s="6" t="s">
        <v>19</v>
      </c>
      <c r="I544" s="6" t="s">
        <v>19</v>
      </c>
      <c r="J544" s="6" t="s">
        <v>19</v>
      </c>
      <c r="K544" s="6" t="s">
        <v>19</v>
      </c>
      <c r="L544" s="6" t="s">
        <v>19</v>
      </c>
      <c r="M544" s="15" t="s">
        <v>2784</v>
      </c>
      <c r="N544" s="4" t="s">
        <v>2785</v>
      </c>
      <c r="O544" s="3" t="s">
        <v>2712</v>
      </c>
      <c r="P544" s="4" t="s">
        <v>2786</v>
      </c>
      <c r="S544" s="15" t="e" cm="1">
        <f t="array" aca="1" ref="S544" ca="1">COMMONMARKETCOUNT(H544:AV544)</f>
        <v>#NAME?</v>
      </c>
      <c r="T544" s="6">
        <v>0</v>
      </c>
      <c r="V544" s="6" t="s">
        <v>19</v>
      </c>
      <c r="W544" s="6" t="s">
        <v>19</v>
      </c>
      <c r="X544" s="6" t="s">
        <v>19</v>
      </c>
      <c r="Y544" s="6" t="s">
        <v>19</v>
      </c>
      <c r="Z544" s="6" t="s">
        <v>19</v>
      </c>
      <c r="AA544" s="6" t="s">
        <v>19</v>
      </c>
      <c r="AB544" s="6" t="s">
        <v>19</v>
      </c>
      <c r="AC544" s="6" t="s">
        <v>19</v>
      </c>
      <c r="AD544" s="6" t="s">
        <v>19</v>
      </c>
      <c r="AE544" s="6" t="s">
        <v>19</v>
      </c>
      <c r="AF544" s="6" t="s">
        <v>19</v>
      </c>
      <c r="AG544" s="6" t="s">
        <v>19</v>
      </c>
      <c r="AH544" s="6" t="s">
        <v>19</v>
      </c>
      <c r="AI544" s="6" t="s">
        <v>19</v>
      </c>
      <c r="AJ544" s="6" t="s">
        <v>19</v>
      </c>
      <c r="AK544" s="6" t="s">
        <v>19</v>
      </c>
      <c r="AL544" s="6" t="s">
        <v>19</v>
      </c>
      <c r="AM544" s="6" t="s">
        <v>19</v>
      </c>
      <c r="AN544" s="6" t="s">
        <v>19</v>
      </c>
      <c r="AO544" s="6" t="s">
        <v>19</v>
      </c>
      <c r="AP544" s="6" t="s">
        <v>19</v>
      </c>
      <c r="AQ544" s="6" t="s">
        <v>19</v>
      </c>
      <c r="AR544" s="6" t="s">
        <v>19</v>
      </c>
      <c r="AS544" s="6" t="s">
        <v>19</v>
      </c>
      <c r="AT544" s="6" t="s">
        <v>19</v>
      </c>
      <c r="AU544" s="6" t="s">
        <v>109</v>
      </c>
      <c r="AV544" s="36" t="s">
        <v>19</v>
      </c>
    </row>
    <row r="545" spans="1:48" ht="74.25" hidden="1" customHeight="1" x14ac:dyDescent="0.3">
      <c r="A545" s="6" t="s">
        <v>25</v>
      </c>
      <c r="B545" s="6" t="s">
        <v>2718</v>
      </c>
      <c r="C545" s="15" t="s">
        <v>2787</v>
      </c>
      <c r="D545" s="6" t="s">
        <v>32</v>
      </c>
      <c r="E545" s="6" t="s">
        <v>19</v>
      </c>
      <c r="F545" s="6" t="s">
        <v>19</v>
      </c>
      <c r="G545" s="6" t="s">
        <v>19</v>
      </c>
      <c r="H545" s="6" t="s">
        <v>19</v>
      </c>
      <c r="I545" s="6" t="s">
        <v>19</v>
      </c>
      <c r="J545" s="6" t="s">
        <v>19</v>
      </c>
      <c r="K545" s="6" t="s">
        <v>19</v>
      </c>
      <c r="L545" s="6" t="s">
        <v>19</v>
      </c>
      <c r="M545" s="15" t="s">
        <v>2788</v>
      </c>
      <c r="N545" s="4" t="s">
        <v>2789</v>
      </c>
      <c r="O545" s="3" t="s">
        <v>2712</v>
      </c>
      <c r="P545" s="4" t="s">
        <v>2790</v>
      </c>
      <c r="S545" s="15" t="e" cm="1">
        <f t="array" aca="1" ref="S545" ca="1">COMMONMARKETCOUNT(H545:AV545)</f>
        <v>#NAME?</v>
      </c>
      <c r="T545" s="6">
        <v>0</v>
      </c>
      <c r="V545" s="6" t="s">
        <v>19</v>
      </c>
      <c r="W545" s="6" t="s">
        <v>19</v>
      </c>
      <c r="X545" s="6" t="s">
        <v>19</v>
      </c>
      <c r="Y545" s="6" t="s">
        <v>19</v>
      </c>
      <c r="Z545" s="6" t="s">
        <v>19</v>
      </c>
      <c r="AA545" s="6" t="s">
        <v>19</v>
      </c>
      <c r="AB545" s="6" t="s">
        <v>19</v>
      </c>
      <c r="AC545" s="6" t="s">
        <v>19</v>
      </c>
      <c r="AD545" s="6" t="s">
        <v>19</v>
      </c>
      <c r="AE545" s="6" t="s">
        <v>19</v>
      </c>
      <c r="AF545" s="6" t="s">
        <v>19</v>
      </c>
      <c r="AG545" s="6" t="s">
        <v>19</v>
      </c>
      <c r="AH545" s="6" t="s">
        <v>19</v>
      </c>
      <c r="AI545" s="6" t="s">
        <v>19</v>
      </c>
      <c r="AJ545" s="6" t="s">
        <v>19</v>
      </c>
      <c r="AK545" s="6" t="s">
        <v>19</v>
      </c>
      <c r="AL545" s="6" t="s">
        <v>19</v>
      </c>
      <c r="AM545" s="6" t="s">
        <v>19</v>
      </c>
      <c r="AN545" s="6" t="s">
        <v>19</v>
      </c>
      <c r="AO545" s="6" t="s">
        <v>19</v>
      </c>
      <c r="AP545" s="6" t="s">
        <v>19</v>
      </c>
      <c r="AQ545" s="6" t="s">
        <v>19</v>
      </c>
      <c r="AR545" s="6" t="s">
        <v>19</v>
      </c>
      <c r="AS545" s="6" t="s">
        <v>19</v>
      </c>
      <c r="AT545" s="6" t="s">
        <v>19</v>
      </c>
      <c r="AU545" s="6" t="s">
        <v>109</v>
      </c>
      <c r="AV545" s="36" t="s">
        <v>19</v>
      </c>
    </row>
    <row r="546" spans="1:48" ht="39.75" hidden="1" customHeight="1" x14ac:dyDescent="0.3">
      <c r="A546" s="6" t="s">
        <v>25</v>
      </c>
      <c r="B546" s="15" t="s">
        <v>17</v>
      </c>
      <c r="C546" s="15" t="s">
        <v>2791</v>
      </c>
      <c r="D546" s="6" t="s">
        <v>32</v>
      </c>
      <c r="E546" s="6" t="s">
        <v>19</v>
      </c>
      <c r="F546" s="6" t="s">
        <v>19</v>
      </c>
      <c r="G546" s="6" t="s">
        <v>19</v>
      </c>
      <c r="H546" s="6" t="s">
        <v>19</v>
      </c>
      <c r="I546" s="6" t="s">
        <v>19</v>
      </c>
      <c r="J546" s="6" t="s">
        <v>19</v>
      </c>
      <c r="K546" s="6" t="s">
        <v>19</v>
      </c>
      <c r="L546" s="6" t="s">
        <v>19</v>
      </c>
      <c r="M546" s="15" t="s">
        <v>2792</v>
      </c>
      <c r="N546" s="2" t="s">
        <v>2793</v>
      </c>
      <c r="O546" s="3" t="s">
        <v>2712</v>
      </c>
      <c r="P546" s="4" t="s">
        <v>2794</v>
      </c>
      <c r="S546" s="15" t="e" cm="1">
        <f t="array" aca="1" ref="S546" ca="1">COMMONMARKETCOUNT(H546:AV546)</f>
        <v>#NAME?</v>
      </c>
      <c r="T546" s="6">
        <v>0</v>
      </c>
      <c r="V546" s="6" t="s">
        <v>19</v>
      </c>
      <c r="W546" s="6" t="s">
        <v>19</v>
      </c>
      <c r="X546" s="6" t="s">
        <v>19</v>
      </c>
      <c r="Y546" s="6" t="s">
        <v>19</v>
      </c>
      <c r="Z546" s="6" t="s">
        <v>19</v>
      </c>
      <c r="AA546" s="6" t="s">
        <v>19</v>
      </c>
      <c r="AB546" s="6" t="s">
        <v>19</v>
      </c>
      <c r="AC546" s="6" t="s">
        <v>19</v>
      </c>
      <c r="AD546" s="6" t="s">
        <v>19</v>
      </c>
      <c r="AE546" s="6" t="s">
        <v>19</v>
      </c>
      <c r="AF546" s="6" t="s">
        <v>19</v>
      </c>
      <c r="AG546" s="6" t="s">
        <v>19</v>
      </c>
      <c r="AH546" s="6" t="s">
        <v>19</v>
      </c>
      <c r="AI546" s="6" t="s">
        <v>19</v>
      </c>
      <c r="AJ546" s="6" t="s">
        <v>19</v>
      </c>
      <c r="AK546" s="6" t="s">
        <v>19</v>
      </c>
      <c r="AL546" s="6" t="s">
        <v>19</v>
      </c>
      <c r="AM546" s="6" t="s">
        <v>19</v>
      </c>
      <c r="AN546" s="6" t="s">
        <v>19</v>
      </c>
      <c r="AO546" s="6" t="s">
        <v>19</v>
      </c>
      <c r="AP546" s="6" t="s">
        <v>19</v>
      </c>
      <c r="AQ546" s="6" t="s">
        <v>19</v>
      </c>
      <c r="AR546" s="6" t="s">
        <v>19</v>
      </c>
      <c r="AS546" s="6" t="s">
        <v>19</v>
      </c>
      <c r="AT546" s="6" t="s">
        <v>19</v>
      </c>
      <c r="AU546" s="6" t="s">
        <v>3153</v>
      </c>
      <c r="AV546" s="36" t="s">
        <v>19</v>
      </c>
    </row>
    <row r="547" spans="1:48" ht="39.75" hidden="1" customHeight="1" x14ac:dyDescent="0.3">
      <c r="A547" s="6" t="s">
        <v>25</v>
      </c>
      <c r="B547" s="15" t="s">
        <v>17</v>
      </c>
      <c r="C547" s="15" t="s">
        <v>2795</v>
      </c>
      <c r="D547" s="6" t="s">
        <v>32</v>
      </c>
      <c r="E547" s="6" t="s">
        <v>19</v>
      </c>
      <c r="F547" s="6" t="s">
        <v>19</v>
      </c>
      <c r="G547" s="6" t="s">
        <v>19</v>
      </c>
      <c r="H547" s="6" t="s">
        <v>19</v>
      </c>
      <c r="I547" s="6" t="s">
        <v>19</v>
      </c>
      <c r="J547" s="6" t="s">
        <v>19</v>
      </c>
      <c r="K547" s="6" t="s">
        <v>19</v>
      </c>
      <c r="L547" s="6" t="s">
        <v>19</v>
      </c>
      <c r="M547" s="15" t="s">
        <v>2796</v>
      </c>
      <c r="N547" s="4" t="s">
        <v>2797</v>
      </c>
      <c r="O547" s="3" t="s">
        <v>2712</v>
      </c>
      <c r="P547" s="4" t="s">
        <v>2798</v>
      </c>
      <c r="S547" s="15" t="e" cm="1">
        <f t="array" aca="1" ref="S547" ca="1">COMMONMARKETCOUNT(H547:AV547)</f>
        <v>#NAME?</v>
      </c>
      <c r="T547" s="6">
        <v>0</v>
      </c>
      <c r="V547" s="6" t="s">
        <v>19</v>
      </c>
      <c r="W547" s="6" t="s">
        <v>19</v>
      </c>
      <c r="X547" s="6" t="s">
        <v>19</v>
      </c>
      <c r="Y547" s="6" t="s">
        <v>19</v>
      </c>
      <c r="Z547" s="6" t="s">
        <v>19</v>
      </c>
      <c r="AA547" s="6" t="s">
        <v>19</v>
      </c>
      <c r="AB547" s="6" t="s">
        <v>19</v>
      </c>
      <c r="AC547" s="6" t="s">
        <v>19</v>
      </c>
      <c r="AD547" s="6" t="s">
        <v>19</v>
      </c>
      <c r="AE547" s="6" t="s">
        <v>19</v>
      </c>
      <c r="AF547" s="6" t="s">
        <v>19</v>
      </c>
      <c r="AG547" s="6" t="s">
        <v>19</v>
      </c>
      <c r="AH547" s="6" t="s">
        <v>19</v>
      </c>
      <c r="AI547" s="6" t="s">
        <v>19</v>
      </c>
      <c r="AJ547" s="6" t="s">
        <v>19</v>
      </c>
      <c r="AK547" s="6" t="s">
        <v>19</v>
      </c>
      <c r="AL547" s="6" t="s">
        <v>19</v>
      </c>
      <c r="AM547" s="6" t="s">
        <v>19</v>
      </c>
      <c r="AN547" s="6" t="s">
        <v>19</v>
      </c>
      <c r="AO547" s="6" t="s">
        <v>19</v>
      </c>
      <c r="AP547" s="6" t="s">
        <v>19</v>
      </c>
      <c r="AQ547" s="6" t="s">
        <v>19</v>
      </c>
      <c r="AR547" s="6" t="s">
        <v>19</v>
      </c>
      <c r="AS547" s="6" t="s">
        <v>19</v>
      </c>
      <c r="AT547" s="6" t="s">
        <v>19</v>
      </c>
      <c r="AU547" s="6" t="s">
        <v>3153</v>
      </c>
      <c r="AV547" s="36" t="s">
        <v>19</v>
      </c>
    </row>
    <row r="548" spans="1:48" ht="89.25" hidden="1" customHeight="1" x14ac:dyDescent="0.3">
      <c r="A548" s="6" t="s">
        <v>25</v>
      </c>
      <c r="B548" s="15" t="s">
        <v>17</v>
      </c>
      <c r="C548" s="15" t="s">
        <v>2799</v>
      </c>
      <c r="D548" s="6" t="s">
        <v>32</v>
      </c>
      <c r="E548" s="6" t="s">
        <v>19</v>
      </c>
      <c r="F548" s="6" t="s">
        <v>19</v>
      </c>
      <c r="G548" s="6" t="s">
        <v>19</v>
      </c>
      <c r="H548" s="6" t="s">
        <v>19</v>
      </c>
      <c r="I548" s="6" t="s">
        <v>19</v>
      </c>
      <c r="J548" s="6" t="s">
        <v>19</v>
      </c>
      <c r="K548" s="6" t="s">
        <v>19</v>
      </c>
      <c r="L548" s="6" t="s">
        <v>19</v>
      </c>
      <c r="M548" s="15" t="s">
        <v>2800</v>
      </c>
      <c r="N548" s="4" t="s">
        <v>2801</v>
      </c>
      <c r="O548" s="3" t="s">
        <v>2712</v>
      </c>
      <c r="P548" s="4" t="s">
        <v>2802</v>
      </c>
      <c r="S548" s="15" t="e" cm="1">
        <f t="array" aca="1" ref="S548" ca="1">COMMONMARKETCOUNT(H548:AV548)</f>
        <v>#NAME?</v>
      </c>
      <c r="T548" s="6">
        <v>0</v>
      </c>
      <c r="V548" s="6" t="s">
        <v>19</v>
      </c>
      <c r="W548" s="6" t="s">
        <v>19</v>
      </c>
      <c r="X548" s="6" t="s">
        <v>19</v>
      </c>
      <c r="Y548" s="6" t="s">
        <v>19</v>
      </c>
      <c r="Z548" s="6" t="s">
        <v>19</v>
      </c>
      <c r="AA548" s="6" t="s">
        <v>19</v>
      </c>
      <c r="AB548" s="6" t="s">
        <v>19</v>
      </c>
      <c r="AC548" s="6" t="s">
        <v>19</v>
      </c>
      <c r="AD548" s="6" t="s">
        <v>19</v>
      </c>
      <c r="AE548" s="6" t="s">
        <v>19</v>
      </c>
      <c r="AF548" s="6" t="s">
        <v>19</v>
      </c>
      <c r="AG548" s="6" t="s">
        <v>19</v>
      </c>
      <c r="AH548" s="6" t="s">
        <v>19</v>
      </c>
      <c r="AI548" s="6" t="s">
        <v>19</v>
      </c>
      <c r="AJ548" s="6" t="s">
        <v>19</v>
      </c>
      <c r="AK548" s="6" t="s">
        <v>19</v>
      </c>
      <c r="AL548" s="6" t="s">
        <v>19</v>
      </c>
      <c r="AM548" s="6" t="s">
        <v>19</v>
      </c>
      <c r="AN548" s="6" t="s">
        <v>19</v>
      </c>
      <c r="AO548" s="6" t="s">
        <v>19</v>
      </c>
      <c r="AP548" s="6" t="s">
        <v>19</v>
      </c>
      <c r="AQ548" s="6" t="s">
        <v>19</v>
      </c>
      <c r="AR548" s="6" t="s">
        <v>19</v>
      </c>
      <c r="AS548" s="6" t="s">
        <v>19</v>
      </c>
      <c r="AT548" s="6" t="s">
        <v>19</v>
      </c>
      <c r="AU548" s="6" t="s">
        <v>3153</v>
      </c>
      <c r="AV548" s="36" t="s">
        <v>19</v>
      </c>
    </row>
    <row r="549" spans="1:48" ht="41.25" hidden="1" customHeight="1" x14ac:dyDescent="0.3">
      <c r="A549" s="6" t="s">
        <v>25</v>
      </c>
      <c r="B549" s="15" t="s">
        <v>17</v>
      </c>
      <c r="C549" s="15" t="s">
        <v>2803</v>
      </c>
      <c r="D549" s="6" t="s">
        <v>32</v>
      </c>
      <c r="E549" s="6" t="s">
        <v>19</v>
      </c>
      <c r="F549" s="6" t="s">
        <v>19</v>
      </c>
      <c r="G549" s="6" t="s">
        <v>19</v>
      </c>
      <c r="H549" s="6" t="s">
        <v>19</v>
      </c>
      <c r="I549" s="6" t="s">
        <v>19</v>
      </c>
      <c r="J549" s="6" t="s">
        <v>19</v>
      </c>
      <c r="K549" s="6" t="s">
        <v>19</v>
      </c>
      <c r="L549" s="6" t="s">
        <v>19</v>
      </c>
      <c r="M549" s="15" t="s">
        <v>2804</v>
      </c>
      <c r="N549" s="2" t="s">
        <v>2805</v>
      </c>
      <c r="O549" s="3" t="s">
        <v>2712</v>
      </c>
      <c r="P549" s="4" t="s">
        <v>2806</v>
      </c>
      <c r="S549" s="15" t="e" cm="1">
        <f t="array" aca="1" ref="S549" ca="1">COMMONMARKETCOUNT(H549:AV549)</f>
        <v>#NAME?</v>
      </c>
      <c r="T549" s="6">
        <v>0</v>
      </c>
      <c r="V549" s="6" t="s">
        <v>19</v>
      </c>
      <c r="W549" s="6" t="s">
        <v>19</v>
      </c>
      <c r="X549" s="6" t="s">
        <v>19</v>
      </c>
      <c r="Y549" s="6" t="s">
        <v>19</v>
      </c>
      <c r="Z549" s="6" t="s">
        <v>19</v>
      </c>
      <c r="AA549" s="6" t="s">
        <v>19</v>
      </c>
      <c r="AB549" s="6" t="s">
        <v>19</v>
      </c>
      <c r="AC549" s="6" t="s">
        <v>19</v>
      </c>
      <c r="AD549" s="6" t="s">
        <v>19</v>
      </c>
      <c r="AE549" s="6" t="s">
        <v>19</v>
      </c>
      <c r="AF549" s="6" t="s">
        <v>19</v>
      </c>
      <c r="AG549" s="6" t="s">
        <v>19</v>
      </c>
      <c r="AH549" s="6" t="s">
        <v>19</v>
      </c>
      <c r="AI549" s="6" t="s">
        <v>19</v>
      </c>
      <c r="AJ549" s="6" t="s">
        <v>19</v>
      </c>
      <c r="AK549" s="6" t="s">
        <v>19</v>
      </c>
      <c r="AL549" s="6" t="s">
        <v>19</v>
      </c>
      <c r="AM549" s="6" t="s">
        <v>19</v>
      </c>
      <c r="AN549" s="6" t="s">
        <v>19</v>
      </c>
      <c r="AO549" s="6" t="s">
        <v>19</v>
      </c>
      <c r="AP549" s="6" t="s">
        <v>19</v>
      </c>
      <c r="AQ549" s="6" t="s">
        <v>19</v>
      </c>
      <c r="AR549" s="6" t="s">
        <v>19</v>
      </c>
      <c r="AS549" s="6" t="s">
        <v>19</v>
      </c>
      <c r="AT549" s="6" t="s">
        <v>19</v>
      </c>
      <c r="AU549" s="6" t="s">
        <v>3153</v>
      </c>
      <c r="AV549" s="36" t="s">
        <v>19</v>
      </c>
    </row>
    <row r="550" spans="1:48" ht="93.75" hidden="1" customHeight="1" x14ac:dyDescent="0.3">
      <c r="A550" s="6" t="s">
        <v>25</v>
      </c>
      <c r="B550" s="15" t="s">
        <v>17</v>
      </c>
      <c r="C550" s="15" t="s">
        <v>2807</v>
      </c>
      <c r="D550" s="6" t="s">
        <v>32</v>
      </c>
      <c r="E550" s="6" t="s">
        <v>19</v>
      </c>
      <c r="F550" s="6" t="s">
        <v>19</v>
      </c>
      <c r="G550" s="6" t="s">
        <v>19</v>
      </c>
      <c r="H550" s="6" t="s">
        <v>19</v>
      </c>
      <c r="I550" s="6" t="s">
        <v>19</v>
      </c>
      <c r="J550" s="6" t="s">
        <v>19</v>
      </c>
      <c r="K550" s="6" t="s">
        <v>19</v>
      </c>
      <c r="L550" s="6" t="s">
        <v>19</v>
      </c>
      <c r="M550" s="15" t="s">
        <v>2808</v>
      </c>
      <c r="N550" s="2" t="s">
        <v>2809</v>
      </c>
      <c r="O550" s="3" t="s">
        <v>2712</v>
      </c>
      <c r="P550" s="4" t="s">
        <v>2810</v>
      </c>
      <c r="S550" s="15" t="e" cm="1">
        <f t="array" aca="1" ref="S550" ca="1">COMMONMARKETCOUNT(H550:AV550)</f>
        <v>#NAME?</v>
      </c>
      <c r="T550" s="6">
        <v>0</v>
      </c>
      <c r="V550" s="6" t="s">
        <v>19</v>
      </c>
      <c r="W550" s="6" t="s">
        <v>19</v>
      </c>
      <c r="X550" s="6" t="s">
        <v>19</v>
      </c>
      <c r="Y550" s="6" t="s">
        <v>19</v>
      </c>
      <c r="Z550" s="6" t="s">
        <v>19</v>
      </c>
      <c r="AA550" s="6" t="s">
        <v>19</v>
      </c>
      <c r="AB550" s="6" t="s">
        <v>19</v>
      </c>
      <c r="AC550" s="6" t="s">
        <v>19</v>
      </c>
      <c r="AD550" s="6" t="s">
        <v>19</v>
      </c>
      <c r="AE550" s="6" t="s">
        <v>19</v>
      </c>
      <c r="AF550" s="6" t="s">
        <v>19</v>
      </c>
      <c r="AG550" s="6" t="s">
        <v>19</v>
      </c>
      <c r="AH550" s="6" t="s">
        <v>19</v>
      </c>
      <c r="AI550" s="6" t="s">
        <v>19</v>
      </c>
      <c r="AJ550" s="6" t="s">
        <v>19</v>
      </c>
      <c r="AK550" s="6" t="s">
        <v>19</v>
      </c>
      <c r="AL550" s="6" t="s">
        <v>19</v>
      </c>
      <c r="AM550" s="6" t="s">
        <v>19</v>
      </c>
      <c r="AN550" s="6" t="s">
        <v>19</v>
      </c>
      <c r="AO550" s="6" t="s">
        <v>19</v>
      </c>
      <c r="AP550" s="6" t="s">
        <v>19</v>
      </c>
      <c r="AQ550" s="6" t="s">
        <v>19</v>
      </c>
      <c r="AR550" s="6" t="s">
        <v>19</v>
      </c>
      <c r="AS550" s="6" t="s">
        <v>19</v>
      </c>
      <c r="AT550" s="6" t="s">
        <v>19</v>
      </c>
      <c r="AU550" s="6" t="s">
        <v>3153</v>
      </c>
      <c r="AV550" s="36" t="s">
        <v>19</v>
      </c>
    </row>
    <row r="551" spans="1:48" ht="93.75" hidden="1" customHeight="1" x14ac:dyDescent="0.3">
      <c r="A551" s="6" t="s">
        <v>25</v>
      </c>
      <c r="B551" s="15" t="s">
        <v>17</v>
      </c>
      <c r="C551" s="15" t="s">
        <v>2811</v>
      </c>
      <c r="D551" s="6" t="s">
        <v>32</v>
      </c>
      <c r="E551" s="6" t="s">
        <v>19</v>
      </c>
      <c r="F551" s="6" t="s">
        <v>19</v>
      </c>
      <c r="G551" s="6" t="s">
        <v>19</v>
      </c>
      <c r="H551" s="6" t="s">
        <v>19</v>
      </c>
      <c r="I551" s="6" t="s">
        <v>19</v>
      </c>
      <c r="J551" s="6" t="s">
        <v>19</v>
      </c>
      <c r="K551" s="6" t="s">
        <v>19</v>
      </c>
      <c r="L551" s="6" t="s">
        <v>19</v>
      </c>
      <c r="M551" s="15" t="s">
        <v>2812</v>
      </c>
      <c r="N551" s="2" t="s">
        <v>2813</v>
      </c>
      <c r="O551" s="3" t="s">
        <v>2712</v>
      </c>
      <c r="P551" s="4" t="s">
        <v>2814</v>
      </c>
      <c r="S551" s="15" t="e" cm="1">
        <f t="array" aca="1" ref="S551" ca="1">COMMONMARKETCOUNT(H551:AV551)</f>
        <v>#NAME?</v>
      </c>
      <c r="T551" s="6">
        <v>0</v>
      </c>
      <c r="V551" s="6" t="s">
        <v>19</v>
      </c>
      <c r="W551" s="6" t="s">
        <v>19</v>
      </c>
      <c r="X551" s="6" t="s">
        <v>19</v>
      </c>
      <c r="Y551" s="6" t="s">
        <v>19</v>
      </c>
      <c r="Z551" s="6" t="s">
        <v>19</v>
      </c>
      <c r="AA551" s="6" t="s">
        <v>19</v>
      </c>
      <c r="AB551" s="6" t="s">
        <v>19</v>
      </c>
      <c r="AC551" s="6" t="s">
        <v>19</v>
      </c>
      <c r="AD551" s="6" t="s">
        <v>19</v>
      </c>
      <c r="AE551" s="6" t="s">
        <v>19</v>
      </c>
      <c r="AF551" s="6" t="s">
        <v>19</v>
      </c>
      <c r="AG551" s="6" t="s">
        <v>19</v>
      </c>
      <c r="AH551" s="6" t="s">
        <v>19</v>
      </c>
      <c r="AI551" s="6" t="s">
        <v>19</v>
      </c>
      <c r="AJ551" s="6" t="s">
        <v>19</v>
      </c>
      <c r="AK551" s="6" t="s">
        <v>19</v>
      </c>
      <c r="AL551" s="6" t="s">
        <v>19</v>
      </c>
      <c r="AM551" s="6" t="s">
        <v>19</v>
      </c>
      <c r="AN551" s="6" t="s">
        <v>19</v>
      </c>
      <c r="AO551" s="6" t="s">
        <v>19</v>
      </c>
      <c r="AP551" s="6" t="s">
        <v>19</v>
      </c>
      <c r="AQ551" s="6" t="s">
        <v>19</v>
      </c>
      <c r="AR551" s="6" t="s">
        <v>19</v>
      </c>
      <c r="AS551" s="6" t="s">
        <v>19</v>
      </c>
      <c r="AT551" s="6" t="s">
        <v>19</v>
      </c>
      <c r="AU551" s="6" t="s">
        <v>3153</v>
      </c>
      <c r="AV551" s="36" t="s">
        <v>19</v>
      </c>
    </row>
    <row r="552" spans="1:48" ht="93.75" hidden="1" customHeight="1" x14ac:dyDescent="0.3">
      <c r="A552" s="4" t="s">
        <v>25</v>
      </c>
      <c r="B552" s="6" t="s">
        <v>783</v>
      </c>
      <c r="C552" s="4" t="s">
        <v>2815</v>
      </c>
      <c r="D552" s="6" t="s">
        <v>32</v>
      </c>
      <c r="E552" s="6" t="s">
        <v>109</v>
      </c>
      <c r="F552" s="6" t="s">
        <v>109</v>
      </c>
      <c r="G552" s="6" t="s">
        <v>109</v>
      </c>
      <c r="H552" s="6" t="s">
        <v>109</v>
      </c>
      <c r="I552" s="6" t="s">
        <v>19</v>
      </c>
      <c r="J552" s="6" t="s">
        <v>19</v>
      </c>
      <c r="K552" s="4" t="s">
        <v>109</v>
      </c>
      <c r="L552" s="4" t="s">
        <v>109</v>
      </c>
      <c r="M552" s="15" t="s">
        <v>2816</v>
      </c>
      <c r="N552" s="2" t="s">
        <v>2817</v>
      </c>
      <c r="O552" s="4"/>
      <c r="P552" s="4" t="s">
        <v>2818</v>
      </c>
      <c r="S552" s="15" t="e" cm="1">
        <f t="array" aca="1" ref="S552" ca="1">COMMONMARKETCOUNT(H552:AV552)</f>
        <v>#NAME?</v>
      </c>
      <c r="T552" s="15" t="e">
        <f t="array" aca="1" ref="T552" ca="1">AUTOMATEDCOUNT(H552:AU552)</f>
        <v>#NAME?</v>
      </c>
      <c r="V552" s="6" t="s">
        <v>109</v>
      </c>
      <c r="W552" s="6" t="s">
        <v>109</v>
      </c>
      <c r="X552" s="6" t="s">
        <v>109</v>
      </c>
      <c r="Y552" s="6" t="s">
        <v>109</v>
      </c>
      <c r="Z552" s="6" t="s">
        <v>109</v>
      </c>
      <c r="AA552" s="6" t="s">
        <v>19</v>
      </c>
      <c r="AB552" s="6" t="s">
        <v>19</v>
      </c>
      <c r="AC552" s="6" t="s">
        <v>19</v>
      </c>
      <c r="AD552" s="6" t="s">
        <v>19</v>
      </c>
      <c r="AE552" s="6" t="s">
        <v>19</v>
      </c>
      <c r="AF552" s="4" t="s">
        <v>109</v>
      </c>
      <c r="AG552" s="4" t="s">
        <v>109</v>
      </c>
      <c r="AH552" s="4" t="s">
        <v>109</v>
      </c>
      <c r="AI552" s="4" t="s">
        <v>109</v>
      </c>
      <c r="AJ552" s="4" t="s">
        <v>109</v>
      </c>
      <c r="AK552" s="4" t="s">
        <v>109</v>
      </c>
      <c r="AL552" s="4" t="s">
        <v>109</v>
      </c>
      <c r="AM552" s="4" t="s">
        <v>109</v>
      </c>
      <c r="AN552" s="4" t="s">
        <v>109</v>
      </c>
      <c r="AO552" s="4" t="s">
        <v>109</v>
      </c>
      <c r="AP552" s="4" t="s">
        <v>109</v>
      </c>
      <c r="AQ552" s="4" t="s">
        <v>109</v>
      </c>
      <c r="AR552" s="4" t="s">
        <v>109</v>
      </c>
      <c r="AS552" s="4" t="s">
        <v>109</v>
      </c>
      <c r="AT552" s="4" t="s">
        <v>109</v>
      </c>
      <c r="AU552" s="4" t="s">
        <v>109</v>
      </c>
      <c r="AV552" s="36" t="s">
        <v>109</v>
      </c>
    </row>
    <row r="553" spans="1:48" ht="69" customHeight="1" x14ac:dyDescent="0.3">
      <c r="A553" s="15" t="s">
        <v>25</v>
      </c>
      <c r="B553" s="15" t="s">
        <v>1823</v>
      </c>
      <c r="C553" s="15" t="s">
        <v>592</v>
      </c>
      <c r="D553" s="15" t="s">
        <v>19</v>
      </c>
      <c r="E553" s="70" t="s">
        <v>19</v>
      </c>
      <c r="F553" s="70" t="s">
        <v>19</v>
      </c>
      <c r="G553" s="70" t="s">
        <v>19</v>
      </c>
      <c r="H553" s="70" t="s">
        <v>19</v>
      </c>
      <c r="I553" s="72" t="s">
        <v>19</v>
      </c>
      <c r="J553" s="72" t="s">
        <v>19</v>
      </c>
      <c r="K553" s="72" t="s">
        <v>19</v>
      </c>
      <c r="L553" s="72" t="s">
        <v>19</v>
      </c>
      <c r="M553" s="15" t="s">
        <v>1766</v>
      </c>
      <c r="N553" s="15" t="s">
        <v>1566</v>
      </c>
      <c r="O553" s="15"/>
      <c r="P553" s="4" t="s">
        <v>1618</v>
      </c>
      <c r="S553" s="15" t="e" cm="1">
        <f t="array" aca="1" ref="S553" ca="1">COMMONMARKETCOUNT(H553:AV553)</f>
        <v>#NAME?</v>
      </c>
      <c r="T553" s="15" t="e" cm="1">
        <f t="array" aca="1" ref="T553" ca="1">AUTOMATEDCOUNT(H553:AU553)</f>
        <v>#NAME?</v>
      </c>
      <c r="V553" s="70" t="s">
        <v>19</v>
      </c>
      <c r="W553" s="70" t="s">
        <v>19</v>
      </c>
      <c r="X553" s="70" t="s">
        <v>19</v>
      </c>
      <c r="Y553" s="70" t="s">
        <v>19</v>
      </c>
      <c r="Z553" s="70" t="s">
        <v>19</v>
      </c>
      <c r="AA553" s="72" t="s">
        <v>19</v>
      </c>
      <c r="AB553" s="72" t="s">
        <v>19</v>
      </c>
      <c r="AC553" s="72" t="s">
        <v>19</v>
      </c>
      <c r="AD553" s="72" t="s">
        <v>19</v>
      </c>
      <c r="AE553" s="18" t="s">
        <v>19</v>
      </c>
      <c r="AF553" s="18" t="s">
        <v>19</v>
      </c>
      <c r="AG553" s="29" t="s">
        <v>19</v>
      </c>
      <c r="AH553" s="18" t="s">
        <v>19</v>
      </c>
      <c r="AI553" s="18" t="s">
        <v>19</v>
      </c>
      <c r="AJ553" s="18" t="s">
        <v>19</v>
      </c>
      <c r="AK553" s="18" t="s">
        <v>19</v>
      </c>
      <c r="AL553" s="18" t="s">
        <v>19</v>
      </c>
      <c r="AM553" s="18" t="s">
        <v>19</v>
      </c>
      <c r="AN553" s="18" t="s">
        <v>19</v>
      </c>
      <c r="AO553" s="18" t="s">
        <v>19</v>
      </c>
      <c r="AP553" s="18" t="s">
        <v>19</v>
      </c>
      <c r="AQ553" s="18" t="s">
        <v>19</v>
      </c>
      <c r="AR553" s="18" t="s">
        <v>19</v>
      </c>
      <c r="AS553" s="70" t="s">
        <v>19</v>
      </c>
      <c r="AT553" s="72" t="s">
        <v>19</v>
      </c>
      <c r="AU553" s="18" t="s">
        <v>3153</v>
      </c>
      <c r="AV553" s="36" t="s">
        <v>19</v>
      </c>
    </row>
    <row r="554" spans="1:48" ht="87.75" hidden="1" customHeight="1" x14ac:dyDescent="0.3">
      <c r="A554" s="15" t="s">
        <v>25</v>
      </c>
      <c r="B554" s="15" t="s">
        <v>24</v>
      </c>
      <c r="C554" s="15" t="s">
        <v>593</v>
      </c>
      <c r="D554" s="15" t="s">
        <v>32</v>
      </c>
      <c r="E554" s="18" t="s">
        <v>109</v>
      </c>
      <c r="F554" s="18" t="s">
        <v>109</v>
      </c>
      <c r="G554" s="18" t="s">
        <v>109</v>
      </c>
      <c r="H554" s="18" t="s">
        <v>109</v>
      </c>
      <c r="I554" s="18" t="s">
        <v>109</v>
      </c>
      <c r="J554" s="18" t="s">
        <v>109</v>
      </c>
      <c r="K554" s="18" t="s">
        <v>109</v>
      </c>
      <c r="L554" s="18" t="s">
        <v>109</v>
      </c>
      <c r="M554" s="15" t="s">
        <v>2964</v>
      </c>
      <c r="N554" s="30" t="s">
        <v>1566</v>
      </c>
      <c r="O554" s="15"/>
      <c r="P554" s="4" t="s">
        <v>3117</v>
      </c>
      <c r="S554" s="15" t="e" cm="1">
        <f t="array" aca="1" ref="S554" ca="1">COMMONMARKETCOUNT(H554:AV554)</f>
        <v>#NAME?</v>
      </c>
      <c r="T554" s="15" t="e" cm="1">
        <f t="array" aca="1" ref="T554" ca="1">AUTOMATEDCOUNT(H554:AU554)</f>
        <v>#NAME?</v>
      </c>
      <c r="V554" s="18" t="s">
        <v>109</v>
      </c>
      <c r="W554" s="18" t="s">
        <v>109</v>
      </c>
      <c r="X554" s="18" t="s">
        <v>109</v>
      </c>
      <c r="Y554" s="18" t="s">
        <v>109</v>
      </c>
      <c r="Z554" s="18" t="s">
        <v>109</v>
      </c>
      <c r="AA554" s="18" t="s">
        <v>109</v>
      </c>
      <c r="AB554" s="18" t="s">
        <v>109</v>
      </c>
      <c r="AC554" s="18" t="s">
        <v>109</v>
      </c>
      <c r="AD554" s="18" t="s">
        <v>19</v>
      </c>
      <c r="AE554" s="18" t="s">
        <v>19</v>
      </c>
      <c r="AF554" s="18" t="s">
        <v>109</v>
      </c>
      <c r="AG554" s="18" t="s">
        <v>109</v>
      </c>
      <c r="AH554" s="18" t="s">
        <v>109</v>
      </c>
      <c r="AI554" s="18" t="s">
        <v>109</v>
      </c>
      <c r="AJ554" s="18" t="s">
        <v>109</v>
      </c>
      <c r="AK554" s="18" t="s">
        <v>109</v>
      </c>
      <c r="AL554" s="18" t="s">
        <v>109</v>
      </c>
      <c r="AM554" s="18" t="s">
        <v>109</v>
      </c>
      <c r="AN554" s="18" t="s">
        <v>109</v>
      </c>
      <c r="AO554" s="18" t="s">
        <v>109</v>
      </c>
      <c r="AP554" s="18" t="s">
        <v>19</v>
      </c>
      <c r="AQ554" s="18" t="s">
        <v>19</v>
      </c>
      <c r="AR554" s="18" t="s">
        <v>19</v>
      </c>
      <c r="AS554" s="18" t="s">
        <v>19</v>
      </c>
      <c r="AT554" s="18" t="s">
        <v>19</v>
      </c>
      <c r="AU554" s="18" t="s">
        <v>109</v>
      </c>
      <c r="AV554" s="36" t="s">
        <v>19</v>
      </c>
    </row>
    <row r="555" spans="1:48" ht="75" hidden="1" customHeight="1" x14ac:dyDescent="0.3">
      <c r="A555" s="15" t="s">
        <v>25</v>
      </c>
      <c r="B555" s="15" t="s">
        <v>37</v>
      </c>
      <c r="C555" s="15" t="s">
        <v>594</v>
      </c>
      <c r="D555" s="15" t="s">
        <v>19</v>
      </c>
      <c r="E555" s="70" t="s">
        <v>19</v>
      </c>
      <c r="F555" s="70" t="s">
        <v>19</v>
      </c>
      <c r="G555" s="70" t="s">
        <v>19</v>
      </c>
      <c r="H555" s="119" t="s">
        <v>3184</v>
      </c>
      <c r="I555" s="72" t="s">
        <v>19</v>
      </c>
      <c r="J555" s="72" t="s">
        <v>19</v>
      </c>
      <c r="K555" s="72" t="s">
        <v>19</v>
      </c>
      <c r="L555" s="72" t="s">
        <v>19</v>
      </c>
      <c r="M555" s="15" t="s">
        <v>595</v>
      </c>
      <c r="N555" s="15" t="s">
        <v>1567</v>
      </c>
      <c r="O555" s="15"/>
      <c r="P555" s="4" t="s">
        <v>1568</v>
      </c>
      <c r="S555" s="15" t="e" cm="1">
        <f t="array" aca="1" ref="S555" ca="1">COMMONMARKETCOUNT(H555:AV555)</f>
        <v>#NAME?</v>
      </c>
      <c r="T555" s="15" t="e" cm="1">
        <f t="array" aca="1" ref="T555" ca="1">AUTOMATEDCOUNT(H555:AU555)</f>
        <v>#NAME?</v>
      </c>
      <c r="V555" s="70" t="s">
        <v>19</v>
      </c>
      <c r="W555" s="70" t="s">
        <v>19</v>
      </c>
      <c r="X555" s="70" t="s">
        <v>19</v>
      </c>
      <c r="Y555" s="70" t="s">
        <v>19</v>
      </c>
      <c r="Z555" s="70" t="s">
        <v>19</v>
      </c>
      <c r="AA555" s="72" t="s">
        <v>19</v>
      </c>
      <c r="AB555" s="72" t="s">
        <v>19</v>
      </c>
      <c r="AC555" s="72" t="s">
        <v>19</v>
      </c>
      <c r="AD555" s="18" t="s">
        <v>109</v>
      </c>
      <c r="AE555" s="18" t="s">
        <v>109</v>
      </c>
      <c r="AF555" s="18" t="s">
        <v>19</v>
      </c>
      <c r="AG555" s="29" t="s">
        <v>19</v>
      </c>
      <c r="AH555" s="18" t="s">
        <v>19</v>
      </c>
      <c r="AI555" s="18" t="s">
        <v>19</v>
      </c>
      <c r="AJ555" s="18" t="s">
        <v>19</v>
      </c>
      <c r="AK555" s="18" t="s">
        <v>19</v>
      </c>
      <c r="AL555" s="18" t="s">
        <v>19</v>
      </c>
      <c r="AM555" s="18" t="s">
        <v>19</v>
      </c>
      <c r="AN555" s="18" t="s">
        <v>19</v>
      </c>
      <c r="AO555" s="18" t="s">
        <v>19</v>
      </c>
      <c r="AP555" s="18" t="s">
        <v>19</v>
      </c>
      <c r="AQ555" s="18" t="s">
        <v>19</v>
      </c>
      <c r="AR555" s="18" t="s">
        <v>19</v>
      </c>
      <c r="AS555" s="70" t="s">
        <v>19</v>
      </c>
      <c r="AT555" s="72" t="s">
        <v>19</v>
      </c>
      <c r="AU555" s="29" t="s">
        <v>3153</v>
      </c>
      <c r="AV555" s="36" t="s">
        <v>19</v>
      </c>
    </row>
    <row r="556" spans="1:48" ht="72.75" hidden="1" customHeight="1" x14ac:dyDescent="0.3">
      <c r="A556" s="6" t="s">
        <v>2266</v>
      </c>
      <c r="B556" s="6" t="s">
        <v>17</v>
      </c>
      <c r="C556" s="4" t="s">
        <v>2260</v>
      </c>
      <c r="D556" s="6" t="s">
        <v>19</v>
      </c>
      <c r="E556" s="70" t="s">
        <v>19</v>
      </c>
      <c r="F556" s="20" t="s">
        <v>3187</v>
      </c>
      <c r="G556" s="70" t="s">
        <v>19</v>
      </c>
      <c r="H556" s="20" t="s">
        <v>3187</v>
      </c>
      <c r="I556" s="72" t="s">
        <v>19</v>
      </c>
      <c r="J556" s="72" t="s">
        <v>19</v>
      </c>
      <c r="K556" s="96" t="s">
        <v>19</v>
      </c>
      <c r="L556" s="96" t="s">
        <v>19</v>
      </c>
      <c r="M556" s="15" t="s">
        <v>2265</v>
      </c>
      <c r="N556" s="4" t="s">
        <v>2360</v>
      </c>
      <c r="O556" s="4"/>
      <c r="P556" s="4" t="s">
        <v>2354</v>
      </c>
      <c r="S556" s="15" t="e" cm="1">
        <f t="array" aca="1" ref="S556" ca="1">COMMONMARKETCOUNT(H556:AV556)</f>
        <v>#NAME?</v>
      </c>
      <c r="T556" s="15" t="e" cm="1">
        <f t="array" aca="1" ref="T556" ca="1">AUTOMATEDCOUNT(H556:AU556)</f>
        <v>#NAME?</v>
      </c>
      <c r="V556" s="70" t="s">
        <v>19</v>
      </c>
      <c r="W556" s="70" t="s">
        <v>19</v>
      </c>
      <c r="X556" s="70" t="s">
        <v>19</v>
      </c>
      <c r="Y556" s="70" t="s">
        <v>19</v>
      </c>
      <c r="Z556" s="70" t="s">
        <v>19</v>
      </c>
      <c r="AA556" s="72" t="s">
        <v>19</v>
      </c>
      <c r="AB556" s="72" t="s">
        <v>19</v>
      </c>
      <c r="AC556" s="72" t="s">
        <v>19</v>
      </c>
      <c r="AD556" s="72" t="s">
        <v>19</v>
      </c>
      <c r="AE556" s="18" t="s">
        <v>19</v>
      </c>
      <c r="AF556" s="6" t="s">
        <v>19</v>
      </c>
      <c r="AG556" s="44" t="s">
        <v>19</v>
      </c>
      <c r="AH556" s="6" t="s">
        <v>19</v>
      </c>
      <c r="AI556" s="6" t="s">
        <v>19</v>
      </c>
      <c r="AJ556" s="6" t="s">
        <v>19</v>
      </c>
      <c r="AK556" s="6" t="s">
        <v>19</v>
      </c>
      <c r="AL556" s="6" t="s">
        <v>19</v>
      </c>
      <c r="AM556" s="6" t="s">
        <v>19</v>
      </c>
      <c r="AN556" s="6" t="s">
        <v>19</v>
      </c>
      <c r="AO556" s="6" t="s">
        <v>19</v>
      </c>
      <c r="AP556" s="6" t="s">
        <v>19</v>
      </c>
      <c r="AQ556" s="6" t="s">
        <v>19</v>
      </c>
      <c r="AR556" s="6" t="s">
        <v>19</v>
      </c>
      <c r="AS556" s="70" t="s">
        <v>19</v>
      </c>
      <c r="AT556" s="96" t="s">
        <v>19</v>
      </c>
      <c r="AU556" s="6" t="s">
        <v>3153</v>
      </c>
      <c r="AV556" s="36" t="s">
        <v>19</v>
      </c>
    </row>
    <row r="557" spans="1:48" ht="101.25" hidden="1" customHeight="1" x14ac:dyDescent="0.3">
      <c r="A557" s="15" t="s">
        <v>25</v>
      </c>
      <c r="B557" s="15" t="s">
        <v>37</v>
      </c>
      <c r="C557" s="15" t="s">
        <v>596</v>
      </c>
      <c r="D557" s="15" t="s">
        <v>19</v>
      </c>
      <c r="E557" s="70" t="s">
        <v>19</v>
      </c>
      <c r="F557" s="70" t="s">
        <v>19</v>
      </c>
      <c r="G557" s="70" t="s">
        <v>19</v>
      </c>
      <c r="H557" s="70" t="s">
        <v>3178</v>
      </c>
      <c r="I557" s="72" t="s">
        <v>19</v>
      </c>
      <c r="J557" s="72" t="s">
        <v>19</v>
      </c>
      <c r="K557" s="72" t="s">
        <v>19</v>
      </c>
      <c r="L557" s="72" t="s">
        <v>19</v>
      </c>
      <c r="M557" s="15" t="s">
        <v>597</v>
      </c>
      <c r="N557" s="15" t="s">
        <v>1905</v>
      </c>
      <c r="O557" s="15"/>
      <c r="P557" s="4" t="s">
        <v>1619</v>
      </c>
      <c r="S557" s="15" t="e" cm="1">
        <f t="array" aca="1" ref="S557" ca="1">COMMONMARKETCOUNT(H557:AV557)</f>
        <v>#NAME?</v>
      </c>
      <c r="T557" s="15" t="e" cm="1">
        <f t="array" aca="1" ref="T557" ca="1">AUTOMATEDCOUNT(H557:AU557)</f>
        <v>#NAME?</v>
      </c>
      <c r="V557" s="70" t="s">
        <v>19</v>
      </c>
      <c r="W557" s="70" t="s">
        <v>19</v>
      </c>
      <c r="X557" s="70" t="s">
        <v>19</v>
      </c>
      <c r="Y557" s="70" t="s">
        <v>19</v>
      </c>
      <c r="Z557" s="70" t="s">
        <v>19</v>
      </c>
      <c r="AA557" s="72" t="s">
        <v>19</v>
      </c>
      <c r="AB557" s="72" t="s">
        <v>19</v>
      </c>
      <c r="AC557" s="72" t="s">
        <v>19</v>
      </c>
      <c r="AD557" s="72" t="s">
        <v>19</v>
      </c>
      <c r="AE557" s="18" t="s">
        <v>19</v>
      </c>
      <c r="AF557" s="18" t="s">
        <v>19</v>
      </c>
      <c r="AG557" s="29" t="s">
        <v>19</v>
      </c>
      <c r="AH557" s="18" t="s">
        <v>19</v>
      </c>
      <c r="AI557" s="18" t="s">
        <v>19</v>
      </c>
      <c r="AJ557" s="18" t="s">
        <v>19</v>
      </c>
      <c r="AK557" s="18" t="s">
        <v>19</v>
      </c>
      <c r="AL557" s="18" t="s">
        <v>19</v>
      </c>
      <c r="AM557" s="18" t="s">
        <v>19</v>
      </c>
      <c r="AN557" s="18" t="s">
        <v>19</v>
      </c>
      <c r="AO557" s="18" t="s">
        <v>19</v>
      </c>
      <c r="AP557" s="18" t="s">
        <v>19</v>
      </c>
      <c r="AQ557" s="18" t="s">
        <v>19</v>
      </c>
      <c r="AR557" s="18" t="s">
        <v>19</v>
      </c>
      <c r="AS557" s="70" t="s">
        <v>19</v>
      </c>
      <c r="AT557" s="72" t="s">
        <v>19</v>
      </c>
      <c r="AU557" s="29" t="s">
        <v>3153</v>
      </c>
      <c r="AV557" s="36" t="s">
        <v>19</v>
      </c>
    </row>
    <row r="558" spans="1:48" ht="73.5" hidden="1" customHeight="1" x14ac:dyDescent="0.3">
      <c r="A558" s="15" t="s">
        <v>56</v>
      </c>
      <c r="B558" s="15" t="s">
        <v>290</v>
      </c>
      <c r="C558" s="15" t="s">
        <v>598</v>
      </c>
      <c r="D558" s="15" t="s">
        <v>32</v>
      </c>
      <c r="E558" s="15" t="s">
        <v>19</v>
      </c>
      <c r="F558" s="15" t="s">
        <v>19</v>
      </c>
      <c r="G558" s="15" t="s">
        <v>19</v>
      </c>
      <c r="H558" s="15" t="s">
        <v>19</v>
      </c>
      <c r="I558" s="18" t="s">
        <v>19</v>
      </c>
      <c r="J558" s="18" t="s">
        <v>19</v>
      </c>
      <c r="K558" s="18" t="s">
        <v>19</v>
      </c>
      <c r="L558" s="18" t="s">
        <v>19</v>
      </c>
      <c r="M558" s="15" t="s">
        <v>599</v>
      </c>
      <c r="N558" s="30" t="s">
        <v>1258</v>
      </c>
      <c r="O558" s="15"/>
      <c r="P558" s="4" t="s">
        <v>600</v>
      </c>
      <c r="S558" s="15" t="e" cm="1">
        <f t="array" aca="1" ref="S558" ca="1">COMMONMARKETCOUNT(H558:AV558)</f>
        <v>#NAME?</v>
      </c>
      <c r="T558" s="15" t="e" cm="1">
        <f t="array" aca="1" ref="T558" ca="1">AUTOMATEDCOUNT(H558:AU558)</f>
        <v>#NAME?</v>
      </c>
      <c r="V558" s="15" t="s">
        <v>19</v>
      </c>
      <c r="W558" s="15" t="s">
        <v>19</v>
      </c>
      <c r="X558" s="15" t="s">
        <v>19</v>
      </c>
      <c r="Y558" s="15" t="s">
        <v>19</v>
      </c>
      <c r="Z558" s="15" t="s">
        <v>19</v>
      </c>
      <c r="AA558" s="18" t="s">
        <v>19</v>
      </c>
      <c r="AB558" s="18" t="s">
        <v>19</v>
      </c>
      <c r="AC558" s="18" t="s">
        <v>19</v>
      </c>
      <c r="AD558" s="18" t="s">
        <v>19</v>
      </c>
      <c r="AE558" s="18" t="s">
        <v>19</v>
      </c>
      <c r="AF558" s="18" t="s">
        <v>19</v>
      </c>
      <c r="AG558" s="18" t="s">
        <v>19</v>
      </c>
      <c r="AH558" s="18" t="s">
        <v>19</v>
      </c>
      <c r="AI558" s="18" t="s">
        <v>19</v>
      </c>
      <c r="AJ558" s="18" t="s">
        <v>19</v>
      </c>
      <c r="AK558" s="18" t="s">
        <v>19</v>
      </c>
      <c r="AL558" s="18" t="s">
        <v>19</v>
      </c>
      <c r="AM558" s="18" t="s">
        <v>19</v>
      </c>
      <c r="AN558" s="18" t="s">
        <v>19</v>
      </c>
      <c r="AO558" s="18" t="s">
        <v>19</v>
      </c>
      <c r="AP558" s="18" t="s">
        <v>19</v>
      </c>
      <c r="AQ558" s="18" t="s">
        <v>19</v>
      </c>
      <c r="AR558" s="18" t="s">
        <v>19</v>
      </c>
      <c r="AS558" s="18" t="s">
        <v>19</v>
      </c>
      <c r="AT558" s="18" t="s">
        <v>19</v>
      </c>
      <c r="AU558" s="18" t="s">
        <v>3153</v>
      </c>
      <c r="AV558" s="36" t="s">
        <v>19</v>
      </c>
    </row>
    <row r="559" spans="1:48" ht="67.5" hidden="1" customHeight="1" x14ac:dyDescent="0.3">
      <c r="A559" s="15" t="s">
        <v>315</v>
      </c>
      <c r="B559" s="15" t="s">
        <v>290</v>
      </c>
      <c r="C559" s="18" t="s">
        <v>601</v>
      </c>
      <c r="D559" s="15" t="s">
        <v>32</v>
      </c>
      <c r="E559" s="15" t="s">
        <v>19</v>
      </c>
      <c r="F559" s="15" t="s">
        <v>19</v>
      </c>
      <c r="G559" s="15" t="s">
        <v>19</v>
      </c>
      <c r="H559" s="15" t="s">
        <v>19</v>
      </c>
      <c r="I559" s="18" t="s">
        <v>19</v>
      </c>
      <c r="J559" s="18" t="s">
        <v>19</v>
      </c>
      <c r="K559" s="18" t="s">
        <v>19</v>
      </c>
      <c r="L559" s="18" t="s">
        <v>19</v>
      </c>
      <c r="M559" s="15" t="s">
        <v>602</v>
      </c>
      <c r="N559" s="15" t="s">
        <v>1259</v>
      </c>
      <c r="O559" s="15"/>
      <c r="P559" s="4" t="s">
        <v>603</v>
      </c>
      <c r="S559" s="15" t="e" cm="1">
        <f t="array" aca="1" ref="S559" ca="1">COMMONMARKETCOUNT(H559:AV559)</f>
        <v>#NAME?</v>
      </c>
      <c r="T559" s="15" t="e" cm="1">
        <f t="array" aca="1" ref="T559" ca="1">AUTOMATEDCOUNT(H559:AU559)</f>
        <v>#NAME?</v>
      </c>
      <c r="V559" s="15" t="s">
        <v>19</v>
      </c>
      <c r="W559" s="15" t="s">
        <v>19</v>
      </c>
      <c r="X559" s="15" t="s">
        <v>19</v>
      </c>
      <c r="Y559" s="15" t="s">
        <v>19</v>
      </c>
      <c r="Z559" s="15" t="s">
        <v>19</v>
      </c>
      <c r="AA559" s="18" t="s">
        <v>19</v>
      </c>
      <c r="AB559" s="18" t="s">
        <v>19</v>
      </c>
      <c r="AC559" s="18" t="s">
        <v>19</v>
      </c>
      <c r="AD559" s="18" t="s">
        <v>19</v>
      </c>
      <c r="AE559" s="18" t="s">
        <v>19</v>
      </c>
      <c r="AF559" s="18" t="s">
        <v>19</v>
      </c>
      <c r="AG559" s="18" t="s">
        <v>19</v>
      </c>
      <c r="AH559" s="18" t="s">
        <v>19</v>
      </c>
      <c r="AI559" s="18" t="s">
        <v>19</v>
      </c>
      <c r="AJ559" s="18" t="s">
        <v>19</v>
      </c>
      <c r="AK559" s="18" t="s">
        <v>19</v>
      </c>
      <c r="AL559" s="18" t="s">
        <v>19</v>
      </c>
      <c r="AM559" s="18" t="s">
        <v>19</v>
      </c>
      <c r="AN559" s="18" t="s">
        <v>19</v>
      </c>
      <c r="AO559" s="18" t="s">
        <v>19</v>
      </c>
      <c r="AP559" s="18" t="s">
        <v>19</v>
      </c>
      <c r="AQ559" s="18" t="s">
        <v>19</v>
      </c>
      <c r="AR559" s="18" t="s">
        <v>19</v>
      </c>
      <c r="AS559" s="18" t="s">
        <v>19</v>
      </c>
      <c r="AT559" s="18" t="s">
        <v>19</v>
      </c>
      <c r="AU559" s="18" t="s">
        <v>3153</v>
      </c>
      <c r="AV559" s="36" t="s">
        <v>19</v>
      </c>
    </row>
    <row r="560" spans="1:48" ht="84" hidden="1" customHeight="1" x14ac:dyDescent="0.3">
      <c r="A560" s="15" t="s">
        <v>25</v>
      </c>
      <c r="B560" s="15" t="s">
        <v>37</v>
      </c>
      <c r="C560" s="15" t="s">
        <v>604</v>
      </c>
      <c r="D560" s="15" t="s">
        <v>19</v>
      </c>
      <c r="E560" s="70" t="s">
        <v>19</v>
      </c>
      <c r="F560" s="70" t="s">
        <v>19</v>
      </c>
      <c r="G560" s="70" t="s">
        <v>19</v>
      </c>
      <c r="H560" s="70" t="s">
        <v>3178</v>
      </c>
      <c r="I560" s="72" t="s">
        <v>19</v>
      </c>
      <c r="J560" s="72" t="s">
        <v>19</v>
      </c>
      <c r="K560" s="72" t="s">
        <v>19</v>
      </c>
      <c r="L560" s="72" t="s">
        <v>19</v>
      </c>
      <c r="M560" s="15" t="s">
        <v>605</v>
      </c>
      <c r="N560" s="15" t="s">
        <v>1569</v>
      </c>
      <c r="O560" s="15"/>
      <c r="P560" s="4" t="s">
        <v>1620</v>
      </c>
      <c r="S560" s="15" t="e" cm="1">
        <f t="array" aca="1" ref="S560" ca="1">COMMONMARKETCOUNT(H560:AV560)</f>
        <v>#NAME?</v>
      </c>
      <c r="T560" s="15" t="e" cm="1">
        <f t="array" aca="1" ref="T560" ca="1">AUTOMATEDCOUNT(H560:AU560)</f>
        <v>#NAME?</v>
      </c>
      <c r="V560" s="70" t="s">
        <v>19</v>
      </c>
      <c r="W560" s="70" t="s">
        <v>19</v>
      </c>
      <c r="X560" s="70" t="s">
        <v>19</v>
      </c>
      <c r="Y560" s="70" t="s">
        <v>19</v>
      </c>
      <c r="Z560" s="70" t="s">
        <v>19</v>
      </c>
      <c r="AA560" s="72" t="s">
        <v>19</v>
      </c>
      <c r="AB560" s="72" t="s">
        <v>19</v>
      </c>
      <c r="AC560" s="72" t="s">
        <v>19</v>
      </c>
      <c r="AD560" s="18" t="s">
        <v>109</v>
      </c>
      <c r="AE560" s="18" t="s">
        <v>109</v>
      </c>
      <c r="AF560" s="18" t="s">
        <v>19</v>
      </c>
      <c r="AG560" s="29" t="s">
        <v>19</v>
      </c>
      <c r="AH560" s="18" t="s">
        <v>19</v>
      </c>
      <c r="AI560" s="18" t="s">
        <v>19</v>
      </c>
      <c r="AJ560" s="18" t="s">
        <v>19</v>
      </c>
      <c r="AK560" s="18" t="s">
        <v>19</v>
      </c>
      <c r="AL560" s="18" t="s">
        <v>19</v>
      </c>
      <c r="AM560" s="18" t="s">
        <v>19</v>
      </c>
      <c r="AN560" s="18" t="s">
        <v>19</v>
      </c>
      <c r="AO560" s="18" t="s">
        <v>19</v>
      </c>
      <c r="AP560" s="18" t="s">
        <v>19</v>
      </c>
      <c r="AQ560" s="18" t="s">
        <v>19</v>
      </c>
      <c r="AR560" s="18" t="s">
        <v>19</v>
      </c>
      <c r="AS560" s="70" t="s">
        <v>19</v>
      </c>
      <c r="AT560" s="72" t="s">
        <v>19</v>
      </c>
      <c r="AU560" s="29" t="s">
        <v>3153</v>
      </c>
      <c r="AV560" s="36" t="s">
        <v>19</v>
      </c>
    </row>
    <row r="561" spans="1:48" ht="81" customHeight="1" x14ac:dyDescent="0.3">
      <c r="A561" s="15" t="s">
        <v>25</v>
      </c>
      <c r="B561" s="15" t="s">
        <v>24</v>
      </c>
      <c r="C561" s="15" t="s">
        <v>606</v>
      </c>
      <c r="D561" s="15" t="s">
        <v>19</v>
      </c>
      <c r="E561" s="70" t="s">
        <v>19</v>
      </c>
      <c r="F561" s="70" t="s">
        <v>19</v>
      </c>
      <c r="G561" s="70" t="s">
        <v>19</v>
      </c>
      <c r="H561" s="70" t="s">
        <v>19</v>
      </c>
      <c r="I561" s="72" t="s">
        <v>19</v>
      </c>
      <c r="J561" s="72" t="s">
        <v>19</v>
      </c>
      <c r="K561" s="72" t="s">
        <v>19</v>
      </c>
      <c r="L561" s="72" t="s">
        <v>19</v>
      </c>
      <c r="M561" s="15" t="s">
        <v>607</v>
      </c>
      <c r="N561" s="15" t="s">
        <v>1570</v>
      </c>
      <c r="O561" s="15"/>
      <c r="P561" s="4" t="s">
        <v>1621</v>
      </c>
      <c r="S561" s="15" t="e" cm="1">
        <f t="array" aca="1" ref="S561" ca="1">COMMONMARKETCOUNT(H561:AV561)</f>
        <v>#NAME?</v>
      </c>
      <c r="T561" s="15" t="e" cm="1">
        <f t="array" aca="1" ref="T561" ca="1">AUTOMATEDCOUNT(H561:AU561)</f>
        <v>#NAME?</v>
      </c>
      <c r="V561" s="70" t="s">
        <v>19</v>
      </c>
      <c r="W561" s="70" t="s">
        <v>19</v>
      </c>
      <c r="X561" s="70" t="s">
        <v>19</v>
      </c>
      <c r="Y561" s="70" t="s">
        <v>19</v>
      </c>
      <c r="Z561" s="70" t="s">
        <v>19</v>
      </c>
      <c r="AA561" s="72" t="s">
        <v>19</v>
      </c>
      <c r="AB561" s="72" t="s">
        <v>19</v>
      </c>
      <c r="AC561" s="72" t="s">
        <v>19</v>
      </c>
      <c r="AD561" s="72" t="s">
        <v>19</v>
      </c>
      <c r="AE561" s="18" t="s">
        <v>19</v>
      </c>
      <c r="AF561" s="18" t="s">
        <v>19</v>
      </c>
      <c r="AG561" s="29" t="s">
        <v>19</v>
      </c>
      <c r="AH561" s="18" t="s">
        <v>19</v>
      </c>
      <c r="AI561" s="18" t="s">
        <v>19</v>
      </c>
      <c r="AJ561" s="18" t="s">
        <v>19</v>
      </c>
      <c r="AK561" s="18" t="s">
        <v>19</v>
      </c>
      <c r="AL561" s="18" t="s">
        <v>19</v>
      </c>
      <c r="AM561" s="18" t="s">
        <v>19</v>
      </c>
      <c r="AN561" s="18" t="s">
        <v>19</v>
      </c>
      <c r="AO561" s="18" t="s">
        <v>19</v>
      </c>
      <c r="AP561" s="18" t="s">
        <v>19</v>
      </c>
      <c r="AQ561" s="18" t="s">
        <v>19</v>
      </c>
      <c r="AR561" s="18" t="s">
        <v>19</v>
      </c>
      <c r="AS561" s="70" t="s">
        <v>19</v>
      </c>
      <c r="AT561" s="18" t="s">
        <v>19</v>
      </c>
      <c r="AU561" s="29" t="s">
        <v>3153</v>
      </c>
      <c r="AV561" s="36" t="s">
        <v>19</v>
      </c>
    </row>
    <row r="562" spans="1:48" ht="72.75" customHeight="1" x14ac:dyDescent="0.3">
      <c r="A562" s="15" t="s">
        <v>25</v>
      </c>
      <c r="B562" s="15" t="s">
        <v>24</v>
      </c>
      <c r="C562" s="15" t="s">
        <v>608</v>
      </c>
      <c r="D562" s="15" t="s">
        <v>19</v>
      </c>
      <c r="E562" s="70" t="s">
        <v>19</v>
      </c>
      <c r="F562" s="70" t="s">
        <v>19</v>
      </c>
      <c r="G562" s="70" t="s">
        <v>19</v>
      </c>
      <c r="H562" s="70" t="s">
        <v>19</v>
      </c>
      <c r="I562" s="72" t="s">
        <v>19</v>
      </c>
      <c r="J562" s="72" t="s">
        <v>19</v>
      </c>
      <c r="K562" s="72" t="s">
        <v>19</v>
      </c>
      <c r="L562" s="72" t="s">
        <v>19</v>
      </c>
      <c r="M562" s="15" t="s">
        <v>609</v>
      </c>
      <c r="N562" s="15" t="s">
        <v>1571</v>
      </c>
      <c r="O562" s="15"/>
      <c r="P562" s="4" t="s">
        <v>1622</v>
      </c>
      <c r="S562" s="15" t="e" cm="1">
        <f t="array" aca="1" ref="S562" ca="1">COMMONMARKETCOUNT(H562:AV562)</f>
        <v>#NAME?</v>
      </c>
      <c r="T562" s="15" t="e" cm="1">
        <f t="array" aca="1" ref="T562" ca="1">AUTOMATEDCOUNT(H562:AU562)</f>
        <v>#NAME?</v>
      </c>
      <c r="V562" s="70" t="s">
        <v>19</v>
      </c>
      <c r="W562" s="70" t="s">
        <v>19</v>
      </c>
      <c r="X562" s="70" t="s">
        <v>19</v>
      </c>
      <c r="Y562" s="70" t="s">
        <v>19</v>
      </c>
      <c r="Z562" s="70" t="s">
        <v>19</v>
      </c>
      <c r="AA562" s="72" t="s">
        <v>19</v>
      </c>
      <c r="AB562" s="72" t="s">
        <v>19</v>
      </c>
      <c r="AC562" s="72" t="s">
        <v>19</v>
      </c>
      <c r="AD562" s="72" t="s">
        <v>19</v>
      </c>
      <c r="AE562" s="18" t="s">
        <v>19</v>
      </c>
      <c r="AF562" s="18" t="s">
        <v>19</v>
      </c>
      <c r="AG562" s="29" t="s">
        <v>19</v>
      </c>
      <c r="AH562" s="18" t="s">
        <v>19</v>
      </c>
      <c r="AI562" s="18" t="s">
        <v>19</v>
      </c>
      <c r="AJ562" s="18" t="s">
        <v>19</v>
      </c>
      <c r="AK562" s="18" t="s">
        <v>19</v>
      </c>
      <c r="AL562" s="18" t="s">
        <v>19</v>
      </c>
      <c r="AM562" s="18" t="s">
        <v>19</v>
      </c>
      <c r="AN562" s="18" t="s">
        <v>19</v>
      </c>
      <c r="AO562" s="18" t="s">
        <v>19</v>
      </c>
      <c r="AP562" s="18" t="s">
        <v>19</v>
      </c>
      <c r="AQ562" s="18" t="s">
        <v>19</v>
      </c>
      <c r="AR562" s="18" t="s">
        <v>19</v>
      </c>
      <c r="AS562" s="70" t="s">
        <v>19</v>
      </c>
      <c r="AT562" s="72" t="s">
        <v>19</v>
      </c>
      <c r="AU562" s="29" t="s">
        <v>3153</v>
      </c>
      <c r="AV562" s="36" t="s">
        <v>19</v>
      </c>
    </row>
    <row r="563" spans="1:48" ht="88.5" hidden="1" customHeight="1" x14ac:dyDescent="0.3">
      <c r="A563" s="15" t="s">
        <v>25</v>
      </c>
      <c r="B563" s="15" t="s">
        <v>37</v>
      </c>
      <c r="C563" s="15" t="s">
        <v>610</v>
      </c>
      <c r="D563" s="15" t="s">
        <v>19</v>
      </c>
      <c r="E563" s="70" t="s">
        <v>19</v>
      </c>
      <c r="F563" s="70" t="s">
        <v>19</v>
      </c>
      <c r="G563" s="70" t="s">
        <v>19</v>
      </c>
      <c r="H563" s="70" t="s">
        <v>3178</v>
      </c>
      <c r="I563" s="72" t="s">
        <v>19</v>
      </c>
      <c r="J563" s="72" t="s">
        <v>19</v>
      </c>
      <c r="K563" s="72" t="s">
        <v>19</v>
      </c>
      <c r="L563" s="72" t="s">
        <v>19</v>
      </c>
      <c r="M563" s="15" t="s">
        <v>611</v>
      </c>
      <c r="N563" s="15" t="s">
        <v>1572</v>
      </c>
      <c r="O563" s="15"/>
      <c r="P563" s="4" t="s">
        <v>1623</v>
      </c>
      <c r="S563" s="15" t="e" cm="1">
        <f t="array" aca="1" ref="S563" ca="1">COMMONMARKETCOUNT(H563:AV563)</f>
        <v>#NAME?</v>
      </c>
      <c r="T563" s="15" t="e" cm="1">
        <f t="array" aca="1" ref="T563" ca="1">AUTOMATEDCOUNT(H563:AU563)</f>
        <v>#NAME?</v>
      </c>
      <c r="V563" s="70" t="s">
        <v>19</v>
      </c>
      <c r="W563" s="70" t="s">
        <v>19</v>
      </c>
      <c r="X563" s="70" t="s">
        <v>19</v>
      </c>
      <c r="Y563" s="70" t="s">
        <v>19</v>
      </c>
      <c r="Z563" s="70" t="s">
        <v>19</v>
      </c>
      <c r="AA563" s="72" t="s">
        <v>19</v>
      </c>
      <c r="AB563" s="72" t="s">
        <v>19</v>
      </c>
      <c r="AC563" s="72" t="s">
        <v>19</v>
      </c>
      <c r="AD563" s="72" t="s">
        <v>19</v>
      </c>
      <c r="AE563" s="18" t="s">
        <v>19</v>
      </c>
      <c r="AF563" s="18" t="s">
        <v>19</v>
      </c>
      <c r="AG563" s="18" t="s">
        <v>19</v>
      </c>
      <c r="AH563" s="18" t="s">
        <v>19</v>
      </c>
      <c r="AI563" s="18" t="s">
        <v>19</v>
      </c>
      <c r="AJ563" s="18" t="s">
        <v>19</v>
      </c>
      <c r="AK563" s="18" t="s">
        <v>19</v>
      </c>
      <c r="AL563" s="18" t="s">
        <v>19</v>
      </c>
      <c r="AM563" s="18" t="s">
        <v>19</v>
      </c>
      <c r="AN563" s="18" t="s">
        <v>19</v>
      </c>
      <c r="AO563" s="18" t="s">
        <v>19</v>
      </c>
      <c r="AP563" s="18" t="s">
        <v>19</v>
      </c>
      <c r="AQ563" s="18" t="s">
        <v>19</v>
      </c>
      <c r="AR563" s="18" t="s">
        <v>19</v>
      </c>
      <c r="AS563" s="70" t="s">
        <v>19</v>
      </c>
      <c r="AT563" s="72" t="s">
        <v>19</v>
      </c>
      <c r="AU563" s="29" t="s">
        <v>3153</v>
      </c>
      <c r="AV563" s="36" t="s">
        <v>19</v>
      </c>
    </row>
    <row r="564" spans="1:48" ht="90.75" customHeight="1" x14ac:dyDescent="0.3">
      <c r="A564" s="15" t="s">
        <v>25</v>
      </c>
      <c r="B564" s="15" t="s">
        <v>24</v>
      </c>
      <c r="C564" s="15" t="s">
        <v>612</v>
      </c>
      <c r="D564" s="15" t="s">
        <v>19</v>
      </c>
      <c r="E564" s="70" t="s">
        <v>19</v>
      </c>
      <c r="F564" s="70" t="s">
        <v>19</v>
      </c>
      <c r="G564" s="70" t="s">
        <v>19</v>
      </c>
      <c r="H564" s="70" t="s">
        <v>19</v>
      </c>
      <c r="I564" s="72" t="s">
        <v>19</v>
      </c>
      <c r="J564" s="72" t="s">
        <v>19</v>
      </c>
      <c r="K564" s="70" t="s">
        <v>19</v>
      </c>
      <c r="L564" s="70" t="s">
        <v>19</v>
      </c>
      <c r="M564" s="15" t="s">
        <v>613</v>
      </c>
      <c r="N564" s="15" t="s">
        <v>1573</v>
      </c>
      <c r="O564" s="15"/>
      <c r="P564" s="4" t="s">
        <v>1624</v>
      </c>
      <c r="S564" s="15" t="e" cm="1">
        <f t="array" aca="1" ref="S564" ca="1">COMMONMARKETCOUNT(H564:AV564)</f>
        <v>#NAME?</v>
      </c>
      <c r="T564" s="15" t="e" cm="1">
        <f t="array" aca="1" ref="T564" ca="1">AUTOMATEDCOUNT(H564:AU564)</f>
        <v>#NAME?</v>
      </c>
      <c r="V564" s="100" t="s">
        <v>19</v>
      </c>
      <c r="W564" s="70" t="s">
        <v>19</v>
      </c>
      <c r="X564" s="70" t="s">
        <v>19</v>
      </c>
      <c r="Y564" s="70" t="s">
        <v>19</v>
      </c>
      <c r="Z564" s="70" t="s">
        <v>19</v>
      </c>
      <c r="AA564" s="72" t="s">
        <v>19</v>
      </c>
      <c r="AB564" s="72" t="s">
        <v>19</v>
      </c>
      <c r="AC564" s="72" t="s">
        <v>19</v>
      </c>
      <c r="AD564" s="72" t="s">
        <v>19</v>
      </c>
      <c r="AE564" s="18" t="s">
        <v>19</v>
      </c>
      <c r="AF564" s="15" t="s">
        <v>19</v>
      </c>
      <c r="AG564" s="20" t="s">
        <v>19</v>
      </c>
      <c r="AH564" s="15" t="s">
        <v>19</v>
      </c>
      <c r="AI564" s="15" t="s">
        <v>19</v>
      </c>
      <c r="AJ564" s="15" t="s">
        <v>19</v>
      </c>
      <c r="AK564" s="15" t="s">
        <v>19</v>
      </c>
      <c r="AL564" s="15" t="s">
        <v>19</v>
      </c>
      <c r="AM564" s="18" t="s">
        <v>19</v>
      </c>
      <c r="AN564" s="18" t="s">
        <v>19</v>
      </c>
      <c r="AO564" s="18" t="s">
        <v>19</v>
      </c>
      <c r="AP564" s="15" t="s">
        <v>19</v>
      </c>
      <c r="AQ564" s="15" t="s">
        <v>19</v>
      </c>
      <c r="AR564" s="15" t="s">
        <v>19</v>
      </c>
      <c r="AS564" s="70" t="s">
        <v>19</v>
      </c>
      <c r="AT564" s="15" t="s">
        <v>19</v>
      </c>
      <c r="AU564" s="20" t="s">
        <v>3153</v>
      </c>
      <c r="AV564" s="36" t="s">
        <v>19</v>
      </c>
    </row>
    <row r="565" spans="1:48" ht="81.75" customHeight="1" x14ac:dyDescent="0.3">
      <c r="A565" s="15" t="s">
        <v>18</v>
      </c>
      <c r="B565" s="15" t="s">
        <v>24</v>
      </c>
      <c r="C565" s="15" t="s">
        <v>614</v>
      </c>
      <c r="D565" s="15" t="s">
        <v>19</v>
      </c>
      <c r="E565" s="70" t="s">
        <v>19</v>
      </c>
      <c r="F565" s="70" t="s">
        <v>19</v>
      </c>
      <c r="G565" s="70" t="s">
        <v>19</v>
      </c>
      <c r="H565" s="70" t="s">
        <v>19</v>
      </c>
      <c r="I565" s="72" t="s">
        <v>19</v>
      </c>
      <c r="J565" s="72" t="s">
        <v>19</v>
      </c>
      <c r="K565" s="72" t="s">
        <v>19</v>
      </c>
      <c r="L565" s="72" t="s">
        <v>19</v>
      </c>
      <c r="M565" s="15" t="s">
        <v>1767</v>
      </c>
      <c r="N565" s="15" t="s">
        <v>1581</v>
      </c>
      <c r="O565" s="15"/>
      <c r="P565" s="4" t="s">
        <v>1628</v>
      </c>
      <c r="S565" s="15" t="e" cm="1">
        <f t="array" aca="1" ref="S565" ca="1">COMMONMARKETCOUNT(H565:AV565)</f>
        <v>#NAME?</v>
      </c>
      <c r="T565" s="15" t="e" cm="1">
        <f t="array" aca="1" ref="T565" ca="1">AUTOMATEDCOUNT(H565:AU565)</f>
        <v>#NAME?</v>
      </c>
      <c r="V565" s="70" t="s">
        <v>19</v>
      </c>
      <c r="W565" s="70" t="s">
        <v>19</v>
      </c>
      <c r="X565" s="70" t="s">
        <v>19</v>
      </c>
      <c r="Y565" s="70" t="s">
        <v>19</v>
      </c>
      <c r="Z565" s="70" t="s">
        <v>19</v>
      </c>
      <c r="AA565" s="72" t="s">
        <v>19</v>
      </c>
      <c r="AB565" s="72" t="s">
        <v>19</v>
      </c>
      <c r="AC565" s="72" t="s">
        <v>19</v>
      </c>
      <c r="AD565" s="72" t="s">
        <v>19</v>
      </c>
      <c r="AE565" s="18" t="s">
        <v>19</v>
      </c>
      <c r="AF565" s="18" t="s">
        <v>19</v>
      </c>
      <c r="AG565" s="29" t="s">
        <v>19</v>
      </c>
      <c r="AH565" s="18" t="s">
        <v>19</v>
      </c>
      <c r="AI565" s="18" t="s">
        <v>19</v>
      </c>
      <c r="AJ565" s="18" t="s">
        <v>19</v>
      </c>
      <c r="AK565" s="18" t="s">
        <v>19</v>
      </c>
      <c r="AL565" s="18" t="s">
        <v>19</v>
      </c>
      <c r="AM565" s="18" t="s">
        <v>19</v>
      </c>
      <c r="AN565" s="18" t="s">
        <v>19</v>
      </c>
      <c r="AO565" s="18" t="s">
        <v>19</v>
      </c>
      <c r="AP565" s="18" t="s">
        <v>19</v>
      </c>
      <c r="AQ565" s="18" t="s">
        <v>19</v>
      </c>
      <c r="AR565" s="18" t="s">
        <v>19</v>
      </c>
      <c r="AS565" s="70" t="s">
        <v>19</v>
      </c>
      <c r="AT565" s="18" t="s">
        <v>19</v>
      </c>
      <c r="AU565" s="18" t="s">
        <v>3153</v>
      </c>
      <c r="AV565" s="36" t="s">
        <v>19</v>
      </c>
    </row>
    <row r="566" spans="1:48" ht="27.75" hidden="1" customHeight="1" x14ac:dyDescent="0.3">
      <c r="A566" s="118" t="s">
        <v>18</v>
      </c>
      <c r="B566" s="15" t="s">
        <v>239</v>
      </c>
      <c r="C566" s="19" t="s">
        <v>615</v>
      </c>
      <c r="D566" s="15" t="s">
        <v>19</v>
      </c>
      <c r="E566" s="70" t="s">
        <v>19</v>
      </c>
      <c r="F566" s="70" t="s">
        <v>3178</v>
      </c>
      <c r="G566" s="70" t="s">
        <v>19</v>
      </c>
      <c r="H566" s="70" t="s">
        <v>3178</v>
      </c>
      <c r="I566" s="72" t="s">
        <v>19</v>
      </c>
      <c r="J566" s="72" t="s">
        <v>19</v>
      </c>
      <c r="K566" s="18" t="s">
        <v>19</v>
      </c>
      <c r="L566" s="18" t="s">
        <v>19</v>
      </c>
      <c r="M566" s="15" t="s">
        <v>616</v>
      </c>
      <c r="N566" s="15" t="s">
        <v>1260</v>
      </c>
      <c r="O566" s="15"/>
      <c r="P566" s="4" t="s">
        <v>3118</v>
      </c>
      <c r="S566" s="15" t="e" cm="1">
        <f t="array" aca="1" ref="S566" ca="1">COMMONMARKETCOUNT(H566:AV566)</f>
        <v>#NAME?</v>
      </c>
      <c r="T566" s="15" t="e" cm="1">
        <f t="array" aca="1" ref="T566" ca="1">AUTOMATEDCOUNT(H566:AU566)</f>
        <v>#NAME?</v>
      </c>
      <c r="V566" s="15" t="s">
        <v>109</v>
      </c>
      <c r="W566" s="15" t="s">
        <v>109</v>
      </c>
      <c r="X566" s="70" t="s">
        <v>19</v>
      </c>
      <c r="Y566" s="70" t="s">
        <v>19</v>
      </c>
      <c r="Z566" s="70" t="s">
        <v>19</v>
      </c>
      <c r="AA566" s="72" t="s">
        <v>19</v>
      </c>
      <c r="AB566" s="72" t="s">
        <v>19</v>
      </c>
      <c r="AC566" s="72" t="s">
        <v>19</v>
      </c>
      <c r="AD566" s="18" t="s">
        <v>109</v>
      </c>
      <c r="AE566" s="18" t="s">
        <v>109</v>
      </c>
      <c r="AF566" s="15" t="s">
        <v>109</v>
      </c>
      <c r="AG566" s="18" t="s">
        <v>109</v>
      </c>
      <c r="AH566" s="18" t="s">
        <v>109</v>
      </c>
      <c r="AI566" s="18" t="s">
        <v>109</v>
      </c>
      <c r="AJ566" s="18" t="s">
        <v>109</v>
      </c>
      <c r="AK566" s="18" t="s">
        <v>109</v>
      </c>
      <c r="AL566" s="18" t="s">
        <v>109</v>
      </c>
      <c r="AM566" s="18" t="s">
        <v>109</v>
      </c>
      <c r="AN566" s="18" t="s">
        <v>109</v>
      </c>
      <c r="AO566" s="18" t="s">
        <v>109</v>
      </c>
      <c r="AP566" s="18" t="s">
        <v>109</v>
      </c>
      <c r="AQ566" s="18" t="s">
        <v>109</v>
      </c>
      <c r="AR566" s="18" t="s">
        <v>109</v>
      </c>
      <c r="AS566" s="18" t="s">
        <v>109</v>
      </c>
      <c r="AT566" s="18" t="s">
        <v>109</v>
      </c>
      <c r="AU566" s="18" t="s">
        <v>109</v>
      </c>
      <c r="AV566" s="36" t="s">
        <v>109</v>
      </c>
    </row>
    <row r="567" spans="1:48" ht="62.25" hidden="1" customHeight="1" x14ac:dyDescent="0.3">
      <c r="A567" s="15" t="s">
        <v>56</v>
      </c>
      <c r="B567" s="15" t="s">
        <v>239</v>
      </c>
      <c r="C567" s="15" t="s">
        <v>922</v>
      </c>
      <c r="D567" s="15" t="s">
        <v>32</v>
      </c>
      <c r="E567" s="15" t="s">
        <v>109</v>
      </c>
      <c r="F567" s="15" t="s">
        <v>109</v>
      </c>
      <c r="G567" s="15" t="s">
        <v>109</v>
      </c>
      <c r="H567" s="15" t="s">
        <v>109</v>
      </c>
      <c r="I567" s="15" t="s">
        <v>19</v>
      </c>
      <c r="J567" s="15" t="s">
        <v>19</v>
      </c>
      <c r="K567" s="15" t="s">
        <v>19</v>
      </c>
      <c r="L567" s="15" t="s">
        <v>19</v>
      </c>
      <c r="M567" s="15" t="s">
        <v>910</v>
      </c>
      <c r="N567" s="15" t="s">
        <v>1166</v>
      </c>
      <c r="O567" s="33" t="s">
        <v>1645</v>
      </c>
      <c r="P567" s="4">
        <v>0</v>
      </c>
      <c r="S567" s="15" t="e" cm="1">
        <f t="array" aca="1" ref="S567" ca="1">COMMONMARKETCOUNT(H567:AV567)</f>
        <v>#NAME?</v>
      </c>
      <c r="T567" s="15" t="e" cm="1">
        <f t="array" aca="1" ref="T567" ca="1">AUTOMATEDCOUNT(H567:AU567)</f>
        <v>#NAME?</v>
      </c>
      <c r="V567" s="15" t="s">
        <v>109</v>
      </c>
      <c r="W567" s="15" t="s">
        <v>109</v>
      </c>
      <c r="X567" s="15" t="s">
        <v>109</v>
      </c>
      <c r="Y567" s="15" t="s">
        <v>109</v>
      </c>
      <c r="Z567" s="15" t="s">
        <v>109</v>
      </c>
      <c r="AA567" s="15" t="s">
        <v>19</v>
      </c>
      <c r="AB567" s="15" t="s">
        <v>19</v>
      </c>
      <c r="AC567" s="15" t="s">
        <v>19</v>
      </c>
      <c r="AD567" s="18" t="s">
        <v>109</v>
      </c>
      <c r="AE567" s="18" t="s">
        <v>109</v>
      </c>
      <c r="AF567" s="15" t="s">
        <v>109</v>
      </c>
      <c r="AG567" s="15" t="s">
        <v>109</v>
      </c>
      <c r="AH567" s="15" t="s">
        <v>109</v>
      </c>
      <c r="AI567" s="15" t="s">
        <v>109</v>
      </c>
      <c r="AJ567" s="15" t="s">
        <v>109</v>
      </c>
      <c r="AK567" s="15" t="s">
        <v>109</v>
      </c>
      <c r="AL567" s="15" t="s">
        <v>109</v>
      </c>
      <c r="AM567" s="15" t="s">
        <v>109</v>
      </c>
      <c r="AN567" s="15" t="s">
        <v>109</v>
      </c>
      <c r="AO567" s="15" t="s">
        <v>109</v>
      </c>
      <c r="AP567" s="15" t="s">
        <v>109</v>
      </c>
      <c r="AQ567" s="15" t="s">
        <v>109</v>
      </c>
      <c r="AR567" s="15" t="s">
        <v>109</v>
      </c>
      <c r="AS567" s="15" t="s">
        <v>109</v>
      </c>
      <c r="AT567" s="15" t="s">
        <v>109</v>
      </c>
      <c r="AU567" s="15" t="s">
        <v>109</v>
      </c>
      <c r="AV567" s="36" t="s">
        <v>109</v>
      </c>
    </row>
    <row r="568" spans="1:48" ht="27.75" hidden="1" customHeight="1" x14ac:dyDescent="0.3">
      <c r="A568" s="118" t="s">
        <v>18</v>
      </c>
      <c r="B568" s="15" t="s">
        <v>239</v>
      </c>
      <c r="C568" s="19" t="s">
        <v>617</v>
      </c>
      <c r="D568" s="15" t="s">
        <v>19</v>
      </c>
      <c r="E568" s="70" t="s">
        <v>19</v>
      </c>
      <c r="F568" s="70" t="s">
        <v>3178</v>
      </c>
      <c r="G568" s="70" t="s">
        <v>19</v>
      </c>
      <c r="H568" s="70" t="s">
        <v>3178</v>
      </c>
      <c r="I568" s="72" t="s">
        <v>19</v>
      </c>
      <c r="J568" s="72" t="s">
        <v>19</v>
      </c>
      <c r="K568" s="18" t="s">
        <v>19</v>
      </c>
      <c r="L568" s="18" t="s">
        <v>19</v>
      </c>
      <c r="M568" s="15" t="s">
        <v>618</v>
      </c>
      <c r="N568" s="15" t="s">
        <v>1580</v>
      </c>
      <c r="O568" s="15"/>
      <c r="P568" s="4" t="s">
        <v>619</v>
      </c>
      <c r="S568" s="15" t="e" cm="1">
        <f t="array" aca="1" ref="S568" ca="1">COMMONMARKETCOUNT(H568:AV568)</f>
        <v>#NAME?</v>
      </c>
      <c r="T568" s="15" t="e" cm="1">
        <f t="array" aca="1" ref="T568" ca="1">AUTOMATEDCOUNT(H568:AU568)</f>
        <v>#NAME?</v>
      </c>
      <c r="V568" s="15" t="s">
        <v>109</v>
      </c>
      <c r="W568" s="15" t="s">
        <v>109</v>
      </c>
      <c r="X568" s="70" t="s">
        <v>19</v>
      </c>
      <c r="Y568" s="70" t="s">
        <v>19</v>
      </c>
      <c r="Z568" s="70" t="s">
        <v>19</v>
      </c>
      <c r="AA568" s="72" t="s">
        <v>19</v>
      </c>
      <c r="AB568" s="72" t="s">
        <v>19</v>
      </c>
      <c r="AC568" s="72" t="s">
        <v>19</v>
      </c>
      <c r="AD568" s="72" t="s">
        <v>19</v>
      </c>
      <c r="AE568" s="18" t="s">
        <v>19</v>
      </c>
      <c r="AF568" s="15" t="s">
        <v>109</v>
      </c>
      <c r="AG568" s="18" t="s">
        <v>109</v>
      </c>
      <c r="AH568" s="18" t="s">
        <v>109</v>
      </c>
      <c r="AI568" s="18" t="s">
        <v>109</v>
      </c>
      <c r="AJ568" s="18" t="s">
        <v>109</v>
      </c>
      <c r="AK568" s="18" t="s">
        <v>109</v>
      </c>
      <c r="AL568" s="18" t="s">
        <v>109</v>
      </c>
      <c r="AM568" s="18" t="s">
        <v>109</v>
      </c>
      <c r="AN568" s="18" t="s">
        <v>109</v>
      </c>
      <c r="AO568" s="18" t="s">
        <v>109</v>
      </c>
      <c r="AP568" s="18" t="s">
        <v>109</v>
      </c>
      <c r="AQ568" s="18" t="s">
        <v>109</v>
      </c>
      <c r="AR568" s="18" t="s">
        <v>109</v>
      </c>
      <c r="AS568" s="18" t="s">
        <v>109</v>
      </c>
      <c r="AT568" s="18" t="s">
        <v>109</v>
      </c>
      <c r="AU568" s="18" t="s">
        <v>109</v>
      </c>
      <c r="AV568" s="36" t="s">
        <v>109</v>
      </c>
    </row>
    <row r="569" spans="1:48" ht="27.75" hidden="1" customHeight="1" x14ac:dyDescent="0.3">
      <c r="A569" s="15" t="s">
        <v>25</v>
      </c>
      <c r="B569" s="15" t="s">
        <v>239</v>
      </c>
      <c r="C569" s="15" t="s">
        <v>628</v>
      </c>
      <c r="D569" s="15" t="s">
        <v>19</v>
      </c>
      <c r="E569" s="70" t="s">
        <v>19</v>
      </c>
      <c r="F569" s="70" t="s">
        <v>3178</v>
      </c>
      <c r="G569" s="15" t="s">
        <v>109</v>
      </c>
      <c r="H569" s="15" t="s">
        <v>109</v>
      </c>
      <c r="I569" s="72" t="s">
        <v>19</v>
      </c>
      <c r="J569" s="72" t="s">
        <v>19</v>
      </c>
      <c r="K569" s="18" t="s">
        <v>19</v>
      </c>
      <c r="L569" s="18" t="s">
        <v>19</v>
      </c>
      <c r="M569" s="15" t="s">
        <v>2965</v>
      </c>
      <c r="N569" s="15" t="s">
        <v>1262</v>
      </c>
      <c r="O569" s="15"/>
      <c r="P569" s="4" t="s">
        <v>1768</v>
      </c>
      <c r="S569" s="15" t="e" cm="1">
        <f t="array" aca="1" ref="S569" ca="1">COMMONMARKETCOUNT(H569:AV569)</f>
        <v>#NAME?</v>
      </c>
      <c r="T569" s="15" t="e" cm="1">
        <f t="array" aca="1" ref="T569" ca="1">AUTOMATEDCOUNT(H569:AU569)</f>
        <v>#NAME?</v>
      </c>
      <c r="V569" s="15" t="s">
        <v>109</v>
      </c>
      <c r="W569" s="15" t="s">
        <v>109</v>
      </c>
      <c r="X569" s="70" t="s">
        <v>19</v>
      </c>
      <c r="Y569" s="70" t="s">
        <v>19</v>
      </c>
      <c r="Z569" s="70" t="s">
        <v>19</v>
      </c>
      <c r="AA569" s="72" t="s">
        <v>19</v>
      </c>
      <c r="AB569" s="72" t="s">
        <v>19</v>
      </c>
      <c r="AC569" s="72" t="s">
        <v>19</v>
      </c>
      <c r="AD569" s="72" t="s">
        <v>19</v>
      </c>
      <c r="AE569" s="18" t="s">
        <v>19</v>
      </c>
      <c r="AF569" s="15" t="s">
        <v>109</v>
      </c>
      <c r="AG569" s="18" t="s">
        <v>109</v>
      </c>
      <c r="AH569" s="18" t="s">
        <v>109</v>
      </c>
      <c r="AI569" s="18" t="s">
        <v>109</v>
      </c>
      <c r="AJ569" s="18" t="s">
        <v>109</v>
      </c>
      <c r="AK569" s="18" t="s">
        <v>109</v>
      </c>
      <c r="AL569" s="18" t="s">
        <v>109</v>
      </c>
      <c r="AM569" s="18" t="s">
        <v>109</v>
      </c>
      <c r="AN569" s="18" t="s">
        <v>109</v>
      </c>
      <c r="AO569" s="18" t="s">
        <v>109</v>
      </c>
      <c r="AP569" s="18" t="s">
        <v>109</v>
      </c>
      <c r="AQ569" s="18" t="s">
        <v>109</v>
      </c>
      <c r="AR569" s="18" t="s">
        <v>109</v>
      </c>
      <c r="AS569" s="18" t="s">
        <v>109</v>
      </c>
      <c r="AT569" s="18" t="s">
        <v>109</v>
      </c>
      <c r="AU569" s="18" t="s">
        <v>109</v>
      </c>
      <c r="AV569" s="36" t="s">
        <v>109</v>
      </c>
    </row>
    <row r="570" spans="1:48" ht="27.75" hidden="1" customHeight="1" x14ac:dyDescent="0.3">
      <c r="A570" s="15" t="s">
        <v>25</v>
      </c>
      <c r="B570" s="15" t="s">
        <v>239</v>
      </c>
      <c r="C570" s="15" t="s">
        <v>629</v>
      </c>
      <c r="D570" s="15" t="s">
        <v>19</v>
      </c>
      <c r="E570" s="70" t="s">
        <v>19</v>
      </c>
      <c r="F570" s="70" t="s">
        <v>3178</v>
      </c>
      <c r="G570" s="15" t="s">
        <v>109</v>
      </c>
      <c r="H570" s="15" t="s">
        <v>109</v>
      </c>
      <c r="I570" s="72" t="s">
        <v>19</v>
      </c>
      <c r="J570" s="72" t="s">
        <v>19</v>
      </c>
      <c r="K570" s="18" t="s">
        <v>19</v>
      </c>
      <c r="L570" s="18" t="s">
        <v>19</v>
      </c>
      <c r="M570" s="15" t="s">
        <v>2966</v>
      </c>
      <c r="N570" s="15" t="s">
        <v>1637</v>
      </c>
      <c r="O570" s="15"/>
      <c r="P570" s="4" t="s">
        <v>1769</v>
      </c>
      <c r="S570" s="15" t="e" cm="1">
        <f t="array" aca="1" ref="S570" ca="1">COMMONMARKETCOUNT(H570:AV570)</f>
        <v>#NAME?</v>
      </c>
      <c r="T570" s="15" t="e" cm="1">
        <f t="array" aca="1" ref="T570" ca="1">AUTOMATEDCOUNT(H570:AU570)</f>
        <v>#NAME?</v>
      </c>
      <c r="V570" s="15" t="s">
        <v>109</v>
      </c>
      <c r="W570" s="15" t="s">
        <v>109</v>
      </c>
      <c r="X570" s="15" t="s">
        <v>109</v>
      </c>
      <c r="Y570" s="15" t="s">
        <v>109</v>
      </c>
      <c r="Z570" s="70" t="s">
        <v>19</v>
      </c>
      <c r="AA570" s="72" t="s">
        <v>19</v>
      </c>
      <c r="AB570" s="72" t="s">
        <v>19</v>
      </c>
      <c r="AC570" s="72" t="s">
        <v>19</v>
      </c>
      <c r="AD570" s="18" t="s">
        <v>109</v>
      </c>
      <c r="AE570" s="18" t="s">
        <v>109</v>
      </c>
      <c r="AF570" s="15" t="s">
        <v>109</v>
      </c>
      <c r="AG570" s="18" t="s">
        <v>109</v>
      </c>
      <c r="AH570" s="18" t="s">
        <v>109</v>
      </c>
      <c r="AI570" s="18" t="s">
        <v>109</v>
      </c>
      <c r="AJ570" s="18" t="s">
        <v>109</v>
      </c>
      <c r="AK570" s="18" t="s">
        <v>109</v>
      </c>
      <c r="AL570" s="18" t="s">
        <v>109</v>
      </c>
      <c r="AM570" s="18" t="s">
        <v>109</v>
      </c>
      <c r="AN570" s="18" t="s">
        <v>109</v>
      </c>
      <c r="AO570" s="18" t="s">
        <v>109</v>
      </c>
      <c r="AP570" s="18" t="s">
        <v>109</v>
      </c>
      <c r="AQ570" s="18" t="s">
        <v>109</v>
      </c>
      <c r="AR570" s="18" t="s">
        <v>109</v>
      </c>
      <c r="AS570" s="18" t="s">
        <v>109</v>
      </c>
      <c r="AT570" s="18" t="s">
        <v>109</v>
      </c>
      <c r="AU570" s="18" t="s">
        <v>109</v>
      </c>
      <c r="AV570" s="36" t="s">
        <v>109</v>
      </c>
    </row>
    <row r="571" spans="1:48" ht="45" hidden="1" customHeight="1" x14ac:dyDescent="0.3">
      <c r="A571" s="15" t="s">
        <v>25</v>
      </c>
      <c r="B571" s="15" t="s">
        <v>239</v>
      </c>
      <c r="C571" s="15" t="s">
        <v>630</v>
      </c>
      <c r="D571" s="15" t="s">
        <v>19</v>
      </c>
      <c r="E571" s="70" t="s">
        <v>19</v>
      </c>
      <c r="F571" s="70" t="s">
        <v>3178</v>
      </c>
      <c r="G571" s="15" t="s">
        <v>109</v>
      </c>
      <c r="H571" s="15" t="s">
        <v>109</v>
      </c>
      <c r="I571" s="72" t="s">
        <v>19</v>
      </c>
      <c r="J571" s="72" t="s">
        <v>19</v>
      </c>
      <c r="K571" s="18" t="s">
        <v>19</v>
      </c>
      <c r="L571" s="18" t="s">
        <v>19</v>
      </c>
      <c r="M571" s="15" t="s">
        <v>2967</v>
      </c>
      <c r="N571" s="15" t="s">
        <v>1263</v>
      </c>
      <c r="O571" s="15"/>
      <c r="P571" s="4" t="s">
        <v>1770</v>
      </c>
      <c r="S571" s="15" t="e" cm="1">
        <f t="array" aca="1" ref="S571" ca="1">COMMONMARKETCOUNT(H571:AV571)</f>
        <v>#NAME?</v>
      </c>
      <c r="T571" s="15" t="e" cm="1">
        <f t="array" aca="1" ref="T571" ca="1">AUTOMATEDCOUNT(H571:AU571)</f>
        <v>#NAME?</v>
      </c>
      <c r="V571" s="15" t="s">
        <v>109</v>
      </c>
      <c r="W571" s="15" t="s">
        <v>109</v>
      </c>
      <c r="X571" s="70" t="s">
        <v>19</v>
      </c>
      <c r="Y571" s="70" t="s">
        <v>19</v>
      </c>
      <c r="Z571" s="70" t="s">
        <v>19</v>
      </c>
      <c r="AA571" s="72" t="s">
        <v>19</v>
      </c>
      <c r="AB571" s="72" t="s">
        <v>19</v>
      </c>
      <c r="AC571" s="72" t="s">
        <v>19</v>
      </c>
      <c r="AD571" s="18" t="s">
        <v>109</v>
      </c>
      <c r="AE571" s="18" t="s">
        <v>109</v>
      </c>
      <c r="AF571" s="15" t="s">
        <v>109</v>
      </c>
      <c r="AG571" s="18" t="s">
        <v>109</v>
      </c>
      <c r="AH571" s="18" t="s">
        <v>109</v>
      </c>
      <c r="AI571" s="18" t="s">
        <v>109</v>
      </c>
      <c r="AJ571" s="18" t="s">
        <v>109</v>
      </c>
      <c r="AK571" s="18" t="s">
        <v>109</v>
      </c>
      <c r="AL571" s="18" t="s">
        <v>109</v>
      </c>
      <c r="AM571" s="18" t="s">
        <v>109</v>
      </c>
      <c r="AN571" s="18" t="s">
        <v>109</v>
      </c>
      <c r="AO571" s="18" t="s">
        <v>109</v>
      </c>
      <c r="AP571" s="18" t="s">
        <v>109</v>
      </c>
      <c r="AQ571" s="18" t="s">
        <v>109</v>
      </c>
      <c r="AR571" s="18" t="s">
        <v>109</v>
      </c>
      <c r="AS571" s="18" t="s">
        <v>109</v>
      </c>
      <c r="AT571" s="18" t="s">
        <v>109</v>
      </c>
      <c r="AU571" s="18" t="s">
        <v>109</v>
      </c>
      <c r="AV571" s="36" t="s">
        <v>109</v>
      </c>
    </row>
    <row r="572" spans="1:48" ht="58.5" hidden="1" customHeight="1" x14ac:dyDescent="0.3">
      <c r="A572" s="15" t="s">
        <v>25</v>
      </c>
      <c r="B572" s="15" t="s">
        <v>239</v>
      </c>
      <c r="C572" s="15" t="s">
        <v>626</v>
      </c>
      <c r="D572" s="15" t="s">
        <v>32</v>
      </c>
      <c r="E572" s="15" t="s">
        <v>19</v>
      </c>
      <c r="F572" s="15" t="s">
        <v>19</v>
      </c>
      <c r="G572" s="15" t="s">
        <v>109</v>
      </c>
      <c r="H572" s="15" t="s">
        <v>109</v>
      </c>
      <c r="I572" s="18" t="s">
        <v>109</v>
      </c>
      <c r="J572" s="18" t="s">
        <v>109</v>
      </c>
      <c r="K572" s="18" t="s">
        <v>109</v>
      </c>
      <c r="L572" s="18" t="s">
        <v>109</v>
      </c>
      <c r="M572" s="15" t="s">
        <v>627</v>
      </c>
      <c r="N572" s="30" t="s">
        <v>1261</v>
      </c>
      <c r="O572" s="15"/>
      <c r="P572" s="4" t="s">
        <v>3174</v>
      </c>
      <c r="S572" s="15" t="e" cm="1">
        <f t="array" aca="1" ref="S572" ca="1">COMMONMARKETCOUNT(H572:AV572)</f>
        <v>#NAME?</v>
      </c>
      <c r="T572" s="15" t="e" cm="1">
        <f t="array" aca="1" ref="T572" ca="1">AUTOMATEDCOUNT(H572:AU572)</f>
        <v>#NAME?</v>
      </c>
      <c r="V572" s="15" t="s">
        <v>109</v>
      </c>
      <c r="W572" s="15" t="s">
        <v>109</v>
      </c>
      <c r="X572" s="15" t="s">
        <v>19</v>
      </c>
      <c r="Y572" s="15" t="s">
        <v>19</v>
      </c>
      <c r="Z572" s="15" t="s">
        <v>19</v>
      </c>
      <c r="AA572" s="18" t="s">
        <v>109</v>
      </c>
      <c r="AB572" s="18" t="s">
        <v>109</v>
      </c>
      <c r="AC572" s="18" t="s">
        <v>109</v>
      </c>
      <c r="AD572" s="18" t="s">
        <v>19</v>
      </c>
      <c r="AE572" s="18" t="s">
        <v>19</v>
      </c>
      <c r="AF572" s="15" t="s">
        <v>109</v>
      </c>
      <c r="AG572" s="18" t="s">
        <v>109</v>
      </c>
      <c r="AH572" s="18" t="s">
        <v>109</v>
      </c>
      <c r="AI572" s="18" t="s">
        <v>109</v>
      </c>
      <c r="AJ572" s="18" t="s">
        <v>109</v>
      </c>
      <c r="AK572" s="18" t="s">
        <v>109</v>
      </c>
      <c r="AL572" s="18" t="s">
        <v>109</v>
      </c>
      <c r="AM572" s="18" t="s">
        <v>109</v>
      </c>
      <c r="AN572" s="18" t="s">
        <v>109</v>
      </c>
      <c r="AO572" s="18" t="s">
        <v>109</v>
      </c>
      <c r="AP572" s="18" t="s">
        <v>109</v>
      </c>
      <c r="AQ572" s="18" t="s">
        <v>109</v>
      </c>
      <c r="AR572" s="18" t="s">
        <v>109</v>
      </c>
      <c r="AS572" s="18" t="s">
        <v>109</v>
      </c>
      <c r="AT572" s="18" t="s">
        <v>109</v>
      </c>
      <c r="AU572" s="18" t="s">
        <v>109</v>
      </c>
      <c r="AV572" s="36" t="s">
        <v>109</v>
      </c>
    </row>
    <row r="573" spans="1:48" ht="58.5" hidden="1" customHeight="1" x14ac:dyDescent="0.3">
      <c r="A573" s="15" t="s">
        <v>25</v>
      </c>
      <c r="B573" s="15" t="s">
        <v>239</v>
      </c>
      <c r="C573" s="15" t="s">
        <v>631</v>
      </c>
      <c r="D573" s="15" t="s">
        <v>19</v>
      </c>
      <c r="E573" s="70" t="s">
        <v>19</v>
      </c>
      <c r="F573" s="117" t="s">
        <v>3179</v>
      </c>
      <c r="G573" s="15" t="s">
        <v>109</v>
      </c>
      <c r="H573" s="15" t="s">
        <v>109</v>
      </c>
      <c r="I573" s="72" t="s">
        <v>19</v>
      </c>
      <c r="J573" s="72" t="s">
        <v>19</v>
      </c>
      <c r="K573" s="18" t="s">
        <v>19</v>
      </c>
      <c r="L573" s="18" t="s">
        <v>19</v>
      </c>
      <c r="M573" s="15" t="s">
        <v>2968</v>
      </c>
      <c r="N573" s="15" t="s">
        <v>1264</v>
      </c>
      <c r="O573" s="15"/>
      <c r="P573" s="4" t="s">
        <v>3121</v>
      </c>
      <c r="S573" s="15" t="e" cm="1">
        <f t="array" aca="1" ref="S573" ca="1">COMMONMARKETCOUNT(H573:AV573)</f>
        <v>#NAME?</v>
      </c>
      <c r="T573" s="15" t="e" cm="1">
        <f t="array" aca="1" ref="T573" ca="1">AUTOMATEDCOUNT(H573:AU573)</f>
        <v>#NAME?</v>
      </c>
      <c r="V573" s="15" t="s">
        <v>109</v>
      </c>
      <c r="W573" s="15" t="s">
        <v>109</v>
      </c>
      <c r="X573" s="70" t="s">
        <v>19</v>
      </c>
      <c r="Y573" s="70" t="s">
        <v>19</v>
      </c>
      <c r="Z573" s="70" t="s">
        <v>19</v>
      </c>
      <c r="AA573" s="72" t="s">
        <v>19</v>
      </c>
      <c r="AB573" s="72" t="s">
        <v>19</v>
      </c>
      <c r="AC573" s="72" t="s">
        <v>19</v>
      </c>
      <c r="AD573" s="72" t="s">
        <v>19</v>
      </c>
      <c r="AE573" s="18" t="s">
        <v>19</v>
      </c>
      <c r="AF573" s="15" t="s">
        <v>109</v>
      </c>
      <c r="AG573" s="18" t="s">
        <v>109</v>
      </c>
      <c r="AH573" s="18" t="s">
        <v>109</v>
      </c>
      <c r="AI573" s="18" t="s">
        <v>109</v>
      </c>
      <c r="AJ573" s="18" t="s">
        <v>109</v>
      </c>
      <c r="AK573" s="18" t="s">
        <v>109</v>
      </c>
      <c r="AL573" s="18" t="s">
        <v>109</v>
      </c>
      <c r="AM573" s="18" t="s">
        <v>109</v>
      </c>
      <c r="AN573" s="18" t="s">
        <v>109</v>
      </c>
      <c r="AO573" s="18" t="s">
        <v>109</v>
      </c>
      <c r="AP573" s="18" t="s">
        <v>109</v>
      </c>
      <c r="AQ573" s="18" t="s">
        <v>109</v>
      </c>
      <c r="AR573" s="18" t="s">
        <v>109</v>
      </c>
      <c r="AS573" s="18" t="s">
        <v>109</v>
      </c>
      <c r="AT573" s="18" t="s">
        <v>109</v>
      </c>
      <c r="AU573" s="18" t="s">
        <v>109</v>
      </c>
      <c r="AV573" s="36" t="s">
        <v>109</v>
      </c>
    </row>
    <row r="574" spans="1:48" ht="44.25" hidden="1" customHeight="1" x14ac:dyDescent="0.3">
      <c r="A574" s="15" t="s">
        <v>25</v>
      </c>
      <c r="B574" s="15" t="s">
        <v>239</v>
      </c>
      <c r="C574" s="15" t="s">
        <v>632</v>
      </c>
      <c r="D574" s="15" t="s">
        <v>19</v>
      </c>
      <c r="E574" s="70" t="s">
        <v>19</v>
      </c>
      <c r="F574" s="70" t="s">
        <v>3178</v>
      </c>
      <c r="G574" s="15" t="s">
        <v>109</v>
      </c>
      <c r="H574" s="15" t="s">
        <v>109</v>
      </c>
      <c r="I574" s="18" t="s">
        <v>109</v>
      </c>
      <c r="J574" s="18" t="s">
        <v>109</v>
      </c>
      <c r="K574" s="18" t="s">
        <v>109</v>
      </c>
      <c r="L574" s="18" t="s">
        <v>109</v>
      </c>
      <c r="M574" s="15" t="s">
        <v>2969</v>
      </c>
      <c r="N574" s="15" t="s">
        <v>1265</v>
      </c>
      <c r="O574" s="15"/>
      <c r="P574" s="4" t="s">
        <v>633</v>
      </c>
      <c r="S574" s="15" t="e" cm="1">
        <f t="array" aca="1" ref="S574" ca="1">COMMONMARKETCOUNT(H574:AV574)</f>
        <v>#NAME?</v>
      </c>
      <c r="T574" s="15" t="e" cm="1">
        <f t="array" aca="1" ref="T574" ca="1">AUTOMATEDCOUNT(H574:AU574)</f>
        <v>#NAME?</v>
      </c>
      <c r="V574" s="15" t="s">
        <v>109</v>
      </c>
      <c r="W574" s="15" t="s">
        <v>109</v>
      </c>
      <c r="X574" s="70" t="s">
        <v>19</v>
      </c>
      <c r="Y574" s="70" t="s">
        <v>19</v>
      </c>
      <c r="Z574" s="70" t="s">
        <v>19</v>
      </c>
      <c r="AA574" s="18" t="s">
        <v>109</v>
      </c>
      <c r="AB574" s="18" t="s">
        <v>109</v>
      </c>
      <c r="AC574" s="18" t="s">
        <v>109</v>
      </c>
      <c r="AD574" s="18" t="s">
        <v>19</v>
      </c>
      <c r="AE574" s="18" t="s">
        <v>19</v>
      </c>
      <c r="AF574" s="15" t="s">
        <v>109</v>
      </c>
      <c r="AG574" s="18" t="s">
        <v>109</v>
      </c>
      <c r="AH574" s="18" t="s">
        <v>109</v>
      </c>
      <c r="AI574" s="18" t="s">
        <v>109</v>
      </c>
      <c r="AJ574" s="18" t="s">
        <v>109</v>
      </c>
      <c r="AK574" s="18" t="s">
        <v>109</v>
      </c>
      <c r="AL574" s="18" t="s">
        <v>109</v>
      </c>
      <c r="AM574" s="18" t="s">
        <v>109</v>
      </c>
      <c r="AN574" s="18" t="s">
        <v>109</v>
      </c>
      <c r="AO574" s="18" t="s">
        <v>109</v>
      </c>
      <c r="AP574" s="18" t="s">
        <v>109</v>
      </c>
      <c r="AQ574" s="18" t="s">
        <v>109</v>
      </c>
      <c r="AR574" s="18" t="s">
        <v>109</v>
      </c>
      <c r="AS574" s="18" t="s">
        <v>109</v>
      </c>
      <c r="AT574" s="18" t="s">
        <v>109</v>
      </c>
      <c r="AU574" s="18" t="s">
        <v>109</v>
      </c>
      <c r="AV574" s="36" t="s">
        <v>109</v>
      </c>
    </row>
    <row r="575" spans="1:48" ht="53.25" hidden="1" customHeight="1" x14ac:dyDescent="0.3">
      <c r="A575" s="15" t="s">
        <v>25</v>
      </c>
      <c r="B575" s="15" t="s">
        <v>239</v>
      </c>
      <c r="C575" s="19" t="s">
        <v>634</v>
      </c>
      <c r="D575" s="15" t="s">
        <v>19</v>
      </c>
      <c r="E575" s="70" t="s">
        <v>19</v>
      </c>
      <c r="F575" s="70" t="s">
        <v>3178</v>
      </c>
      <c r="G575" s="70" t="s">
        <v>19</v>
      </c>
      <c r="H575" s="70" t="s">
        <v>3178</v>
      </c>
      <c r="I575" s="72" t="s">
        <v>19</v>
      </c>
      <c r="J575" s="72" t="s">
        <v>19</v>
      </c>
      <c r="K575" s="18" t="s">
        <v>19</v>
      </c>
      <c r="L575" s="18" t="s">
        <v>19</v>
      </c>
      <c r="M575" s="15" t="s">
        <v>1843</v>
      </c>
      <c r="N575" s="15" t="s">
        <v>1575</v>
      </c>
      <c r="O575" s="15"/>
      <c r="P575" s="4" t="s">
        <v>1625</v>
      </c>
      <c r="S575" s="15" t="e" cm="1">
        <f t="array" aca="1" ref="S575" ca="1">COMMONMARKETCOUNT(H575:AV575)</f>
        <v>#NAME?</v>
      </c>
      <c r="T575" s="15" t="e" cm="1">
        <f t="array" aca="1" ref="T575" ca="1">AUTOMATEDCOUNT(H575:AU575)</f>
        <v>#NAME?</v>
      </c>
      <c r="V575" s="15" t="s">
        <v>109</v>
      </c>
      <c r="W575" s="15" t="s">
        <v>109</v>
      </c>
      <c r="X575" s="70" t="s">
        <v>19</v>
      </c>
      <c r="Y575" s="70" t="s">
        <v>19</v>
      </c>
      <c r="Z575" s="70" t="s">
        <v>19</v>
      </c>
      <c r="AA575" s="72" t="s">
        <v>19</v>
      </c>
      <c r="AB575" s="72" t="s">
        <v>19</v>
      </c>
      <c r="AC575" s="72" t="s">
        <v>19</v>
      </c>
      <c r="AD575" s="72" t="s">
        <v>19</v>
      </c>
      <c r="AE575" s="18" t="s">
        <v>19</v>
      </c>
      <c r="AF575" s="15" t="s">
        <v>109</v>
      </c>
      <c r="AG575" s="18" t="s">
        <v>109</v>
      </c>
      <c r="AH575" s="18" t="s">
        <v>109</v>
      </c>
      <c r="AI575" s="18" t="s">
        <v>109</v>
      </c>
      <c r="AJ575" s="18" t="s">
        <v>109</v>
      </c>
      <c r="AK575" s="18" t="s">
        <v>109</v>
      </c>
      <c r="AL575" s="18" t="s">
        <v>109</v>
      </c>
      <c r="AM575" s="18" t="s">
        <v>109</v>
      </c>
      <c r="AN575" s="18" t="s">
        <v>109</v>
      </c>
      <c r="AO575" s="18" t="s">
        <v>109</v>
      </c>
      <c r="AP575" s="18" t="s">
        <v>109</v>
      </c>
      <c r="AQ575" s="18" t="s">
        <v>109</v>
      </c>
      <c r="AR575" s="18" t="s">
        <v>109</v>
      </c>
      <c r="AS575" s="18" t="s">
        <v>109</v>
      </c>
      <c r="AT575" s="18" t="s">
        <v>109</v>
      </c>
      <c r="AU575" s="18" t="s">
        <v>109</v>
      </c>
      <c r="AV575" s="36" t="s">
        <v>109</v>
      </c>
    </row>
    <row r="576" spans="1:48" ht="52.5" hidden="1" customHeight="1" x14ac:dyDescent="0.3">
      <c r="A576" s="15" t="s">
        <v>25</v>
      </c>
      <c r="B576" s="15" t="s">
        <v>239</v>
      </c>
      <c r="C576" s="19" t="s">
        <v>635</v>
      </c>
      <c r="D576" s="15" t="s">
        <v>19</v>
      </c>
      <c r="E576" s="70" t="s">
        <v>19</v>
      </c>
      <c r="F576" s="70" t="s">
        <v>3178</v>
      </c>
      <c r="G576" s="70" t="s">
        <v>19</v>
      </c>
      <c r="H576" s="70" t="s">
        <v>3178</v>
      </c>
      <c r="I576" s="72" t="s">
        <v>19</v>
      </c>
      <c r="J576" s="72" t="s">
        <v>19</v>
      </c>
      <c r="K576" s="18" t="s">
        <v>19</v>
      </c>
      <c r="L576" s="18" t="s">
        <v>19</v>
      </c>
      <c r="M576" s="15" t="s">
        <v>1844</v>
      </c>
      <c r="N576" s="15" t="s">
        <v>1576</v>
      </c>
      <c r="O576" s="15"/>
      <c r="P576" s="4" t="s">
        <v>1626</v>
      </c>
      <c r="S576" s="15" t="e" cm="1">
        <f t="array" aca="1" ref="S576" ca="1">COMMONMARKETCOUNT(H576:AV576)</f>
        <v>#NAME?</v>
      </c>
      <c r="T576" s="15" t="e" cm="1">
        <f t="array" aca="1" ref="T576" ca="1">AUTOMATEDCOUNT(H576:AU576)</f>
        <v>#NAME?</v>
      </c>
      <c r="V576" s="15" t="s">
        <v>109</v>
      </c>
      <c r="W576" s="15" t="s">
        <v>109</v>
      </c>
      <c r="X576" s="70" t="s">
        <v>19</v>
      </c>
      <c r="Y576" s="70" t="s">
        <v>19</v>
      </c>
      <c r="Z576" s="70" t="s">
        <v>19</v>
      </c>
      <c r="AA576" s="72" t="s">
        <v>19</v>
      </c>
      <c r="AB576" s="72" t="s">
        <v>19</v>
      </c>
      <c r="AC576" s="72" t="s">
        <v>19</v>
      </c>
      <c r="AD576" s="70" t="s">
        <v>19</v>
      </c>
      <c r="AE576" s="15" t="s">
        <v>19</v>
      </c>
      <c r="AF576" s="15" t="s">
        <v>109</v>
      </c>
      <c r="AG576" s="18" t="s">
        <v>109</v>
      </c>
      <c r="AH576" s="18" t="s">
        <v>109</v>
      </c>
      <c r="AI576" s="18" t="s">
        <v>109</v>
      </c>
      <c r="AJ576" s="18" t="s">
        <v>109</v>
      </c>
      <c r="AK576" s="18" t="s">
        <v>109</v>
      </c>
      <c r="AL576" s="18" t="s">
        <v>109</v>
      </c>
      <c r="AM576" s="18" t="s">
        <v>109</v>
      </c>
      <c r="AN576" s="18" t="s">
        <v>109</v>
      </c>
      <c r="AO576" s="18" t="s">
        <v>109</v>
      </c>
      <c r="AP576" s="18" t="s">
        <v>109</v>
      </c>
      <c r="AQ576" s="18" t="s">
        <v>109</v>
      </c>
      <c r="AR576" s="18" t="s">
        <v>109</v>
      </c>
      <c r="AS576" s="18" t="s">
        <v>109</v>
      </c>
      <c r="AT576" s="18" t="s">
        <v>109</v>
      </c>
      <c r="AU576" s="18" t="s">
        <v>109</v>
      </c>
      <c r="AV576" s="36" t="s">
        <v>109</v>
      </c>
    </row>
    <row r="577" spans="1:264" ht="54" hidden="1" customHeight="1" x14ac:dyDescent="0.3">
      <c r="A577" s="15" t="s">
        <v>25</v>
      </c>
      <c r="B577" s="15" t="s">
        <v>239</v>
      </c>
      <c r="C577" s="19" t="s">
        <v>636</v>
      </c>
      <c r="D577" s="15" t="s">
        <v>19</v>
      </c>
      <c r="E577" s="70" t="s">
        <v>19</v>
      </c>
      <c r="F577" s="70" t="s">
        <v>3178</v>
      </c>
      <c r="G577" s="70" t="s">
        <v>19</v>
      </c>
      <c r="H577" s="119" t="s">
        <v>3184</v>
      </c>
      <c r="I577" s="72" t="s">
        <v>19</v>
      </c>
      <c r="J577" s="72" t="s">
        <v>19</v>
      </c>
      <c r="K577" s="18" t="s">
        <v>19</v>
      </c>
      <c r="L577" s="18" t="s">
        <v>19</v>
      </c>
      <c r="M577" s="15" t="s">
        <v>637</v>
      </c>
      <c r="N577" s="15" t="s">
        <v>1577</v>
      </c>
      <c r="O577" s="15"/>
      <c r="P577" s="4" t="s">
        <v>1831</v>
      </c>
      <c r="S577" s="15" t="e" cm="1">
        <f t="array" aca="1" ref="S577" ca="1">COMMONMARKETCOUNT(H577:AV577)</f>
        <v>#NAME?</v>
      </c>
      <c r="T577" s="15" t="e" cm="1">
        <f t="array" aca="1" ref="T577" ca="1">AUTOMATEDCOUNT(H577:AU577)</f>
        <v>#NAME?</v>
      </c>
      <c r="V577" s="15" t="s">
        <v>109</v>
      </c>
      <c r="W577" s="15" t="s">
        <v>109</v>
      </c>
      <c r="X577" s="70" t="s">
        <v>19</v>
      </c>
      <c r="Y577" s="70" t="s">
        <v>19</v>
      </c>
      <c r="Z577" s="70" t="s">
        <v>19</v>
      </c>
      <c r="AA577" s="72" t="s">
        <v>19</v>
      </c>
      <c r="AB577" s="72" t="s">
        <v>19</v>
      </c>
      <c r="AC577" s="72" t="s">
        <v>19</v>
      </c>
      <c r="AD577" s="70" t="s">
        <v>19</v>
      </c>
      <c r="AE577" s="15" t="s">
        <v>19</v>
      </c>
      <c r="AF577" s="15" t="s">
        <v>109</v>
      </c>
      <c r="AG577" s="18" t="s">
        <v>109</v>
      </c>
      <c r="AH577" s="18" t="s">
        <v>109</v>
      </c>
      <c r="AI577" s="18" t="s">
        <v>109</v>
      </c>
      <c r="AJ577" s="18" t="s">
        <v>109</v>
      </c>
      <c r="AK577" s="18" t="s">
        <v>109</v>
      </c>
      <c r="AL577" s="18" t="s">
        <v>109</v>
      </c>
      <c r="AM577" s="18" t="s">
        <v>109</v>
      </c>
      <c r="AN577" s="18" t="s">
        <v>109</v>
      </c>
      <c r="AO577" s="18" t="s">
        <v>109</v>
      </c>
      <c r="AP577" s="18" t="s">
        <v>109</v>
      </c>
      <c r="AQ577" s="18" t="s">
        <v>109</v>
      </c>
      <c r="AR577" s="18" t="s">
        <v>109</v>
      </c>
      <c r="AS577" s="18" t="s">
        <v>109</v>
      </c>
      <c r="AT577" s="18" t="s">
        <v>109</v>
      </c>
      <c r="AU577" s="18" t="s">
        <v>109</v>
      </c>
      <c r="AV577" s="36" t="s">
        <v>109</v>
      </c>
    </row>
    <row r="578" spans="1:264" ht="54.75" hidden="1" customHeight="1" x14ac:dyDescent="0.3">
      <c r="A578" s="15" t="s">
        <v>25</v>
      </c>
      <c r="B578" s="15" t="s">
        <v>239</v>
      </c>
      <c r="C578" s="19" t="s">
        <v>640</v>
      </c>
      <c r="D578" s="15" t="s">
        <v>19</v>
      </c>
      <c r="E578" s="70" t="s">
        <v>19</v>
      </c>
      <c r="F578" s="70" t="s">
        <v>3178</v>
      </c>
      <c r="G578" s="70" t="s">
        <v>19</v>
      </c>
      <c r="H578" s="70" t="s">
        <v>3178</v>
      </c>
      <c r="I578" s="72" t="s">
        <v>19</v>
      </c>
      <c r="J578" s="72" t="s">
        <v>19</v>
      </c>
      <c r="K578" s="18" t="s">
        <v>19</v>
      </c>
      <c r="L578" s="18" t="s">
        <v>19</v>
      </c>
      <c r="M578" s="15" t="s">
        <v>641</v>
      </c>
      <c r="N578" s="15" t="s">
        <v>1578</v>
      </c>
      <c r="O578" s="15"/>
      <c r="P578" s="4" t="s">
        <v>1830</v>
      </c>
      <c r="S578" s="15" t="e" cm="1">
        <f t="array" aca="1" ref="S578" ca="1">COMMONMARKETCOUNT(H578:AV578)</f>
        <v>#NAME?</v>
      </c>
      <c r="T578" s="15" t="e" cm="1">
        <f t="array" aca="1" ref="T578" ca="1">AUTOMATEDCOUNT(H578:AU578)</f>
        <v>#NAME?</v>
      </c>
      <c r="V578" s="15" t="s">
        <v>109</v>
      </c>
      <c r="W578" s="15" t="s">
        <v>109</v>
      </c>
      <c r="X578" s="70" t="s">
        <v>19</v>
      </c>
      <c r="Y578" s="70" t="s">
        <v>19</v>
      </c>
      <c r="Z578" s="70" t="s">
        <v>19</v>
      </c>
      <c r="AA578" s="72" t="s">
        <v>19</v>
      </c>
      <c r="AB578" s="72" t="s">
        <v>19</v>
      </c>
      <c r="AC578" s="72" t="s">
        <v>19</v>
      </c>
      <c r="AD578" s="72" t="s">
        <v>19</v>
      </c>
      <c r="AE578" s="18" t="s">
        <v>19</v>
      </c>
      <c r="AF578" s="15" t="s">
        <v>109</v>
      </c>
      <c r="AG578" s="18" t="s">
        <v>109</v>
      </c>
      <c r="AH578" s="18" t="s">
        <v>109</v>
      </c>
      <c r="AI578" s="18" t="s">
        <v>109</v>
      </c>
      <c r="AJ578" s="18" t="s">
        <v>109</v>
      </c>
      <c r="AK578" s="18" t="s">
        <v>109</v>
      </c>
      <c r="AL578" s="18" t="s">
        <v>109</v>
      </c>
      <c r="AM578" s="18" t="s">
        <v>109</v>
      </c>
      <c r="AN578" s="18" t="s">
        <v>109</v>
      </c>
      <c r="AO578" s="18" t="s">
        <v>109</v>
      </c>
      <c r="AP578" s="18" t="s">
        <v>109</v>
      </c>
      <c r="AQ578" s="18" t="s">
        <v>109</v>
      </c>
      <c r="AR578" s="18" t="s">
        <v>109</v>
      </c>
      <c r="AS578" s="18" t="s">
        <v>109</v>
      </c>
      <c r="AT578" s="18" t="s">
        <v>109</v>
      </c>
      <c r="AU578" s="18" t="s">
        <v>109</v>
      </c>
      <c r="AV578" s="36" t="s">
        <v>109</v>
      </c>
    </row>
    <row r="579" spans="1:264" ht="61.5" hidden="1" customHeight="1" x14ac:dyDescent="0.3">
      <c r="A579" s="15" t="s">
        <v>25</v>
      </c>
      <c r="B579" s="15" t="s">
        <v>239</v>
      </c>
      <c r="C579" s="15" t="s">
        <v>245</v>
      </c>
      <c r="D579" s="15" t="s">
        <v>19</v>
      </c>
      <c r="E579" s="20" t="s">
        <v>19</v>
      </c>
      <c r="F579" s="117" t="s">
        <v>3179</v>
      </c>
      <c r="G579" s="70" t="s">
        <v>19</v>
      </c>
      <c r="H579" s="119" t="s">
        <v>3184</v>
      </c>
      <c r="I579" s="15" t="s">
        <v>19</v>
      </c>
      <c r="J579" s="15" t="s">
        <v>19</v>
      </c>
      <c r="K579" s="15" t="s">
        <v>19</v>
      </c>
      <c r="L579" s="15" t="s">
        <v>19</v>
      </c>
      <c r="M579" s="15" t="s">
        <v>2899</v>
      </c>
      <c r="N579" s="4" t="s">
        <v>1517</v>
      </c>
      <c r="O579" s="15"/>
      <c r="P579" s="4" t="s">
        <v>1595</v>
      </c>
      <c r="S579" s="15" t="e" cm="1">
        <f t="array" aca="1" ref="S579" ca="1">COMMONMARKETCOUNT(H579:AV579)</f>
        <v>#NAME?</v>
      </c>
      <c r="T579" s="6" t="e" cm="1">
        <f t="array" aca="1" ref="T579" ca="1">AUTOMATEDCOUNT(H579:AV579)</f>
        <v>#NAME?</v>
      </c>
      <c r="V579" s="15" t="s">
        <v>109</v>
      </c>
      <c r="W579" s="15" t="s">
        <v>109</v>
      </c>
      <c r="X579" s="20" t="s">
        <v>19</v>
      </c>
      <c r="Y579" s="20" t="s">
        <v>19</v>
      </c>
      <c r="Z579" s="20" t="s">
        <v>19</v>
      </c>
      <c r="AA579" s="15" t="s">
        <v>19</v>
      </c>
      <c r="AB579" s="15" t="s">
        <v>19</v>
      </c>
      <c r="AC579" s="15" t="s">
        <v>19</v>
      </c>
      <c r="AD579" s="18" t="s">
        <v>109</v>
      </c>
      <c r="AE579" s="18" t="s">
        <v>109</v>
      </c>
      <c r="AF579" s="15" t="s">
        <v>109</v>
      </c>
      <c r="AG579" s="15" t="s">
        <v>109</v>
      </c>
      <c r="AH579" s="15" t="s">
        <v>109</v>
      </c>
      <c r="AI579" s="15" t="s">
        <v>109</v>
      </c>
      <c r="AJ579" s="15" t="s">
        <v>109</v>
      </c>
      <c r="AK579" s="15" t="s">
        <v>109</v>
      </c>
      <c r="AL579" s="15" t="s">
        <v>109</v>
      </c>
      <c r="AM579" s="15" t="s">
        <v>109</v>
      </c>
      <c r="AN579" s="18" t="s">
        <v>109</v>
      </c>
      <c r="AO579" s="18" t="s">
        <v>109</v>
      </c>
      <c r="AP579" s="18" t="s">
        <v>19</v>
      </c>
      <c r="AQ579" s="18" t="s">
        <v>19</v>
      </c>
      <c r="AR579" s="18" t="s">
        <v>19</v>
      </c>
      <c r="AS579" s="18" t="s">
        <v>19</v>
      </c>
      <c r="AT579" s="18" t="s">
        <v>19</v>
      </c>
      <c r="AU579" s="15" t="s">
        <v>109</v>
      </c>
      <c r="AV579" s="36" t="s">
        <v>19</v>
      </c>
    </row>
    <row r="580" spans="1:264" ht="66.75" hidden="1" customHeight="1" x14ac:dyDescent="0.3">
      <c r="A580" s="15" t="s">
        <v>2286</v>
      </c>
      <c r="B580" s="15" t="s">
        <v>239</v>
      </c>
      <c r="C580" s="15" t="s">
        <v>407</v>
      </c>
      <c r="D580" s="15" t="s">
        <v>19</v>
      </c>
      <c r="E580" s="18" t="s">
        <v>109</v>
      </c>
      <c r="F580" s="18" t="s">
        <v>109</v>
      </c>
      <c r="G580" s="18" t="s">
        <v>109</v>
      </c>
      <c r="H580" s="18" t="s">
        <v>109</v>
      </c>
      <c r="I580" s="72" t="s">
        <v>19</v>
      </c>
      <c r="J580" s="72" t="s">
        <v>19</v>
      </c>
      <c r="K580" s="29" t="s">
        <v>19</v>
      </c>
      <c r="L580" s="29" t="s">
        <v>19</v>
      </c>
      <c r="M580" s="15" t="s">
        <v>408</v>
      </c>
      <c r="N580" s="4" t="s">
        <v>1199</v>
      </c>
      <c r="O580" s="15"/>
      <c r="P580" s="4" t="s">
        <v>3030</v>
      </c>
      <c r="S580" s="15" t="e" cm="1">
        <f t="array" aca="1" ref="S580" ca="1">COMMONMARKETCOUNT(H580:AV580)</f>
        <v>#NAME?</v>
      </c>
      <c r="T580" s="6" t="e" cm="1">
        <f t="array" aca="1" ref="T580" ca="1">AUTOMATEDCOUNT(H580:AV580)</f>
        <v>#NAME?</v>
      </c>
      <c r="V580" s="18" t="s">
        <v>109</v>
      </c>
      <c r="W580" s="18" t="s">
        <v>109</v>
      </c>
      <c r="X580" s="18" t="s">
        <v>109</v>
      </c>
      <c r="Y580" s="18" t="s">
        <v>109</v>
      </c>
      <c r="Z580" s="18" t="s">
        <v>109</v>
      </c>
      <c r="AA580" s="72" t="s">
        <v>19</v>
      </c>
      <c r="AB580" s="72" t="s">
        <v>19</v>
      </c>
      <c r="AC580" s="72" t="s">
        <v>19</v>
      </c>
      <c r="AD580" s="72" t="s">
        <v>19</v>
      </c>
      <c r="AE580" s="18" t="s">
        <v>19</v>
      </c>
      <c r="AF580" s="15" t="s">
        <v>109</v>
      </c>
      <c r="AG580" s="18" t="s">
        <v>109</v>
      </c>
      <c r="AH580" s="18" t="s">
        <v>109</v>
      </c>
      <c r="AI580" s="18" t="s">
        <v>109</v>
      </c>
      <c r="AJ580" s="18" t="s">
        <v>109</v>
      </c>
      <c r="AK580" s="18" t="s">
        <v>109</v>
      </c>
      <c r="AL580" s="18" t="s">
        <v>109</v>
      </c>
      <c r="AM580" s="18" t="s">
        <v>109</v>
      </c>
      <c r="AN580" s="18" t="s">
        <v>109</v>
      </c>
      <c r="AO580" s="18" t="s">
        <v>109</v>
      </c>
      <c r="AP580" s="18" t="s">
        <v>109</v>
      </c>
      <c r="AQ580" s="18" t="s">
        <v>109</v>
      </c>
      <c r="AR580" s="18" t="s">
        <v>109</v>
      </c>
      <c r="AS580" s="18" t="s">
        <v>109</v>
      </c>
      <c r="AT580" s="18" t="s">
        <v>109</v>
      </c>
      <c r="AU580" s="18" t="s">
        <v>109</v>
      </c>
      <c r="AV580" s="36" t="s">
        <v>109</v>
      </c>
      <c r="AW580" s="5"/>
      <c r="AX580" s="5"/>
      <c r="AY580" s="5"/>
      <c r="AZ580" s="5"/>
      <c r="BA580" s="5"/>
      <c r="BB580" s="5"/>
      <c r="BC580" s="5"/>
      <c r="BD580" s="5"/>
      <c r="BE580" s="5"/>
      <c r="BF580" s="5"/>
      <c r="BG580" s="5"/>
      <c r="BH580" s="5"/>
      <c r="BI580" s="5"/>
      <c r="BJ580" s="5"/>
      <c r="BK580" s="5"/>
      <c r="BL580" s="5"/>
      <c r="BM580" s="5"/>
      <c r="BN580" s="5"/>
      <c r="BO580" s="5"/>
      <c r="BP580" s="5"/>
      <c r="BQ580" s="5"/>
      <c r="BR580" s="5"/>
      <c r="BS580" s="5"/>
      <c r="BT580" s="5"/>
      <c r="BU580" s="5"/>
      <c r="BV580" s="5"/>
      <c r="BW580" s="5"/>
      <c r="BX580" s="5"/>
      <c r="BY580" s="5"/>
      <c r="BZ580" s="5"/>
      <c r="CA580" s="5"/>
      <c r="CB580" s="5"/>
      <c r="CC580" s="5"/>
      <c r="CD580" s="5"/>
      <c r="CE580" s="5"/>
      <c r="CF580" s="5"/>
      <c r="CG580" s="5"/>
      <c r="CH580" s="5"/>
      <c r="CI580" s="5"/>
      <c r="CJ580" s="5"/>
      <c r="CK580" s="5"/>
      <c r="CL580" s="5"/>
      <c r="CM580" s="5"/>
      <c r="CN580" s="5"/>
      <c r="CO580" s="5"/>
      <c r="CP580" s="5"/>
      <c r="CQ580" s="5"/>
      <c r="CR580" s="5"/>
      <c r="CS580" s="5"/>
      <c r="CT580" s="5"/>
      <c r="CU580" s="5"/>
      <c r="CV580" s="5"/>
      <c r="CW580" s="5"/>
      <c r="CX580" s="5"/>
      <c r="CY580" s="5"/>
      <c r="CZ580" s="5"/>
      <c r="DA580" s="5"/>
      <c r="DB580" s="5"/>
      <c r="DC580" s="5"/>
      <c r="DD580" s="5"/>
      <c r="DE580" s="5"/>
      <c r="DF580" s="5"/>
      <c r="DG580" s="5"/>
      <c r="DH580" s="5"/>
      <c r="DI580" s="5"/>
      <c r="DJ580" s="5"/>
      <c r="DK580" s="5"/>
      <c r="DL580" s="5"/>
      <c r="DM580" s="5"/>
      <c r="DN580" s="5"/>
      <c r="DO580" s="5"/>
      <c r="DP580" s="5"/>
      <c r="DQ580" s="5"/>
      <c r="DR580" s="5"/>
      <c r="DS580" s="5"/>
      <c r="DT580" s="5"/>
      <c r="DU580" s="5"/>
      <c r="DV580" s="5"/>
      <c r="DW580" s="5"/>
      <c r="DX580" s="5"/>
      <c r="DY580" s="5"/>
      <c r="DZ580" s="5"/>
      <c r="EA580" s="5"/>
      <c r="EB580" s="5"/>
      <c r="EC580" s="5"/>
      <c r="ED580" s="5"/>
      <c r="EE580" s="5"/>
      <c r="EF580" s="5"/>
      <c r="EG580" s="5"/>
      <c r="EH580" s="5"/>
      <c r="EI580" s="5"/>
      <c r="EJ580" s="5"/>
      <c r="EK580" s="5"/>
      <c r="EL580" s="5"/>
      <c r="EM580" s="5"/>
      <c r="EN580" s="5"/>
      <c r="EO580" s="5"/>
      <c r="EP580" s="5"/>
      <c r="EQ580" s="5"/>
      <c r="ER580" s="5"/>
      <c r="ES580" s="5"/>
      <c r="ET580" s="5"/>
      <c r="EU580" s="5"/>
      <c r="EV580" s="5"/>
      <c r="EW580" s="5"/>
      <c r="EX580" s="5"/>
      <c r="EY580" s="5"/>
      <c r="EZ580" s="5"/>
      <c r="FA580" s="5"/>
      <c r="FB580" s="5"/>
      <c r="FC580" s="5"/>
      <c r="FD580" s="5"/>
      <c r="FE580" s="5"/>
      <c r="FF580" s="5"/>
      <c r="FG580" s="5"/>
      <c r="FH580" s="5"/>
      <c r="FI580" s="5"/>
      <c r="FJ580" s="5"/>
      <c r="FK580" s="5"/>
      <c r="FL580" s="5"/>
      <c r="FM580" s="5"/>
      <c r="FN580" s="5"/>
      <c r="FO580" s="5"/>
      <c r="FP580" s="5"/>
      <c r="FQ580" s="5"/>
      <c r="FR580" s="5"/>
      <c r="FS580" s="5"/>
      <c r="FT580" s="5"/>
      <c r="FU580" s="5"/>
      <c r="FV580" s="5"/>
      <c r="FW580" s="5"/>
      <c r="FX580" s="5"/>
      <c r="FY580" s="5"/>
      <c r="FZ580" s="5"/>
      <c r="GA580" s="5"/>
      <c r="GB580" s="5"/>
      <c r="GC580" s="5"/>
      <c r="GD580" s="5"/>
      <c r="GE580" s="5"/>
      <c r="GF580" s="5"/>
      <c r="GG580" s="5"/>
      <c r="GH580" s="5"/>
      <c r="GI580" s="5"/>
      <c r="GJ580" s="5"/>
      <c r="GK580" s="5"/>
      <c r="GL580" s="5"/>
      <c r="GM580" s="5"/>
      <c r="GN580" s="5"/>
      <c r="GO580" s="5"/>
      <c r="GP580" s="5"/>
      <c r="GQ580" s="5"/>
      <c r="GR580" s="5"/>
      <c r="GS580" s="5"/>
      <c r="GT580" s="5"/>
      <c r="GU580" s="5"/>
      <c r="GV580" s="5"/>
      <c r="GW580" s="5"/>
      <c r="GX580" s="5"/>
      <c r="GY580" s="5"/>
      <c r="GZ580" s="5"/>
      <c r="HA580" s="5"/>
      <c r="HB580" s="5"/>
      <c r="HC580" s="5"/>
      <c r="HD580" s="5"/>
      <c r="HE580" s="5"/>
      <c r="HF580" s="5"/>
      <c r="HG580" s="5"/>
      <c r="HH580" s="5"/>
      <c r="HI580" s="5"/>
      <c r="HJ580" s="5"/>
      <c r="HK580" s="5"/>
      <c r="HL580" s="5"/>
      <c r="HM580" s="5"/>
      <c r="HN580" s="5"/>
      <c r="HO580" s="5"/>
      <c r="HP580" s="5"/>
      <c r="HQ580" s="5"/>
      <c r="HR580" s="5"/>
      <c r="HS580" s="5"/>
      <c r="HT580" s="5"/>
      <c r="HU580" s="5"/>
      <c r="HV580" s="5"/>
      <c r="HW580" s="5"/>
      <c r="HX580" s="5"/>
      <c r="HY580" s="5"/>
      <c r="HZ580" s="5"/>
      <c r="IA580" s="5"/>
      <c r="IB580" s="5"/>
      <c r="IC580" s="5"/>
      <c r="ID580" s="5"/>
      <c r="IE580" s="5"/>
      <c r="IF580" s="5"/>
      <c r="IG580" s="5"/>
      <c r="IH580" s="5"/>
      <c r="II580" s="5"/>
      <c r="IJ580" s="5"/>
      <c r="IK580" s="5"/>
      <c r="IL580" s="5"/>
      <c r="IM580" s="5"/>
      <c r="IN580" s="5"/>
      <c r="IO580" s="5"/>
      <c r="IP580" s="5"/>
      <c r="IQ580" s="5"/>
      <c r="IR580" s="5"/>
      <c r="IS580" s="5"/>
      <c r="IT580" s="5"/>
      <c r="IU580" s="5"/>
      <c r="IV580" s="5"/>
      <c r="IW580" s="5"/>
      <c r="IX580" s="5"/>
      <c r="IY580" s="5"/>
      <c r="IZ580" s="5"/>
      <c r="JA580" s="5"/>
      <c r="JB580" s="5"/>
      <c r="JC580" s="5"/>
      <c r="JD580" s="5"/>
    </row>
    <row r="581" spans="1:264" ht="68.25" hidden="1" customHeight="1" x14ac:dyDescent="0.3">
      <c r="A581" s="118" t="s">
        <v>56</v>
      </c>
      <c r="B581" s="118" t="s">
        <v>55</v>
      </c>
      <c r="C581" s="103" t="s">
        <v>638</v>
      </c>
      <c r="D581" s="15" t="s">
        <v>19</v>
      </c>
      <c r="E581" s="70" t="s">
        <v>19</v>
      </c>
      <c r="F581" s="20" t="s">
        <v>3183</v>
      </c>
      <c r="G581" s="15" t="s">
        <v>19</v>
      </c>
      <c r="H581" s="119" t="s">
        <v>3184</v>
      </c>
      <c r="I581" s="72" t="s">
        <v>19</v>
      </c>
      <c r="J581" s="72" t="s">
        <v>19</v>
      </c>
      <c r="K581" s="18" t="s">
        <v>19</v>
      </c>
      <c r="L581" s="18" t="s">
        <v>19</v>
      </c>
      <c r="M581" s="15" t="s">
        <v>639</v>
      </c>
      <c r="N581" s="15" t="s">
        <v>1579</v>
      </c>
      <c r="O581" s="15"/>
      <c r="P581" s="4" t="s">
        <v>1629</v>
      </c>
      <c r="S581" s="15" t="e" cm="1">
        <f t="array" aca="1" ref="S581" ca="1">COMMONMARKETCOUNT(H581:AV581)</f>
        <v>#NAME?</v>
      </c>
      <c r="T581" s="15" t="e" cm="1">
        <f t="array" aca="1" ref="T581" ca="1">AUTOMATEDCOUNT(H581:AU581)</f>
        <v>#NAME?</v>
      </c>
      <c r="V581" s="15" t="s">
        <v>109</v>
      </c>
      <c r="W581" s="15" t="s">
        <v>109</v>
      </c>
      <c r="X581" s="70" t="s">
        <v>19</v>
      </c>
      <c r="Y581" s="70" t="s">
        <v>19</v>
      </c>
      <c r="Z581" s="70" t="s">
        <v>19</v>
      </c>
      <c r="AA581" s="72" t="s">
        <v>19</v>
      </c>
      <c r="AB581" s="72" t="s">
        <v>19</v>
      </c>
      <c r="AC581" s="72" t="s">
        <v>19</v>
      </c>
      <c r="AD581" s="70" t="s">
        <v>19</v>
      </c>
      <c r="AE581" s="15" t="s">
        <v>19</v>
      </c>
      <c r="AF581" s="18" t="s">
        <v>19</v>
      </c>
      <c r="AG581" s="18" t="s">
        <v>109</v>
      </c>
      <c r="AH581" s="18" t="s">
        <v>109</v>
      </c>
      <c r="AI581" s="18" t="s">
        <v>109</v>
      </c>
      <c r="AJ581" s="18" t="s">
        <v>109</v>
      </c>
      <c r="AK581" s="18" t="s">
        <v>109</v>
      </c>
      <c r="AL581" s="18" t="s">
        <v>109</v>
      </c>
      <c r="AM581" s="18" t="s">
        <v>109</v>
      </c>
      <c r="AN581" s="18" t="s">
        <v>109</v>
      </c>
      <c r="AO581" s="18" t="s">
        <v>109</v>
      </c>
      <c r="AP581" s="18" t="s">
        <v>109</v>
      </c>
      <c r="AQ581" s="18" t="s">
        <v>109</v>
      </c>
      <c r="AR581" s="18" t="s">
        <v>109</v>
      </c>
      <c r="AS581" s="18" t="s">
        <v>109</v>
      </c>
      <c r="AT581" s="18" t="s">
        <v>109</v>
      </c>
      <c r="AU581" s="18" t="s">
        <v>109</v>
      </c>
      <c r="AV581" s="36" t="s">
        <v>109</v>
      </c>
    </row>
    <row r="582" spans="1:264" ht="79.349999999999994" hidden="1" customHeight="1" x14ac:dyDescent="0.3">
      <c r="A582" s="6" t="s">
        <v>25</v>
      </c>
      <c r="B582" s="6" t="s">
        <v>239</v>
      </c>
      <c r="C582" s="15" t="s">
        <v>2612</v>
      </c>
      <c r="D582" s="6" t="s">
        <v>109</v>
      </c>
      <c r="E582" s="6" t="s">
        <v>19</v>
      </c>
      <c r="F582" s="6" t="s">
        <v>19</v>
      </c>
      <c r="G582" s="6" t="s">
        <v>19</v>
      </c>
      <c r="H582" s="6" t="s">
        <v>19</v>
      </c>
      <c r="I582" s="6" t="s">
        <v>19</v>
      </c>
      <c r="J582" s="6" t="s">
        <v>19</v>
      </c>
      <c r="K582" s="6" t="s">
        <v>19</v>
      </c>
      <c r="L582" s="6" t="s">
        <v>19</v>
      </c>
      <c r="M582" s="15" t="s">
        <v>2613</v>
      </c>
      <c r="N582" s="4" t="s">
        <v>2614</v>
      </c>
      <c r="O582" s="15" t="s">
        <v>2540</v>
      </c>
      <c r="P582" s="4" t="s">
        <v>2615</v>
      </c>
      <c r="S582" s="15" t="e" cm="1">
        <f t="array" aca="1" ref="S582" ca="1">COMMONMARKETCOUNT(H582:AV582)</f>
        <v>#NAME?</v>
      </c>
      <c r="T582" s="6" t="e" cm="1">
        <f t="array" aca="1" ref="T582" ca="1">AUTOMATEDCOUNT(H582:AV582)</f>
        <v>#NAME?</v>
      </c>
      <c r="V582" s="6" t="s">
        <v>19</v>
      </c>
      <c r="W582" s="6" t="s">
        <v>19</v>
      </c>
      <c r="X582" s="6" t="s">
        <v>19</v>
      </c>
      <c r="Y582" s="6" t="s">
        <v>19</v>
      </c>
      <c r="Z582" s="6" t="s">
        <v>19</v>
      </c>
      <c r="AA582" s="6" t="s">
        <v>19</v>
      </c>
      <c r="AB582" s="6" t="s">
        <v>19</v>
      </c>
      <c r="AC582" s="6" t="s">
        <v>19</v>
      </c>
      <c r="AD582" s="6" t="s">
        <v>19</v>
      </c>
      <c r="AE582" s="6" t="s">
        <v>19</v>
      </c>
      <c r="AF582" s="6" t="s">
        <v>19</v>
      </c>
      <c r="AG582" s="6" t="s">
        <v>19</v>
      </c>
      <c r="AH582" s="6" t="s">
        <v>19</v>
      </c>
      <c r="AI582" s="6" t="s">
        <v>19</v>
      </c>
      <c r="AJ582" s="6" t="s">
        <v>19</v>
      </c>
      <c r="AK582" s="6" t="s">
        <v>19</v>
      </c>
      <c r="AL582" s="6" t="s">
        <v>19</v>
      </c>
      <c r="AM582" s="6" t="s">
        <v>19</v>
      </c>
      <c r="AN582" s="6" t="s">
        <v>19</v>
      </c>
      <c r="AO582" s="6" t="s">
        <v>19</v>
      </c>
      <c r="AP582" s="6" t="s">
        <v>19</v>
      </c>
      <c r="AQ582" s="6" t="s">
        <v>19</v>
      </c>
      <c r="AR582" s="6" t="s">
        <v>19</v>
      </c>
      <c r="AS582" s="6" t="s">
        <v>19</v>
      </c>
      <c r="AT582" s="6" t="s">
        <v>19</v>
      </c>
      <c r="AU582" s="6" t="s">
        <v>109</v>
      </c>
      <c r="AV582" s="36"/>
    </row>
    <row r="583" spans="1:264" ht="91.35" hidden="1" customHeight="1" x14ac:dyDescent="0.3">
      <c r="A583" s="118" t="s">
        <v>18</v>
      </c>
      <c r="B583" s="15" t="s">
        <v>239</v>
      </c>
      <c r="C583" s="15" t="s">
        <v>642</v>
      </c>
      <c r="D583" s="15" t="s">
        <v>19</v>
      </c>
      <c r="E583" s="20" t="s">
        <v>19</v>
      </c>
      <c r="F583" s="70" t="s">
        <v>3178</v>
      </c>
      <c r="G583" s="15" t="s">
        <v>109</v>
      </c>
      <c r="H583" s="15" t="s">
        <v>109</v>
      </c>
      <c r="I583" s="18" t="s">
        <v>109</v>
      </c>
      <c r="J583" s="18" t="s">
        <v>109</v>
      </c>
      <c r="K583" s="18" t="s">
        <v>109</v>
      </c>
      <c r="L583" s="18" t="s">
        <v>109</v>
      </c>
      <c r="M583" s="15" t="s">
        <v>1771</v>
      </c>
      <c r="N583" s="15" t="s">
        <v>1266</v>
      </c>
      <c r="O583" s="15"/>
      <c r="P583" s="4" t="s">
        <v>1829</v>
      </c>
      <c r="S583" s="15" t="e" cm="1">
        <f t="array" aca="1" ref="S583" ca="1">COMMONMARKETCOUNT(H583:AV583)</f>
        <v>#NAME?</v>
      </c>
      <c r="T583" s="15" t="e" cm="1">
        <f t="array" aca="1" ref="T583" ca="1">AUTOMATEDCOUNT(H583:AU583)</f>
        <v>#NAME?</v>
      </c>
      <c r="V583" s="15" t="s">
        <v>109</v>
      </c>
      <c r="W583" s="15" t="s">
        <v>109</v>
      </c>
      <c r="X583" s="20" t="s">
        <v>19</v>
      </c>
      <c r="Y583" s="20" t="s">
        <v>19</v>
      </c>
      <c r="Z583" s="20" t="s">
        <v>19</v>
      </c>
      <c r="AA583" s="18" t="s">
        <v>109</v>
      </c>
      <c r="AB583" s="18" t="s">
        <v>109</v>
      </c>
      <c r="AC583" s="18" t="s">
        <v>109</v>
      </c>
      <c r="AD583" s="15" t="s">
        <v>109</v>
      </c>
      <c r="AE583" s="15" t="s">
        <v>109</v>
      </c>
      <c r="AF583" s="15" t="s">
        <v>109</v>
      </c>
      <c r="AG583" s="18" t="s">
        <v>109</v>
      </c>
      <c r="AH583" s="18" t="s">
        <v>109</v>
      </c>
      <c r="AI583" s="18" t="s">
        <v>109</v>
      </c>
      <c r="AJ583" s="18" t="s">
        <v>109</v>
      </c>
      <c r="AK583" s="18" t="s">
        <v>109</v>
      </c>
      <c r="AL583" s="18" t="s">
        <v>109</v>
      </c>
      <c r="AM583" s="18" t="s">
        <v>109</v>
      </c>
      <c r="AN583" s="18" t="s">
        <v>109</v>
      </c>
      <c r="AO583" s="18" t="s">
        <v>109</v>
      </c>
      <c r="AP583" s="18" t="s">
        <v>109</v>
      </c>
      <c r="AQ583" s="18" t="s">
        <v>109</v>
      </c>
      <c r="AR583" s="18" t="s">
        <v>109</v>
      </c>
      <c r="AS583" s="18" t="s">
        <v>109</v>
      </c>
      <c r="AT583" s="18" t="s">
        <v>109</v>
      </c>
      <c r="AU583" s="18" t="s">
        <v>109</v>
      </c>
      <c r="AV583" s="36" t="s">
        <v>109</v>
      </c>
    </row>
    <row r="584" spans="1:264" ht="96.6" hidden="1" customHeight="1" x14ac:dyDescent="0.3">
      <c r="A584" s="118" t="s">
        <v>18</v>
      </c>
      <c r="B584" s="15" t="s">
        <v>239</v>
      </c>
      <c r="C584" s="15" t="s">
        <v>643</v>
      </c>
      <c r="D584" s="15" t="s">
        <v>19</v>
      </c>
      <c r="E584" s="20" t="s">
        <v>19</v>
      </c>
      <c r="F584" s="70" t="s">
        <v>3178</v>
      </c>
      <c r="G584" s="15" t="s">
        <v>109</v>
      </c>
      <c r="H584" s="15" t="s">
        <v>109</v>
      </c>
      <c r="I584" s="18" t="s">
        <v>109</v>
      </c>
      <c r="J584" s="18" t="s">
        <v>109</v>
      </c>
      <c r="K584" s="18" t="s">
        <v>109</v>
      </c>
      <c r="L584" s="18" t="s">
        <v>109</v>
      </c>
      <c r="M584" s="15" t="s">
        <v>2970</v>
      </c>
      <c r="N584" s="15" t="s">
        <v>1267</v>
      </c>
      <c r="O584" s="15"/>
      <c r="P584" s="4" t="s">
        <v>644</v>
      </c>
      <c r="S584" s="15" t="e" cm="1">
        <f t="array" aca="1" ref="S584" ca="1">COMMONMARKETCOUNT(H584:AV584)</f>
        <v>#NAME?</v>
      </c>
      <c r="T584" s="15" t="e" cm="1">
        <f t="array" aca="1" ref="T584" ca="1">AUTOMATEDCOUNT(H584:AU584)</f>
        <v>#NAME?</v>
      </c>
      <c r="V584" s="15" t="s">
        <v>109</v>
      </c>
      <c r="W584" s="15" t="s">
        <v>109</v>
      </c>
      <c r="X584" s="20" t="s">
        <v>19</v>
      </c>
      <c r="Y584" s="20" t="s">
        <v>19</v>
      </c>
      <c r="Z584" s="20" t="s">
        <v>19</v>
      </c>
      <c r="AA584" s="18" t="s">
        <v>109</v>
      </c>
      <c r="AB584" s="18" t="s">
        <v>109</v>
      </c>
      <c r="AC584" s="18" t="s">
        <v>109</v>
      </c>
      <c r="AD584" s="18" t="s">
        <v>19</v>
      </c>
      <c r="AE584" s="18" t="s">
        <v>19</v>
      </c>
      <c r="AF584" s="15" t="s">
        <v>109</v>
      </c>
      <c r="AG584" s="18" t="s">
        <v>109</v>
      </c>
      <c r="AH584" s="18" t="s">
        <v>109</v>
      </c>
      <c r="AI584" s="18" t="s">
        <v>109</v>
      </c>
      <c r="AJ584" s="18" t="s">
        <v>109</v>
      </c>
      <c r="AK584" s="18" t="s">
        <v>109</v>
      </c>
      <c r="AL584" s="18" t="s">
        <v>109</v>
      </c>
      <c r="AM584" s="18" t="s">
        <v>109</v>
      </c>
      <c r="AN584" s="18" t="s">
        <v>109</v>
      </c>
      <c r="AO584" s="18" t="s">
        <v>109</v>
      </c>
      <c r="AP584" s="18" t="s">
        <v>109</v>
      </c>
      <c r="AQ584" s="18" t="s">
        <v>109</v>
      </c>
      <c r="AR584" s="18" t="s">
        <v>109</v>
      </c>
      <c r="AS584" s="18" t="s">
        <v>109</v>
      </c>
      <c r="AT584" s="18" t="s">
        <v>109</v>
      </c>
      <c r="AU584" s="18" t="s">
        <v>109</v>
      </c>
      <c r="AV584" s="36" t="s">
        <v>109</v>
      </c>
    </row>
    <row r="585" spans="1:264" ht="102" hidden="1" customHeight="1" x14ac:dyDescent="0.3">
      <c r="A585" s="15" t="s">
        <v>18</v>
      </c>
      <c r="B585" s="15" t="s">
        <v>64</v>
      </c>
      <c r="C585" s="15" t="s">
        <v>645</v>
      </c>
      <c r="D585" s="15" t="s">
        <v>19</v>
      </c>
      <c r="E585" s="70" t="s">
        <v>19</v>
      </c>
      <c r="F585" s="70" t="s">
        <v>19</v>
      </c>
      <c r="G585" s="15" t="s">
        <v>109</v>
      </c>
      <c r="H585" s="15" t="s">
        <v>109</v>
      </c>
      <c r="I585" s="18" t="s">
        <v>109</v>
      </c>
      <c r="J585" s="18" t="s">
        <v>109</v>
      </c>
      <c r="K585" s="18" t="s">
        <v>109</v>
      </c>
      <c r="L585" s="18" t="s">
        <v>109</v>
      </c>
      <c r="M585" s="15" t="s">
        <v>2971</v>
      </c>
      <c r="N585" s="15" t="s">
        <v>1268</v>
      </c>
      <c r="O585" s="15"/>
      <c r="P585" s="4" t="s">
        <v>646</v>
      </c>
      <c r="S585" s="15" t="e" cm="1">
        <f t="array" aca="1" ref="S585" ca="1">COMMONMARKETCOUNT(H585:AV585)</f>
        <v>#NAME?</v>
      </c>
      <c r="T585" s="15" t="e" cm="1">
        <f t="array" aca="1" ref="T585" ca="1">AUTOMATEDCOUNT(H585:AU585)</f>
        <v>#NAME?</v>
      </c>
      <c r="V585" s="15" t="s">
        <v>109</v>
      </c>
      <c r="W585" s="15" t="s">
        <v>109</v>
      </c>
      <c r="X585" s="70" t="s">
        <v>19</v>
      </c>
      <c r="Y585" s="70" t="s">
        <v>19</v>
      </c>
      <c r="Z585" s="70" t="s">
        <v>19</v>
      </c>
      <c r="AA585" s="18" t="s">
        <v>109</v>
      </c>
      <c r="AB585" s="18" t="s">
        <v>109</v>
      </c>
      <c r="AC585" s="18" t="s">
        <v>109</v>
      </c>
      <c r="AD585" s="18" t="s">
        <v>19</v>
      </c>
      <c r="AE585" s="18" t="s">
        <v>19</v>
      </c>
      <c r="AF585" s="18" t="s">
        <v>109</v>
      </c>
      <c r="AG585" s="18" t="s">
        <v>109</v>
      </c>
      <c r="AH585" s="18" t="s">
        <v>109</v>
      </c>
      <c r="AI585" s="18" t="s">
        <v>109</v>
      </c>
      <c r="AJ585" s="18" t="s">
        <v>109</v>
      </c>
      <c r="AK585" s="18" t="s">
        <v>109</v>
      </c>
      <c r="AL585" s="18" t="s">
        <v>109</v>
      </c>
      <c r="AM585" s="18" t="s">
        <v>109</v>
      </c>
      <c r="AN585" s="18" t="s">
        <v>109</v>
      </c>
      <c r="AO585" s="18" t="s">
        <v>109</v>
      </c>
      <c r="AP585" s="18" t="s">
        <v>109</v>
      </c>
      <c r="AQ585" s="18" t="s">
        <v>109</v>
      </c>
      <c r="AR585" s="18" t="s">
        <v>109</v>
      </c>
      <c r="AS585" s="18" t="s">
        <v>109</v>
      </c>
      <c r="AT585" s="18" t="s">
        <v>109</v>
      </c>
      <c r="AU585" s="18" t="s">
        <v>109</v>
      </c>
      <c r="AV585" s="36" t="s">
        <v>109</v>
      </c>
      <c r="AW585" s="5"/>
      <c r="AX585" s="5"/>
      <c r="AY585" s="5"/>
      <c r="AZ585" s="5"/>
      <c r="BA585" s="5"/>
      <c r="BB585" s="5"/>
      <c r="BC585" s="5"/>
      <c r="BD585" s="5"/>
      <c r="BE585" s="5"/>
      <c r="BF585" s="5"/>
      <c r="BG585" s="5"/>
      <c r="BH585" s="5"/>
      <c r="BI585" s="5"/>
      <c r="BJ585" s="5"/>
      <c r="BK585" s="5"/>
      <c r="BL585" s="5"/>
      <c r="BM585" s="5"/>
      <c r="BN585" s="5"/>
      <c r="BO585" s="5"/>
      <c r="BP585" s="5"/>
      <c r="BQ585" s="5"/>
      <c r="BR585" s="5"/>
      <c r="BS585" s="5"/>
      <c r="BT585" s="5"/>
      <c r="BU585" s="5"/>
      <c r="BV585" s="5"/>
      <c r="BW585" s="5"/>
      <c r="BX585" s="5"/>
      <c r="BY585" s="5"/>
      <c r="BZ585" s="5"/>
      <c r="CA585" s="5"/>
      <c r="CB585" s="5"/>
      <c r="CC585" s="5"/>
      <c r="CD585" s="5"/>
      <c r="CE585" s="5"/>
      <c r="CF585" s="5"/>
      <c r="CG585" s="5"/>
      <c r="CH585" s="5"/>
      <c r="CI585" s="5"/>
      <c r="CJ585" s="5"/>
      <c r="CK585" s="5"/>
      <c r="CL585" s="5"/>
      <c r="CM585" s="5"/>
      <c r="CN585" s="5"/>
      <c r="CO585" s="5"/>
      <c r="CP585" s="5"/>
      <c r="CQ585" s="5"/>
      <c r="CR585" s="5"/>
      <c r="CS585" s="5"/>
      <c r="CT585" s="5"/>
      <c r="CU585" s="5"/>
      <c r="CV585" s="5"/>
      <c r="CW585" s="5"/>
      <c r="CX585" s="5"/>
      <c r="CY585" s="5"/>
      <c r="CZ585" s="5"/>
      <c r="DA585" s="5"/>
      <c r="DB585" s="5"/>
      <c r="DC585" s="5"/>
      <c r="DD585" s="5"/>
      <c r="DE585" s="5"/>
      <c r="DF585" s="5"/>
      <c r="DG585" s="5"/>
      <c r="DH585" s="5"/>
      <c r="DI585" s="5"/>
      <c r="DJ585" s="5"/>
      <c r="DK585" s="5"/>
      <c r="DL585" s="5"/>
      <c r="DM585" s="5"/>
      <c r="DN585" s="5"/>
      <c r="DO585" s="5"/>
      <c r="DP585" s="5"/>
      <c r="DQ585" s="5"/>
      <c r="DR585" s="5"/>
      <c r="DS585" s="5"/>
      <c r="DT585" s="5"/>
      <c r="DU585" s="5"/>
      <c r="DV585" s="5"/>
      <c r="DW585" s="5"/>
      <c r="DX585" s="5"/>
      <c r="DY585" s="5"/>
      <c r="DZ585" s="5"/>
      <c r="EA585" s="5"/>
      <c r="EB585" s="5"/>
      <c r="EC585" s="5"/>
      <c r="ED585" s="5"/>
      <c r="EE585" s="5"/>
      <c r="EF585" s="5"/>
      <c r="EG585" s="5"/>
      <c r="EH585" s="5"/>
      <c r="EI585" s="5"/>
      <c r="EJ585" s="5"/>
      <c r="EK585" s="5"/>
      <c r="EL585" s="5"/>
      <c r="EM585" s="5"/>
      <c r="EN585" s="5"/>
      <c r="EO585" s="5"/>
      <c r="EP585" s="5"/>
      <c r="EQ585" s="5"/>
      <c r="ER585" s="5"/>
      <c r="ES585" s="5"/>
      <c r="ET585" s="5"/>
      <c r="EU585" s="5"/>
      <c r="EV585" s="5"/>
      <c r="EW585" s="5"/>
      <c r="EX585" s="5"/>
      <c r="EY585" s="5"/>
      <c r="EZ585" s="5"/>
      <c r="FA585" s="5"/>
      <c r="FB585" s="5"/>
      <c r="FC585" s="5"/>
      <c r="FD585" s="5"/>
      <c r="FE585" s="5"/>
      <c r="FF585" s="5"/>
      <c r="FG585" s="5"/>
      <c r="FH585" s="5"/>
      <c r="FI585" s="5"/>
      <c r="FJ585" s="5"/>
      <c r="FK585" s="5"/>
      <c r="FL585" s="5"/>
      <c r="FM585" s="5"/>
      <c r="FN585" s="5"/>
      <c r="FO585" s="5"/>
      <c r="FP585" s="5"/>
      <c r="FQ585" s="5"/>
      <c r="FR585" s="5"/>
      <c r="FS585" s="5"/>
      <c r="FT585" s="5"/>
      <c r="FU585" s="5"/>
      <c r="FV585" s="5"/>
      <c r="FW585" s="5"/>
      <c r="FX585" s="5"/>
      <c r="FY585" s="5"/>
      <c r="FZ585" s="5"/>
      <c r="GA585" s="5"/>
      <c r="GB585" s="5"/>
      <c r="GC585" s="5"/>
      <c r="GD585" s="5"/>
      <c r="GE585" s="5"/>
      <c r="GF585" s="5"/>
      <c r="GG585" s="5"/>
      <c r="GH585" s="5"/>
      <c r="GI585" s="5"/>
      <c r="GJ585" s="5"/>
      <c r="GK585" s="5"/>
      <c r="GL585" s="5"/>
      <c r="GM585" s="5"/>
      <c r="GN585" s="5"/>
      <c r="GO585" s="5"/>
      <c r="GP585" s="5"/>
      <c r="GQ585" s="5"/>
      <c r="GR585" s="5"/>
      <c r="GS585" s="5"/>
      <c r="GT585" s="5"/>
      <c r="GU585" s="5"/>
      <c r="GV585" s="5"/>
      <c r="GW585" s="5"/>
      <c r="GX585" s="5"/>
      <c r="GY585" s="5"/>
      <c r="GZ585" s="5"/>
      <c r="HA585" s="5"/>
      <c r="HB585" s="5"/>
      <c r="HC585" s="5"/>
      <c r="HD585" s="5"/>
      <c r="HE585" s="5"/>
      <c r="HF585" s="5"/>
      <c r="HG585" s="5"/>
      <c r="HH585" s="5"/>
      <c r="HI585" s="5"/>
      <c r="HJ585" s="5"/>
      <c r="HK585" s="5"/>
      <c r="HL585" s="5"/>
      <c r="HM585" s="5"/>
      <c r="HN585" s="5"/>
      <c r="HO585" s="5"/>
      <c r="HP585" s="5"/>
      <c r="HQ585" s="5"/>
      <c r="HR585" s="5"/>
      <c r="HS585" s="5"/>
      <c r="HT585" s="5"/>
      <c r="HU585" s="5"/>
      <c r="HV585" s="5"/>
      <c r="HW585" s="5"/>
      <c r="HX585" s="5"/>
      <c r="HY585" s="5"/>
      <c r="HZ585" s="5"/>
      <c r="IA585" s="5"/>
      <c r="IB585" s="5"/>
      <c r="IC585" s="5"/>
      <c r="ID585" s="5"/>
      <c r="IE585" s="5"/>
      <c r="IF585" s="5"/>
      <c r="IG585" s="5"/>
      <c r="IH585" s="5"/>
      <c r="II585" s="5"/>
      <c r="IJ585" s="5"/>
      <c r="IK585" s="5"/>
      <c r="IL585" s="5"/>
      <c r="IM585" s="5"/>
      <c r="IN585" s="5"/>
      <c r="IO585" s="5"/>
      <c r="IP585" s="5"/>
      <c r="IQ585" s="5"/>
      <c r="IR585" s="5"/>
      <c r="IS585" s="5"/>
      <c r="IT585" s="5"/>
      <c r="IU585" s="5"/>
      <c r="IV585" s="5"/>
      <c r="IW585" s="5"/>
      <c r="IX585" s="5"/>
      <c r="IY585" s="5"/>
      <c r="IZ585" s="5"/>
      <c r="JA585" s="5"/>
      <c r="JB585" s="5"/>
      <c r="JC585" s="5"/>
      <c r="JD585" s="5"/>
    </row>
    <row r="586" spans="1:264" ht="106.5" hidden="1" customHeight="1" x14ac:dyDescent="0.3">
      <c r="A586" s="15" t="s">
        <v>25</v>
      </c>
      <c r="B586" s="15" t="s">
        <v>64</v>
      </c>
      <c r="C586" s="15" t="s">
        <v>647</v>
      </c>
      <c r="D586" s="15" t="s">
        <v>19</v>
      </c>
      <c r="E586" s="70" t="s">
        <v>19</v>
      </c>
      <c r="F586" s="70" t="s">
        <v>19</v>
      </c>
      <c r="G586" s="15" t="s">
        <v>109</v>
      </c>
      <c r="H586" s="15" t="s">
        <v>109</v>
      </c>
      <c r="I586" s="18" t="s">
        <v>109</v>
      </c>
      <c r="J586" s="18" t="s">
        <v>109</v>
      </c>
      <c r="K586" s="18" t="s">
        <v>109</v>
      </c>
      <c r="L586" s="18" t="s">
        <v>109</v>
      </c>
      <c r="M586" s="15" t="s">
        <v>2972</v>
      </c>
      <c r="N586" s="15" t="s">
        <v>1269</v>
      </c>
      <c r="O586" s="15"/>
      <c r="P586" s="4" t="s">
        <v>648</v>
      </c>
      <c r="S586" s="15" t="e" cm="1">
        <f t="array" aca="1" ref="S586" ca="1">COMMONMARKETCOUNT(H586:AV586)</f>
        <v>#NAME?</v>
      </c>
      <c r="T586" s="15" t="e" cm="1">
        <f t="array" aca="1" ref="T586" ca="1">AUTOMATEDCOUNT(H586:AU586)</f>
        <v>#NAME?</v>
      </c>
      <c r="V586" s="15" t="s">
        <v>109</v>
      </c>
      <c r="W586" s="15" t="s">
        <v>109</v>
      </c>
      <c r="X586" s="70" t="s">
        <v>19</v>
      </c>
      <c r="Y586" s="70" t="s">
        <v>19</v>
      </c>
      <c r="Z586" s="70" t="s">
        <v>19</v>
      </c>
      <c r="AA586" s="18" t="s">
        <v>109</v>
      </c>
      <c r="AB586" s="18" t="s">
        <v>109</v>
      </c>
      <c r="AC586" s="18" t="s">
        <v>109</v>
      </c>
      <c r="AD586" s="15" t="s">
        <v>109</v>
      </c>
      <c r="AE586" s="15" t="s">
        <v>109</v>
      </c>
      <c r="AF586" s="18" t="s">
        <v>109</v>
      </c>
      <c r="AG586" s="18" t="s">
        <v>109</v>
      </c>
      <c r="AH586" s="18" t="s">
        <v>109</v>
      </c>
      <c r="AI586" s="18" t="s">
        <v>109</v>
      </c>
      <c r="AJ586" s="18" t="s">
        <v>109</v>
      </c>
      <c r="AK586" s="18" t="s">
        <v>109</v>
      </c>
      <c r="AL586" s="18" t="s">
        <v>109</v>
      </c>
      <c r="AM586" s="18" t="s">
        <v>109</v>
      </c>
      <c r="AN586" s="18" t="s">
        <v>109</v>
      </c>
      <c r="AO586" s="18" t="s">
        <v>109</v>
      </c>
      <c r="AP586" s="18" t="s">
        <v>109</v>
      </c>
      <c r="AQ586" s="18" t="s">
        <v>109</v>
      </c>
      <c r="AR586" s="18" t="s">
        <v>109</v>
      </c>
      <c r="AS586" s="18" t="s">
        <v>109</v>
      </c>
      <c r="AT586" s="18" t="s">
        <v>109</v>
      </c>
      <c r="AU586" s="18" t="s">
        <v>109</v>
      </c>
      <c r="AV586" s="36" t="s">
        <v>109</v>
      </c>
    </row>
    <row r="587" spans="1:264" ht="78" hidden="1" customHeight="1" x14ac:dyDescent="0.3">
      <c r="A587" s="15" t="s">
        <v>25</v>
      </c>
      <c r="B587" s="15" t="s">
        <v>64</v>
      </c>
      <c r="C587" s="15" t="s">
        <v>649</v>
      </c>
      <c r="D587" s="15" t="s">
        <v>19</v>
      </c>
      <c r="E587" s="70" t="s">
        <v>19</v>
      </c>
      <c r="F587" s="70" t="s">
        <v>19</v>
      </c>
      <c r="G587" s="15" t="s">
        <v>109</v>
      </c>
      <c r="H587" s="15" t="s">
        <v>109</v>
      </c>
      <c r="I587" s="18" t="s">
        <v>109</v>
      </c>
      <c r="J587" s="18" t="s">
        <v>109</v>
      </c>
      <c r="K587" s="18" t="s">
        <v>109</v>
      </c>
      <c r="L587" s="18" t="s">
        <v>109</v>
      </c>
      <c r="M587" s="15" t="s">
        <v>2973</v>
      </c>
      <c r="N587" s="15" t="s">
        <v>1270</v>
      </c>
      <c r="O587" s="15"/>
      <c r="P587" s="4" t="s">
        <v>650</v>
      </c>
      <c r="S587" s="15" t="e" cm="1">
        <f t="array" aca="1" ref="S587" ca="1">COMMONMARKETCOUNT(H587:AV587)</f>
        <v>#NAME?</v>
      </c>
      <c r="T587" s="15" t="e" cm="1">
        <f t="array" aca="1" ref="T587" ca="1">AUTOMATEDCOUNT(H587:AU587)</f>
        <v>#NAME?</v>
      </c>
      <c r="V587" s="15" t="s">
        <v>109</v>
      </c>
      <c r="W587" s="15" t="s">
        <v>109</v>
      </c>
      <c r="X587" s="70" t="s">
        <v>19</v>
      </c>
      <c r="Y587" s="70" t="s">
        <v>19</v>
      </c>
      <c r="Z587" s="70" t="s">
        <v>19</v>
      </c>
      <c r="AA587" s="18" t="s">
        <v>109</v>
      </c>
      <c r="AB587" s="18" t="s">
        <v>109</v>
      </c>
      <c r="AC587" s="18" t="s">
        <v>109</v>
      </c>
      <c r="AD587" s="18" t="s">
        <v>19</v>
      </c>
      <c r="AE587" s="18" t="s">
        <v>19</v>
      </c>
      <c r="AF587" s="18" t="s">
        <v>109</v>
      </c>
      <c r="AG587" s="18" t="s">
        <v>109</v>
      </c>
      <c r="AH587" s="18" t="s">
        <v>109</v>
      </c>
      <c r="AI587" s="18" t="s">
        <v>109</v>
      </c>
      <c r="AJ587" s="18" t="s">
        <v>109</v>
      </c>
      <c r="AK587" s="18" t="s">
        <v>109</v>
      </c>
      <c r="AL587" s="18" t="s">
        <v>109</v>
      </c>
      <c r="AM587" s="18" t="s">
        <v>109</v>
      </c>
      <c r="AN587" s="18" t="s">
        <v>109</v>
      </c>
      <c r="AO587" s="18" t="s">
        <v>109</v>
      </c>
      <c r="AP587" s="18" t="s">
        <v>109</v>
      </c>
      <c r="AQ587" s="18" t="s">
        <v>109</v>
      </c>
      <c r="AR587" s="18" t="s">
        <v>109</v>
      </c>
      <c r="AS587" s="18" t="s">
        <v>109</v>
      </c>
      <c r="AT587" s="18" t="s">
        <v>109</v>
      </c>
      <c r="AU587" s="18" t="s">
        <v>109</v>
      </c>
      <c r="AV587" s="36" t="s">
        <v>109</v>
      </c>
    </row>
    <row r="588" spans="1:264" ht="69" hidden="1" customHeight="1" x14ac:dyDescent="0.3">
      <c r="A588" s="15" t="s">
        <v>25</v>
      </c>
      <c r="B588" s="15" t="s">
        <v>64</v>
      </c>
      <c r="C588" s="15" t="s">
        <v>651</v>
      </c>
      <c r="D588" s="15" t="s">
        <v>19</v>
      </c>
      <c r="E588" s="70" t="s">
        <v>19</v>
      </c>
      <c r="F588" s="70" t="s">
        <v>19</v>
      </c>
      <c r="G588" s="15" t="s">
        <v>109</v>
      </c>
      <c r="H588" s="15" t="s">
        <v>109</v>
      </c>
      <c r="I588" s="18" t="s">
        <v>109</v>
      </c>
      <c r="J588" s="18" t="s">
        <v>109</v>
      </c>
      <c r="K588" s="18" t="s">
        <v>109</v>
      </c>
      <c r="L588" s="18" t="s">
        <v>109</v>
      </c>
      <c r="M588" s="15" t="s">
        <v>2974</v>
      </c>
      <c r="N588" s="15" t="s">
        <v>1271</v>
      </c>
      <c r="O588" s="15"/>
      <c r="P588" s="4" t="s">
        <v>652</v>
      </c>
      <c r="S588" s="15" t="e" cm="1">
        <f t="array" aca="1" ref="S588" ca="1">COMMONMARKETCOUNT(H588:AV588)</f>
        <v>#NAME?</v>
      </c>
      <c r="T588" s="15" t="e" cm="1">
        <f t="array" aca="1" ref="T588" ca="1">AUTOMATEDCOUNT(H588:AU588)</f>
        <v>#NAME?</v>
      </c>
      <c r="V588" s="15" t="s">
        <v>109</v>
      </c>
      <c r="W588" s="15" t="s">
        <v>109</v>
      </c>
      <c r="X588" s="70" t="s">
        <v>19</v>
      </c>
      <c r="Y588" s="70" t="s">
        <v>19</v>
      </c>
      <c r="Z588" s="70" t="s">
        <v>19</v>
      </c>
      <c r="AA588" s="18" t="s">
        <v>109</v>
      </c>
      <c r="AB588" s="18" t="s">
        <v>109</v>
      </c>
      <c r="AC588" s="18" t="s">
        <v>109</v>
      </c>
      <c r="AD588" s="18" t="s">
        <v>109</v>
      </c>
      <c r="AE588" s="18" t="s">
        <v>109</v>
      </c>
      <c r="AF588" s="18" t="s">
        <v>109</v>
      </c>
      <c r="AG588" s="18" t="s">
        <v>109</v>
      </c>
      <c r="AH588" s="18" t="s">
        <v>109</v>
      </c>
      <c r="AI588" s="18" t="s">
        <v>109</v>
      </c>
      <c r="AJ588" s="18" t="s">
        <v>109</v>
      </c>
      <c r="AK588" s="18" t="s">
        <v>109</v>
      </c>
      <c r="AL588" s="18" t="s">
        <v>109</v>
      </c>
      <c r="AM588" s="18" t="s">
        <v>109</v>
      </c>
      <c r="AN588" s="18" t="s">
        <v>109</v>
      </c>
      <c r="AO588" s="18" t="s">
        <v>109</v>
      </c>
      <c r="AP588" s="18" t="s">
        <v>109</v>
      </c>
      <c r="AQ588" s="18" t="s">
        <v>109</v>
      </c>
      <c r="AR588" s="18" t="s">
        <v>109</v>
      </c>
      <c r="AS588" s="18" t="s">
        <v>109</v>
      </c>
      <c r="AT588" s="18" t="s">
        <v>109</v>
      </c>
      <c r="AU588" s="18" t="s">
        <v>109</v>
      </c>
      <c r="AV588" s="36" t="s">
        <v>109</v>
      </c>
    </row>
    <row r="589" spans="1:264" ht="57.75" hidden="1" customHeight="1" x14ac:dyDescent="0.3">
      <c r="A589" s="15" t="s">
        <v>25</v>
      </c>
      <c r="B589" s="15" t="s">
        <v>64</v>
      </c>
      <c r="C589" s="15" t="s">
        <v>653</v>
      </c>
      <c r="D589" s="15" t="s">
        <v>19</v>
      </c>
      <c r="E589" s="70" t="s">
        <v>19</v>
      </c>
      <c r="F589" s="70" t="s">
        <v>19</v>
      </c>
      <c r="G589" s="15" t="s">
        <v>109</v>
      </c>
      <c r="H589" s="15" t="s">
        <v>109</v>
      </c>
      <c r="I589" s="18" t="s">
        <v>109</v>
      </c>
      <c r="J589" s="18" t="s">
        <v>109</v>
      </c>
      <c r="K589" s="18" t="s">
        <v>109</v>
      </c>
      <c r="L589" s="18" t="s">
        <v>109</v>
      </c>
      <c r="M589" s="15" t="s">
        <v>2975</v>
      </c>
      <c r="N589" s="15" t="s">
        <v>1579</v>
      </c>
      <c r="O589" s="15"/>
      <c r="P589" s="4" t="s">
        <v>1772</v>
      </c>
      <c r="S589" s="15" t="e" cm="1">
        <f t="array" aca="1" ref="S589" ca="1">COMMONMARKETCOUNT(H589:AV589)</f>
        <v>#NAME?</v>
      </c>
      <c r="T589" s="15" t="e" cm="1">
        <f t="array" aca="1" ref="T589" ca="1">AUTOMATEDCOUNT(H589:AU589)</f>
        <v>#NAME?</v>
      </c>
      <c r="V589" s="15" t="s">
        <v>109</v>
      </c>
      <c r="W589" s="15" t="s">
        <v>109</v>
      </c>
      <c r="X589" s="70" t="s">
        <v>19</v>
      </c>
      <c r="Y589" s="70" t="s">
        <v>19</v>
      </c>
      <c r="Z589" s="70" t="s">
        <v>19</v>
      </c>
      <c r="AA589" s="18" t="s">
        <v>109</v>
      </c>
      <c r="AB589" s="18" t="s">
        <v>109</v>
      </c>
      <c r="AC589" s="18" t="s">
        <v>109</v>
      </c>
      <c r="AD589" s="18" t="s">
        <v>109</v>
      </c>
      <c r="AE589" s="18" t="s">
        <v>109</v>
      </c>
      <c r="AF589" s="18" t="s">
        <v>109</v>
      </c>
      <c r="AG589" s="18" t="s">
        <v>109</v>
      </c>
      <c r="AH589" s="18" t="s">
        <v>109</v>
      </c>
      <c r="AI589" s="18" t="s">
        <v>109</v>
      </c>
      <c r="AJ589" s="18" t="s">
        <v>109</v>
      </c>
      <c r="AK589" s="18" t="s">
        <v>109</v>
      </c>
      <c r="AL589" s="18" t="s">
        <v>109</v>
      </c>
      <c r="AM589" s="18" t="s">
        <v>109</v>
      </c>
      <c r="AN589" s="18" t="s">
        <v>109</v>
      </c>
      <c r="AO589" s="18" t="s">
        <v>109</v>
      </c>
      <c r="AP589" s="18" t="s">
        <v>109</v>
      </c>
      <c r="AQ589" s="18" t="s">
        <v>109</v>
      </c>
      <c r="AR589" s="18" t="s">
        <v>109</v>
      </c>
      <c r="AS589" s="18" t="s">
        <v>109</v>
      </c>
      <c r="AT589" s="18" t="s">
        <v>109</v>
      </c>
      <c r="AU589" s="18" t="s">
        <v>109</v>
      </c>
      <c r="AV589" s="36" t="s">
        <v>109</v>
      </c>
    </row>
    <row r="590" spans="1:264" ht="66.75" hidden="1" customHeight="1" x14ac:dyDescent="0.3">
      <c r="A590" s="15" t="s">
        <v>25</v>
      </c>
      <c r="B590" s="15" t="s">
        <v>239</v>
      </c>
      <c r="C590" s="15" t="s">
        <v>654</v>
      </c>
      <c r="D590" s="15" t="s">
        <v>32</v>
      </c>
      <c r="E590" s="15" t="s">
        <v>109</v>
      </c>
      <c r="F590" s="15" t="s">
        <v>109</v>
      </c>
      <c r="G590" s="15" t="s">
        <v>109</v>
      </c>
      <c r="H590" s="15" t="s">
        <v>109</v>
      </c>
      <c r="I590" s="18" t="s">
        <v>109</v>
      </c>
      <c r="J590" s="18" t="s">
        <v>109</v>
      </c>
      <c r="K590" s="18" t="s">
        <v>109</v>
      </c>
      <c r="L590" s="18" t="s">
        <v>109</v>
      </c>
      <c r="M590" s="15" t="s">
        <v>2976</v>
      </c>
      <c r="N590" s="30" t="s">
        <v>1578</v>
      </c>
      <c r="O590" s="15"/>
      <c r="P590" s="4" t="s">
        <v>655</v>
      </c>
      <c r="S590" s="15" t="e" cm="1">
        <f t="array" aca="1" ref="S590" ca="1">COMMONMARKETCOUNT(H590:AV590)</f>
        <v>#NAME?</v>
      </c>
      <c r="T590" s="15" t="e" cm="1">
        <f t="array" aca="1" ref="T590" ca="1">AUTOMATEDCOUNT(H590:AU590)</f>
        <v>#NAME?</v>
      </c>
      <c r="V590" s="15" t="s">
        <v>109</v>
      </c>
      <c r="W590" s="15" t="s">
        <v>109</v>
      </c>
      <c r="X590" s="15" t="s">
        <v>109</v>
      </c>
      <c r="Y590" s="15" t="s">
        <v>109</v>
      </c>
      <c r="Z590" s="15" t="s">
        <v>109</v>
      </c>
      <c r="AA590" s="18" t="s">
        <v>109</v>
      </c>
      <c r="AB590" s="18" t="s">
        <v>109</v>
      </c>
      <c r="AC590" s="18" t="s">
        <v>109</v>
      </c>
      <c r="AD590" s="18" t="s">
        <v>19</v>
      </c>
      <c r="AE590" s="18" t="s">
        <v>19</v>
      </c>
      <c r="AF590" s="15" t="s">
        <v>109</v>
      </c>
      <c r="AG590" s="18" t="s">
        <v>109</v>
      </c>
      <c r="AH590" s="18" t="s">
        <v>109</v>
      </c>
      <c r="AI590" s="18" t="s">
        <v>109</v>
      </c>
      <c r="AJ590" s="18" t="s">
        <v>109</v>
      </c>
      <c r="AK590" s="18" t="s">
        <v>109</v>
      </c>
      <c r="AL590" s="18" t="s">
        <v>109</v>
      </c>
      <c r="AM590" s="18" t="s">
        <v>109</v>
      </c>
      <c r="AN590" s="18" t="s">
        <v>109</v>
      </c>
      <c r="AO590" s="18" t="s">
        <v>109</v>
      </c>
      <c r="AP590" s="18" t="s">
        <v>109</v>
      </c>
      <c r="AQ590" s="18" t="s">
        <v>109</v>
      </c>
      <c r="AR590" s="18" t="s">
        <v>109</v>
      </c>
      <c r="AS590" s="18" t="s">
        <v>109</v>
      </c>
      <c r="AT590" s="18" t="s">
        <v>109</v>
      </c>
      <c r="AU590" s="18" t="s">
        <v>109</v>
      </c>
      <c r="AV590" s="36" t="s">
        <v>109</v>
      </c>
    </row>
    <row r="591" spans="1:264" ht="62.25" hidden="1" customHeight="1" x14ac:dyDescent="0.3">
      <c r="A591" s="15" t="s">
        <v>25</v>
      </c>
      <c r="B591" s="15" t="s">
        <v>64</v>
      </c>
      <c r="C591" s="15" t="s">
        <v>656</v>
      </c>
      <c r="D591" s="15" t="s">
        <v>19</v>
      </c>
      <c r="E591" s="70" t="s">
        <v>19</v>
      </c>
      <c r="F591" s="70" t="s">
        <v>19</v>
      </c>
      <c r="G591" s="15" t="s">
        <v>109</v>
      </c>
      <c r="H591" s="15" t="s">
        <v>109</v>
      </c>
      <c r="I591" s="18" t="s">
        <v>109</v>
      </c>
      <c r="J591" s="18" t="s">
        <v>109</v>
      </c>
      <c r="K591" s="18" t="s">
        <v>109</v>
      </c>
      <c r="L591" s="18" t="s">
        <v>109</v>
      </c>
      <c r="M591" s="15" t="s">
        <v>2977</v>
      </c>
      <c r="N591" s="15" t="s">
        <v>1266</v>
      </c>
      <c r="O591" s="15"/>
      <c r="P591" s="4" t="s">
        <v>981</v>
      </c>
      <c r="S591" s="15" t="e" cm="1">
        <f t="array" aca="1" ref="S591" ca="1">COMMONMARKETCOUNT(H591:AV591)</f>
        <v>#NAME?</v>
      </c>
      <c r="T591" s="15" t="e" cm="1">
        <f t="array" aca="1" ref="T591" ca="1">AUTOMATEDCOUNT(H591:AU591)</f>
        <v>#NAME?</v>
      </c>
      <c r="V591" s="15" t="s">
        <v>109</v>
      </c>
      <c r="W591" s="15" t="s">
        <v>109</v>
      </c>
      <c r="X591" s="70" t="s">
        <v>19</v>
      </c>
      <c r="Y591" s="70" t="s">
        <v>19</v>
      </c>
      <c r="Z591" s="70" t="s">
        <v>19</v>
      </c>
      <c r="AA591" s="18" t="s">
        <v>109</v>
      </c>
      <c r="AB591" s="18" t="s">
        <v>109</v>
      </c>
      <c r="AC591" s="18" t="s">
        <v>109</v>
      </c>
      <c r="AD591" s="18" t="s">
        <v>19</v>
      </c>
      <c r="AE591" s="18" t="s">
        <v>19</v>
      </c>
      <c r="AF591" s="18" t="s">
        <v>109</v>
      </c>
      <c r="AG591" s="18" t="s">
        <v>109</v>
      </c>
      <c r="AH591" s="18" t="s">
        <v>109</v>
      </c>
      <c r="AI591" s="18" t="s">
        <v>109</v>
      </c>
      <c r="AJ591" s="18" t="s">
        <v>109</v>
      </c>
      <c r="AK591" s="18" t="s">
        <v>109</v>
      </c>
      <c r="AL591" s="18" t="s">
        <v>109</v>
      </c>
      <c r="AM591" s="18" t="s">
        <v>109</v>
      </c>
      <c r="AN591" s="18" t="s">
        <v>109</v>
      </c>
      <c r="AO591" s="18" t="s">
        <v>109</v>
      </c>
      <c r="AP591" s="18" t="s">
        <v>109</v>
      </c>
      <c r="AQ591" s="18" t="s">
        <v>109</v>
      </c>
      <c r="AR591" s="18" t="s">
        <v>109</v>
      </c>
      <c r="AS591" s="18" t="s">
        <v>109</v>
      </c>
      <c r="AT591" s="18" t="s">
        <v>109</v>
      </c>
      <c r="AU591" s="18" t="s">
        <v>109</v>
      </c>
      <c r="AV591" s="36" t="s">
        <v>109</v>
      </c>
    </row>
    <row r="592" spans="1:264" ht="64.5" hidden="1" customHeight="1" x14ac:dyDescent="0.3">
      <c r="A592" s="15" t="s">
        <v>25</v>
      </c>
      <c r="B592" s="15" t="s">
        <v>64</v>
      </c>
      <c r="C592" s="15" t="s">
        <v>657</v>
      </c>
      <c r="D592" s="15" t="s">
        <v>19</v>
      </c>
      <c r="E592" s="70" t="s">
        <v>19</v>
      </c>
      <c r="F592" s="70" t="s">
        <v>19</v>
      </c>
      <c r="G592" s="15" t="s">
        <v>109</v>
      </c>
      <c r="H592" s="15" t="s">
        <v>109</v>
      </c>
      <c r="I592" s="18" t="s">
        <v>109</v>
      </c>
      <c r="J592" s="18" t="s">
        <v>109</v>
      </c>
      <c r="K592" s="18" t="s">
        <v>109</v>
      </c>
      <c r="L592" s="18" t="s">
        <v>109</v>
      </c>
      <c r="M592" s="15" t="s">
        <v>2978</v>
      </c>
      <c r="N592" s="15" t="s">
        <v>1267</v>
      </c>
      <c r="O592" s="15"/>
      <c r="P592" s="4" t="s">
        <v>1773</v>
      </c>
      <c r="S592" s="15" t="e" cm="1">
        <f t="array" aca="1" ref="S592" ca="1">COMMONMARKETCOUNT(H592:AV592)</f>
        <v>#NAME?</v>
      </c>
      <c r="T592" s="15" t="e" cm="1">
        <f t="array" aca="1" ref="T592" ca="1">AUTOMATEDCOUNT(H592:AU592)</f>
        <v>#NAME?</v>
      </c>
      <c r="V592" s="15" t="s">
        <v>109</v>
      </c>
      <c r="W592" s="15" t="s">
        <v>109</v>
      </c>
      <c r="X592" s="70" t="s">
        <v>19</v>
      </c>
      <c r="Y592" s="70" t="s">
        <v>19</v>
      </c>
      <c r="Z592" s="70" t="s">
        <v>19</v>
      </c>
      <c r="AA592" s="18" t="s">
        <v>109</v>
      </c>
      <c r="AB592" s="18" t="s">
        <v>109</v>
      </c>
      <c r="AC592" s="18" t="s">
        <v>109</v>
      </c>
      <c r="AD592" s="18" t="s">
        <v>19</v>
      </c>
      <c r="AE592" s="18" t="s">
        <v>19</v>
      </c>
      <c r="AF592" s="18" t="s">
        <v>109</v>
      </c>
      <c r="AG592" s="18" t="s">
        <v>109</v>
      </c>
      <c r="AH592" s="18" t="s">
        <v>109</v>
      </c>
      <c r="AI592" s="18" t="s">
        <v>109</v>
      </c>
      <c r="AJ592" s="18" t="s">
        <v>109</v>
      </c>
      <c r="AK592" s="18" t="s">
        <v>109</v>
      </c>
      <c r="AL592" s="18" t="s">
        <v>109</v>
      </c>
      <c r="AM592" s="18" t="s">
        <v>109</v>
      </c>
      <c r="AN592" s="18" t="s">
        <v>109</v>
      </c>
      <c r="AO592" s="18" t="s">
        <v>109</v>
      </c>
      <c r="AP592" s="18" t="s">
        <v>109</v>
      </c>
      <c r="AQ592" s="18" t="s">
        <v>109</v>
      </c>
      <c r="AR592" s="18" t="s">
        <v>109</v>
      </c>
      <c r="AS592" s="18" t="s">
        <v>109</v>
      </c>
      <c r="AT592" s="18" t="s">
        <v>109</v>
      </c>
      <c r="AU592" s="18" t="s">
        <v>109</v>
      </c>
      <c r="AV592" s="36" t="s">
        <v>109</v>
      </c>
    </row>
    <row r="593" spans="1:48" ht="67.5" hidden="1" customHeight="1" x14ac:dyDescent="0.3">
      <c r="A593" s="15" t="s">
        <v>25</v>
      </c>
      <c r="B593" s="15" t="s">
        <v>64</v>
      </c>
      <c r="C593" s="15" t="s">
        <v>658</v>
      </c>
      <c r="D593" s="15" t="s">
        <v>19</v>
      </c>
      <c r="E593" s="70" t="s">
        <v>19</v>
      </c>
      <c r="F593" s="70" t="s">
        <v>19</v>
      </c>
      <c r="G593" s="15" t="s">
        <v>109</v>
      </c>
      <c r="H593" s="15" t="s">
        <v>109</v>
      </c>
      <c r="I593" s="18" t="s">
        <v>109</v>
      </c>
      <c r="J593" s="18" t="s">
        <v>109</v>
      </c>
      <c r="K593" s="18" t="s">
        <v>109</v>
      </c>
      <c r="L593" s="18" t="s">
        <v>109</v>
      </c>
      <c r="M593" s="15" t="s">
        <v>2979</v>
      </c>
      <c r="N593" s="15" t="s">
        <v>1268</v>
      </c>
      <c r="O593" s="15"/>
      <c r="P593" s="4" t="s">
        <v>1774</v>
      </c>
      <c r="S593" s="15" t="e" cm="1">
        <f t="array" aca="1" ref="S593" ca="1">COMMONMARKETCOUNT(H593:AV593)</f>
        <v>#NAME?</v>
      </c>
      <c r="T593" s="15" t="e" cm="1">
        <f t="array" aca="1" ref="T593" ca="1">AUTOMATEDCOUNT(H593:AU593)</f>
        <v>#NAME?</v>
      </c>
      <c r="V593" s="15" t="s">
        <v>109</v>
      </c>
      <c r="W593" s="15" t="s">
        <v>109</v>
      </c>
      <c r="X593" s="70" t="s">
        <v>19</v>
      </c>
      <c r="Y593" s="70" t="s">
        <v>19</v>
      </c>
      <c r="Z593" s="70" t="s">
        <v>19</v>
      </c>
      <c r="AA593" s="18" t="s">
        <v>109</v>
      </c>
      <c r="AB593" s="18" t="s">
        <v>109</v>
      </c>
      <c r="AC593" s="18" t="s">
        <v>109</v>
      </c>
      <c r="AD593" s="18" t="s">
        <v>19</v>
      </c>
      <c r="AE593" s="18" t="s">
        <v>19</v>
      </c>
      <c r="AF593" s="18" t="s">
        <v>109</v>
      </c>
      <c r="AG593" s="18" t="s">
        <v>109</v>
      </c>
      <c r="AH593" s="18" t="s">
        <v>109</v>
      </c>
      <c r="AI593" s="18" t="s">
        <v>109</v>
      </c>
      <c r="AJ593" s="18" t="s">
        <v>109</v>
      </c>
      <c r="AK593" s="18" t="s">
        <v>109</v>
      </c>
      <c r="AL593" s="18" t="s">
        <v>109</v>
      </c>
      <c r="AM593" s="18" t="s">
        <v>109</v>
      </c>
      <c r="AN593" s="18" t="s">
        <v>109</v>
      </c>
      <c r="AO593" s="18" t="s">
        <v>109</v>
      </c>
      <c r="AP593" s="18" t="s">
        <v>109</v>
      </c>
      <c r="AQ593" s="18" t="s">
        <v>109</v>
      </c>
      <c r="AR593" s="18" t="s">
        <v>109</v>
      </c>
      <c r="AS593" s="18" t="s">
        <v>109</v>
      </c>
      <c r="AT593" s="18" t="s">
        <v>109</v>
      </c>
      <c r="AU593" s="18" t="s">
        <v>109</v>
      </c>
      <c r="AV593" s="36" t="s">
        <v>109</v>
      </c>
    </row>
    <row r="594" spans="1:48" ht="72.75" hidden="1" customHeight="1" x14ac:dyDescent="0.3">
      <c r="A594" s="15" t="s">
        <v>25</v>
      </c>
      <c r="B594" s="15" t="s">
        <v>64</v>
      </c>
      <c r="C594" s="15" t="s">
        <v>659</v>
      </c>
      <c r="D594" s="15" t="s">
        <v>19</v>
      </c>
      <c r="E594" s="70" t="s">
        <v>19</v>
      </c>
      <c r="F594" s="70" t="s">
        <v>19</v>
      </c>
      <c r="G594" s="15" t="s">
        <v>109</v>
      </c>
      <c r="H594" s="15" t="s">
        <v>109</v>
      </c>
      <c r="I594" s="18" t="s">
        <v>109</v>
      </c>
      <c r="J594" s="18" t="s">
        <v>109</v>
      </c>
      <c r="K594" s="18" t="s">
        <v>109</v>
      </c>
      <c r="L594" s="18" t="s">
        <v>109</v>
      </c>
      <c r="M594" s="15" t="s">
        <v>2980</v>
      </c>
      <c r="N594" s="15" t="s">
        <v>1269</v>
      </c>
      <c r="O594" s="15"/>
      <c r="P594" s="4" t="s">
        <v>3122</v>
      </c>
      <c r="S594" s="15" t="e" cm="1">
        <f t="array" aca="1" ref="S594" ca="1">COMMONMARKETCOUNT(H594:AV594)</f>
        <v>#NAME?</v>
      </c>
      <c r="T594" s="15" t="e" cm="1">
        <f t="array" aca="1" ref="T594" ca="1">AUTOMATEDCOUNT(H594:AU594)</f>
        <v>#NAME?</v>
      </c>
      <c r="V594" s="15" t="s">
        <v>109</v>
      </c>
      <c r="W594" s="15" t="s">
        <v>109</v>
      </c>
      <c r="X594" s="70" t="s">
        <v>19</v>
      </c>
      <c r="Y594" s="70" t="s">
        <v>19</v>
      </c>
      <c r="Z594" s="70" t="s">
        <v>19</v>
      </c>
      <c r="AA594" s="18" t="s">
        <v>109</v>
      </c>
      <c r="AB594" s="18" t="s">
        <v>109</v>
      </c>
      <c r="AC594" s="18" t="s">
        <v>109</v>
      </c>
      <c r="AD594" s="18" t="s">
        <v>19</v>
      </c>
      <c r="AE594" s="18" t="s">
        <v>19</v>
      </c>
      <c r="AF594" s="18" t="s">
        <v>109</v>
      </c>
      <c r="AG594" s="18" t="s">
        <v>109</v>
      </c>
      <c r="AH594" s="18" t="s">
        <v>109</v>
      </c>
      <c r="AI594" s="18" t="s">
        <v>109</v>
      </c>
      <c r="AJ594" s="18" t="s">
        <v>109</v>
      </c>
      <c r="AK594" s="18" t="s">
        <v>109</v>
      </c>
      <c r="AL594" s="18" t="s">
        <v>109</v>
      </c>
      <c r="AM594" s="18" t="s">
        <v>109</v>
      </c>
      <c r="AN594" s="18" t="s">
        <v>109</v>
      </c>
      <c r="AO594" s="18" t="s">
        <v>109</v>
      </c>
      <c r="AP594" s="18" t="s">
        <v>109</v>
      </c>
      <c r="AQ594" s="18" t="s">
        <v>109</v>
      </c>
      <c r="AR594" s="18" t="s">
        <v>109</v>
      </c>
      <c r="AS594" s="18" t="s">
        <v>109</v>
      </c>
      <c r="AT594" s="18" t="s">
        <v>109</v>
      </c>
      <c r="AU594" s="18" t="s">
        <v>109</v>
      </c>
      <c r="AV594" s="36" t="s">
        <v>109</v>
      </c>
    </row>
    <row r="595" spans="1:48" ht="93.75" hidden="1" customHeight="1" x14ac:dyDescent="0.3">
      <c r="A595" s="15" t="s">
        <v>25</v>
      </c>
      <c r="B595" s="15" t="s">
        <v>64</v>
      </c>
      <c r="C595" s="15" t="s">
        <v>660</v>
      </c>
      <c r="D595" s="15" t="s">
        <v>19</v>
      </c>
      <c r="E595" s="70" t="s">
        <v>19</v>
      </c>
      <c r="F595" s="70" t="s">
        <v>19</v>
      </c>
      <c r="G595" s="15" t="s">
        <v>109</v>
      </c>
      <c r="H595" s="15" t="s">
        <v>109</v>
      </c>
      <c r="I595" s="18" t="s">
        <v>109</v>
      </c>
      <c r="J595" s="18" t="s">
        <v>109</v>
      </c>
      <c r="K595" s="18" t="s">
        <v>109</v>
      </c>
      <c r="L595" s="18" t="s">
        <v>109</v>
      </c>
      <c r="M595" s="15" t="s">
        <v>2981</v>
      </c>
      <c r="N595" s="15" t="s">
        <v>1270</v>
      </c>
      <c r="O595" s="15"/>
      <c r="P595" s="4" t="s">
        <v>982</v>
      </c>
      <c r="S595" s="15" t="e" cm="1">
        <f t="array" aca="1" ref="S595" ca="1">COMMONMARKETCOUNT(H595:AV595)</f>
        <v>#NAME?</v>
      </c>
      <c r="T595" s="15" t="e" cm="1">
        <f t="array" aca="1" ref="T595" ca="1">AUTOMATEDCOUNT(H595:AU595)</f>
        <v>#NAME?</v>
      </c>
      <c r="V595" s="15" t="s">
        <v>109</v>
      </c>
      <c r="W595" s="15" t="s">
        <v>109</v>
      </c>
      <c r="X595" s="70" t="s">
        <v>19</v>
      </c>
      <c r="Y595" s="70" t="s">
        <v>19</v>
      </c>
      <c r="Z595" s="70" t="s">
        <v>19</v>
      </c>
      <c r="AA595" s="18" t="s">
        <v>109</v>
      </c>
      <c r="AB595" s="18" t="s">
        <v>109</v>
      </c>
      <c r="AC595" s="18" t="s">
        <v>109</v>
      </c>
      <c r="AD595" s="18" t="s">
        <v>19</v>
      </c>
      <c r="AE595" s="18" t="s">
        <v>19</v>
      </c>
      <c r="AF595" s="18" t="s">
        <v>109</v>
      </c>
      <c r="AG595" s="18" t="s">
        <v>109</v>
      </c>
      <c r="AH595" s="18" t="s">
        <v>109</v>
      </c>
      <c r="AI595" s="18" t="s">
        <v>109</v>
      </c>
      <c r="AJ595" s="18" t="s">
        <v>109</v>
      </c>
      <c r="AK595" s="18" t="s">
        <v>109</v>
      </c>
      <c r="AL595" s="18" t="s">
        <v>109</v>
      </c>
      <c r="AM595" s="18" t="s">
        <v>109</v>
      </c>
      <c r="AN595" s="18" t="s">
        <v>109</v>
      </c>
      <c r="AO595" s="18" t="s">
        <v>109</v>
      </c>
      <c r="AP595" s="18" t="s">
        <v>109</v>
      </c>
      <c r="AQ595" s="18" t="s">
        <v>109</v>
      </c>
      <c r="AR595" s="18" t="s">
        <v>109</v>
      </c>
      <c r="AS595" s="18" t="s">
        <v>109</v>
      </c>
      <c r="AT595" s="18" t="s">
        <v>109</v>
      </c>
      <c r="AU595" s="18" t="s">
        <v>109</v>
      </c>
      <c r="AV595" s="36" t="s">
        <v>109</v>
      </c>
    </row>
    <row r="596" spans="1:48" ht="86.25" hidden="1" customHeight="1" x14ac:dyDescent="0.3">
      <c r="A596" s="15" t="s">
        <v>25</v>
      </c>
      <c r="B596" s="15" t="s">
        <v>64</v>
      </c>
      <c r="C596" s="15" t="s">
        <v>661</v>
      </c>
      <c r="D596" s="15" t="s">
        <v>19</v>
      </c>
      <c r="E596" s="20" t="s">
        <v>19</v>
      </c>
      <c r="F596" s="20" t="s">
        <v>19</v>
      </c>
      <c r="G596" s="15" t="s">
        <v>109</v>
      </c>
      <c r="H596" s="15" t="s">
        <v>109</v>
      </c>
      <c r="I596" s="18" t="s">
        <v>109</v>
      </c>
      <c r="J596" s="18" t="s">
        <v>109</v>
      </c>
      <c r="K596" s="18" t="s">
        <v>109</v>
      </c>
      <c r="L596" s="18" t="s">
        <v>109</v>
      </c>
      <c r="M596" s="15" t="s">
        <v>2982</v>
      </c>
      <c r="N596" s="15" t="s">
        <v>1271</v>
      </c>
      <c r="O596" s="15"/>
      <c r="P596" s="4" t="s">
        <v>983</v>
      </c>
      <c r="S596" s="15" t="e" cm="1">
        <f t="array" aca="1" ref="S596" ca="1">COMMONMARKETCOUNT(H596:AV596)</f>
        <v>#NAME?</v>
      </c>
      <c r="T596" s="15" t="e" cm="1">
        <f t="array" aca="1" ref="T596" ca="1">AUTOMATEDCOUNT(H596:AU596)</f>
        <v>#NAME?</v>
      </c>
      <c r="V596" s="15" t="s">
        <v>109</v>
      </c>
      <c r="W596" s="15" t="s">
        <v>109</v>
      </c>
      <c r="X596" s="20" t="s">
        <v>19</v>
      </c>
      <c r="Y596" s="20" t="s">
        <v>19</v>
      </c>
      <c r="Z596" s="20" t="s">
        <v>19</v>
      </c>
      <c r="AA596" s="18" t="s">
        <v>109</v>
      </c>
      <c r="AB596" s="18" t="s">
        <v>109</v>
      </c>
      <c r="AC596" s="18" t="s">
        <v>109</v>
      </c>
      <c r="AD596" s="18" t="s">
        <v>19</v>
      </c>
      <c r="AE596" s="18" t="s">
        <v>19</v>
      </c>
      <c r="AF596" s="18" t="s">
        <v>109</v>
      </c>
      <c r="AG596" s="18" t="s">
        <v>109</v>
      </c>
      <c r="AH596" s="18" t="s">
        <v>109</v>
      </c>
      <c r="AI596" s="18" t="s">
        <v>109</v>
      </c>
      <c r="AJ596" s="18" t="s">
        <v>109</v>
      </c>
      <c r="AK596" s="18" t="s">
        <v>109</v>
      </c>
      <c r="AL596" s="18" t="s">
        <v>109</v>
      </c>
      <c r="AM596" s="18" t="s">
        <v>109</v>
      </c>
      <c r="AN596" s="18" t="s">
        <v>109</v>
      </c>
      <c r="AO596" s="18" t="s">
        <v>109</v>
      </c>
      <c r="AP596" s="18" t="s">
        <v>109</v>
      </c>
      <c r="AQ596" s="18" t="s">
        <v>109</v>
      </c>
      <c r="AR596" s="18" t="s">
        <v>109</v>
      </c>
      <c r="AS596" s="18" t="s">
        <v>109</v>
      </c>
      <c r="AT596" s="18" t="s">
        <v>109</v>
      </c>
      <c r="AU596" s="18" t="s">
        <v>109</v>
      </c>
      <c r="AV596" s="36" t="s">
        <v>109</v>
      </c>
    </row>
    <row r="597" spans="1:48" ht="78" hidden="1" customHeight="1" x14ac:dyDescent="0.3">
      <c r="A597" s="15" t="s">
        <v>25</v>
      </c>
      <c r="B597" s="15" t="s">
        <v>64</v>
      </c>
      <c r="C597" s="15" t="s">
        <v>662</v>
      </c>
      <c r="D597" s="15" t="s">
        <v>19</v>
      </c>
      <c r="E597" s="70" t="s">
        <v>19</v>
      </c>
      <c r="F597" s="70" t="s">
        <v>19</v>
      </c>
      <c r="G597" s="15" t="s">
        <v>109</v>
      </c>
      <c r="H597" s="15" t="s">
        <v>109</v>
      </c>
      <c r="I597" s="18" t="s">
        <v>109</v>
      </c>
      <c r="J597" s="18" t="s">
        <v>109</v>
      </c>
      <c r="K597" s="18" t="s">
        <v>109</v>
      </c>
      <c r="L597" s="18" t="s">
        <v>109</v>
      </c>
      <c r="M597" s="15" t="s">
        <v>2983</v>
      </c>
      <c r="N597" s="15" t="s">
        <v>1272</v>
      </c>
      <c r="O597" s="15"/>
      <c r="P597" s="4" t="s">
        <v>973</v>
      </c>
      <c r="S597" s="15" t="e" cm="1">
        <f t="array" aca="1" ref="S597" ca="1">COMMONMARKETCOUNT(H597:AV597)</f>
        <v>#NAME?</v>
      </c>
      <c r="T597" s="15" t="e" cm="1">
        <f t="array" aca="1" ref="T597" ca="1">AUTOMATEDCOUNT(H597:AU597)</f>
        <v>#NAME?</v>
      </c>
      <c r="V597" s="15" t="s">
        <v>109</v>
      </c>
      <c r="W597" s="15" t="s">
        <v>109</v>
      </c>
      <c r="X597" s="70" t="s">
        <v>19</v>
      </c>
      <c r="Y597" s="70" t="s">
        <v>19</v>
      </c>
      <c r="Z597" s="70" t="s">
        <v>19</v>
      </c>
      <c r="AA597" s="18" t="s">
        <v>109</v>
      </c>
      <c r="AB597" s="18" t="s">
        <v>109</v>
      </c>
      <c r="AC597" s="18" t="s">
        <v>109</v>
      </c>
      <c r="AD597" s="15" t="s">
        <v>19</v>
      </c>
      <c r="AE597" s="15" t="s">
        <v>19</v>
      </c>
      <c r="AF597" s="18" t="s">
        <v>109</v>
      </c>
      <c r="AG597" s="18" t="s">
        <v>109</v>
      </c>
      <c r="AH597" s="18" t="s">
        <v>109</v>
      </c>
      <c r="AI597" s="18" t="s">
        <v>109</v>
      </c>
      <c r="AJ597" s="18" t="s">
        <v>109</v>
      </c>
      <c r="AK597" s="18" t="s">
        <v>109</v>
      </c>
      <c r="AL597" s="18" t="s">
        <v>109</v>
      </c>
      <c r="AM597" s="18" t="s">
        <v>109</v>
      </c>
      <c r="AN597" s="18" t="s">
        <v>109</v>
      </c>
      <c r="AO597" s="18" t="s">
        <v>109</v>
      </c>
      <c r="AP597" s="18" t="s">
        <v>109</v>
      </c>
      <c r="AQ597" s="18" t="s">
        <v>109</v>
      </c>
      <c r="AR597" s="18" t="s">
        <v>109</v>
      </c>
      <c r="AS597" s="18" t="s">
        <v>109</v>
      </c>
      <c r="AT597" s="18" t="s">
        <v>109</v>
      </c>
      <c r="AU597" s="18" t="s">
        <v>109</v>
      </c>
      <c r="AV597" s="36" t="s">
        <v>109</v>
      </c>
    </row>
    <row r="598" spans="1:48" ht="95.25" hidden="1" customHeight="1" x14ac:dyDescent="0.3">
      <c r="A598" s="15" t="s">
        <v>25</v>
      </c>
      <c r="B598" s="15" t="s">
        <v>1365</v>
      </c>
      <c r="C598" s="15" t="s">
        <v>663</v>
      </c>
      <c r="D598" s="15" t="s">
        <v>19</v>
      </c>
      <c r="E598" s="70" t="s">
        <v>19</v>
      </c>
      <c r="F598" s="70" t="s">
        <v>19</v>
      </c>
      <c r="G598" s="15" t="s">
        <v>109</v>
      </c>
      <c r="H598" s="15" t="s">
        <v>109</v>
      </c>
      <c r="I598" s="18" t="s">
        <v>109</v>
      </c>
      <c r="J598" s="18" t="s">
        <v>109</v>
      </c>
      <c r="K598" s="18" t="s">
        <v>109</v>
      </c>
      <c r="L598" s="18" t="s">
        <v>109</v>
      </c>
      <c r="M598" s="15" t="s">
        <v>1847</v>
      </c>
      <c r="N598" s="15" t="s">
        <v>1273</v>
      </c>
      <c r="O598" s="15"/>
      <c r="P598" s="4" t="s">
        <v>664</v>
      </c>
      <c r="S598" s="15" t="e" cm="1">
        <f t="array" aca="1" ref="S598" ca="1">COMMONMARKETCOUNT(H598:AV598)</f>
        <v>#NAME?</v>
      </c>
      <c r="T598" s="15" t="e" cm="1">
        <f t="array" aca="1" ref="T598" ca="1">AUTOMATEDCOUNT(H598:AU598)</f>
        <v>#NAME?</v>
      </c>
      <c r="V598" s="15" t="s">
        <v>109</v>
      </c>
      <c r="W598" s="15" t="s">
        <v>109</v>
      </c>
      <c r="X598" s="70" t="s">
        <v>19</v>
      </c>
      <c r="Y598" s="70" t="s">
        <v>19</v>
      </c>
      <c r="Z598" s="70" t="s">
        <v>19</v>
      </c>
      <c r="AA598" s="18" t="s">
        <v>109</v>
      </c>
      <c r="AB598" s="18" t="s">
        <v>109</v>
      </c>
      <c r="AC598" s="18" t="s">
        <v>109</v>
      </c>
      <c r="AD598" s="6" t="s">
        <v>19</v>
      </c>
      <c r="AE598" s="6" t="s">
        <v>19</v>
      </c>
      <c r="AF598" s="18" t="s">
        <v>109</v>
      </c>
      <c r="AG598" s="18" t="s">
        <v>109</v>
      </c>
      <c r="AH598" s="18" t="s">
        <v>109</v>
      </c>
      <c r="AI598" s="18" t="s">
        <v>109</v>
      </c>
      <c r="AJ598" s="18" t="s">
        <v>109</v>
      </c>
      <c r="AK598" s="18" t="s">
        <v>109</v>
      </c>
      <c r="AL598" s="18" t="s">
        <v>109</v>
      </c>
      <c r="AM598" s="18" t="s">
        <v>109</v>
      </c>
      <c r="AN598" s="18" t="s">
        <v>109</v>
      </c>
      <c r="AO598" s="18" t="s">
        <v>109</v>
      </c>
      <c r="AP598" s="18" t="s">
        <v>109</v>
      </c>
      <c r="AQ598" s="18" t="s">
        <v>109</v>
      </c>
      <c r="AR598" s="18" t="s">
        <v>109</v>
      </c>
      <c r="AS598" s="18" t="s">
        <v>109</v>
      </c>
      <c r="AT598" s="18" t="s">
        <v>109</v>
      </c>
      <c r="AU598" s="18" t="s">
        <v>109</v>
      </c>
      <c r="AV598" s="36" t="s">
        <v>109</v>
      </c>
    </row>
    <row r="599" spans="1:48" ht="90" hidden="1" customHeight="1" x14ac:dyDescent="0.3">
      <c r="A599" s="15" t="s">
        <v>25</v>
      </c>
      <c r="B599" s="15" t="s">
        <v>1823</v>
      </c>
      <c r="C599" s="15" t="s">
        <v>665</v>
      </c>
      <c r="D599" s="15" t="s">
        <v>19</v>
      </c>
      <c r="E599" s="70" t="s">
        <v>19</v>
      </c>
      <c r="F599" s="70" t="s">
        <v>19</v>
      </c>
      <c r="G599" s="15" t="s">
        <v>109</v>
      </c>
      <c r="H599" s="15" t="s">
        <v>109</v>
      </c>
      <c r="I599" s="18" t="s">
        <v>109</v>
      </c>
      <c r="J599" s="18" t="s">
        <v>109</v>
      </c>
      <c r="K599" s="18" t="s">
        <v>109</v>
      </c>
      <c r="L599" s="18" t="s">
        <v>109</v>
      </c>
      <c r="M599" s="15" t="s">
        <v>1846</v>
      </c>
      <c r="N599" s="15" t="s">
        <v>1274</v>
      </c>
      <c r="O599" s="15"/>
      <c r="P599" s="4" t="s">
        <v>984</v>
      </c>
      <c r="S599" s="15" t="e" cm="1">
        <f t="array" aca="1" ref="S599" ca="1">COMMONMARKETCOUNT(H599:AV599)</f>
        <v>#NAME?</v>
      </c>
      <c r="T599" s="15" t="e" cm="1">
        <f t="array" aca="1" ref="T599" ca="1">AUTOMATEDCOUNT(H599:AU599)</f>
        <v>#NAME?</v>
      </c>
      <c r="V599" s="15" t="s">
        <v>109</v>
      </c>
      <c r="W599" s="15" t="s">
        <v>109</v>
      </c>
      <c r="X599" s="70" t="s">
        <v>19</v>
      </c>
      <c r="Y599" s="70" t="s">
        <v>19</v>
      </c>
      <c r="Z599" s="70" t="s">
        <v>19</v>
      </c>
      <c r="AA599" s="18" t="s">
        <v>109</v>
      </c>
      <c r="AB599" s="18" t="s">
        <v>109</v>
      </c>
      <c r="AC599" s="18" t="s">
        <v>109</v>
      </c>
      <c r="AD599" s="6" t="s">
        <v>19</v>
      </c>
      <c r="AE599" s="6" t="s">
        <v>19</v>
      </c>
      <c r="AF599" s="18" t="s">
        <v>109</v>
      </c>
      <c r="AG599" s="18" t="s">
        <v>109</v>
      </c>
      <c r="AH599" s="18" t="s">
        <v>109</v>
      </c>
      <c r="AI599" s="18" t="s">
        <v>109</v>
      </c>
      <c r="AJ599" s="18" t="s">
        <v>109</v>
      </c>
      <c r="AK599" s="18" t="s">
        <v>109</v>
      </c>
      <c r="AL599" s="18" t="s">
        <v>109</v>
      </c>
      <c r="AM599" s="18" t="s">
        <v>109</v>
      </c>
      <c r="AN599" s="18" t="s">
        <v>109</v>
      </c>
      <c r="AO599" s="18" t="s">
        <v>109</v>
      </c>
      <c r="AP599" s="18" t="s">
        <v>109</v>
      </c>
      <c r="AQ599" s="18" t="s">
        <v>109</v>
      </c>
      <c r="AR599" s="18" t="s">
        <v>109</v>
      </c>
      <c r="AS599" s="18" t="s">
        <v>109</v>
      </c>
      <c r="AT599" s="18" t="s">
        <v>109</v>
      </c>
      <c r="AU599" s="18" t="s">
        <v>109</v>
      </c>
      <c r="AV599" s="36" t="s">
        <v>109</v>
      </c>
    </row>
    <row r="600" spans="1:48" ht="76.5" hidden="1" customHeight="1" x14ac:dyDescent="0.3">
      <c r="A600" s="15" t="s">
        <v>25</v>
      </c>
      <c r="B600" s="15" t="s">
        <v>1823</v>
      </c>
      <c r="C600" s="15" t="s">
        <v>666</v>
      </c>
      <c r="D600" s="15" t="s">
        <v>19</v>
      </c>
      <c r="E600" s="70" t="s">
        <v>19</v>
      </c>
      <c r="F600" s="70" t="s">
        <v>19</v>
      </c>
      <c r="G600" s="15" t="s">
        <v>109</v>
      </c>
      <c r="H600" s="15" t="s">
        <v>109</v>
      </c>
      <c r="I600" s="18" t="s">
        <v>109</v>
      </c>
      <c r="J600" s="18" t="s">
        <v>109</v>
      </c>
      <c r="K600" s="18" t="s">
        <v>109</v>
      </c>
      <c r="L600" s="18" t="s">
        <v>109</v>
      </c>
      <c r="M600" s="15" t="s">
        <v>1845</v>
      </c>
      <c r="N600" s="15" t="s">
        <v>1275</v>
      </c>
      <c r="O600" s="15"/>
      <c r="P600" s="4" t="s">
        <v>1010</v>
      </c>
      <c r="S600" s="15" t="e" cm="1">
        <f t="array" aca="1" ref="S600" ca="1">COMMONMARKETCOUNT(H600:AV600)</f>
        <v>#NAME?</v>
      </c>
      <c r="T600" s="15" t="e" cm="1">
        <f t="array" aca="1" ref="T600" ca="1">AUTOMATEDCOUNT(H600:AU600)</f>
        <v>#NAME?</v>
      </c>
      <c r="V600" s="15" t="s">
        <v>109</v>
      </c>
      <c r="W600" s="15" t="s">
        <v>109</v>
      </c>
      <c r="X600" s="70" t="s">
        <v>19</v>
      </c>
      <c r="Y600" s="70" t="s">
        <v>19</v>
      </c>
      <c r="Z600" s="70" t="s">
        <v>19</v>
      </c>
      <c r="AA600" s="18" t="s">
        <v>109</v>
      </c>
      <c r="AB600" s="18" t="s">
        <v>109</v>
      </c>
      <c r="AC600" s="18" t="s">
        <v>109</v>
      </c>
      <c r="AD600" s="15" t="s">
        <v>19</v>
      </c>
      <c r="AE600" s="15" t="s">
        <v>19</v>
      </c>
      <c r="AF600" s="18" t="s">
        <v>109</v>
      </c>
      <c r="AG600" s="18" t="s">
        <v>109</v>
      </c>
      <c r="AH600" s="18" t="s">
        <v>109</v>
      </c>
      <c r="AI600" s="18" t="s">
        <v>109</v>
      </c>
      <c r="AJ600" s="18" t="s">
        <v>109</v>
      </c>
      <c r="AK600" s="18" t="s">
        <v>109</v>
      </c>
      <c r="AL600" s="18" t="s">
        <v>109</v>
      </c>
      <c r="AM600" s="18" t="s">
        <v>109</v>
      </c>
      <c r="AN600" s="18" t="s">
        <v>109</v>
      </c>
      <c r="AO600" s="18" t="s">
        <v>109</v>
      </c>
      <c r="AP600" s="18" t="s">
        <v>109</v>
      </c>
      <c r="AQ600" s="18" t="s">
        <v>109</v>
      </c>
      <c r="AR600" s="18" t="s">
        <v>109</v>
      </c>
      <c r="AS600" s="18" t="s">
        <v>109</v>
      </c>
      <c r="AT600" s="18" t="s">
        <v>109</v>
      </c>
      <c r="AU600" s="18" t="s">
        <v>109</v>
      </c>
      <c r="AV600" s="36" t="s">
        <v>109</v>
      </c>
    </row>
    <row r="601" spans="1:48" ht="86.25" hidden="1" customHeight="1" x14ac:dyDescent="0.3">
      <c r="A601" s="15" t="s">
        <v>25</v>
      </c>
      <c r="B601" s="15" t="s">
        <v>64</v>
      </c>
      <c r="C601" s="15" t="s">
        <v>668</v>
      </c>
      <c r="D601" s="15" t="s">
        <v>32</v>
      </c>
      <c r="E601" s="15" t="s">
        <v>109</v>
      </c>
      <c r="F601" s="15" t="s">
        <v>109</v>
      </c>
      <c r="G601" s="15" t="s">
        <v>109</v>
      </c>
      <c r="H601" s="15" t="s">
        <v>109</v>
      </c>
      <c r="I601" s="18" t="s">
        <v>109</v>
      </c>
      <c r="J601" s="18" t="s">
        <v>109</v>
      </c>
      <c r="K601" s="18" t="s">
        <v>109</v>
      </c>
      <c r="L601" s="18" t="s">
        <v>109</v>
      </c>
      <c r="M601" s="15" t="s">
        <v>2984</v>
      </c>
      <c r="N601" s="30" t="s">
        <v>1276</v>
      </c>
      <c r="O601" s="15"/>
      <c r="P601" s="4" t="s">
        <v>667</v>
      </c>
      <c r="S601" s="15" t="e" cm="1">
        <f t="array" aca="1" ref="S601" ca="1">COMMONMARKETCOUNT(H601:AV601)</f>
        <v>#NAME?</v>
      </c>
      <c r="T601" s="15" t="e" cm="1">
        <f t="array" aca="1" ref="T601" ca="1">AUTOMATEDCOUNT(H601:AU601)</f>
        <v>#NAME?</v>
      </c>
      <c r="V601" s="15" t="s">
        <v>109</v>
      </c>
      <c r="W601" s="15" t="s">
        <v>109</v>
      </c>
      <c r="X601" s="15" t="s">
        <v>109</v>
      </c>
      <c r="Y601" s="15" t="s">
        <v>109</v>
      </c>
      <c r="Z601" s="15" t="s">
        <v>109</v>
      </c>
      <c r="AA601" s="18" t="s">
        <v>109</v>
      </c>
      <c r="AB601" s="18" t="s">
        <v>109</v>
      </c>
      <c r="AC601" s="18" t="s">
        <v>109</v>
      </c>
      <c r="AD601" s="18" t="s">
        <v>19</v>
      </c>
      <c r="AE601" s="18" t="s">
        <v>19</v>
      </c>
      <c r="AF601" s="18" t="s">
        <v>109</v>
      </c>
      <c r="AG601" s="18" t="s">
        <v>109</v>
      </c>
      <c r="AH601" s="18" t="s">
        <v>109</v>
      </c>
      <c r="AI601" s="18" t="s">
        <v>109</v>
      </c>
      <c r="AJ601" s="18" t="s">
        <v>109</v>
      </c>
      <c r="AK601" s="18" t="s">
        <v>109</v>
      </c>
      <c r="AL601" s="18" t="s">
        <v>109</v>
      </c>
      <c r="AM601" s="18" t="s">
        <v>109</v>
      </c>
      <c r="AN601" s="18" t="s">
        <v>109</v>
      </c>
      <c r="AO601" s="18" t="s">
        <v>109</v>
      </c>
      <c r="AP601" s="18" t="s">
        <v>109</v>
      </c>
      <c r="AQ601" s="18" t="s">
        <v>109</v>
      </c>
      <c r="AR601" s="18" t="s">
        <v>109</v>
      </c>
      <c r="AS601" s="18" t="s">
        <v>109</v>
      </c>
      <c r="AT601" s="18" t="s">
        <v>109</v>
      </c>
      <c r="AU601" s="18" t="s">
        <v>109</v>
      </c>
      <c r="AV601" s="36" t="s">
        <v>109</v>
      </c>
    </row>
    <row r="602" spans="1:48" ht="69.75" hidden="1" customHeight="1" x14ac:dyDescent="0.3">
      <c r="A602" s="15" t="s">
        <v>25</v>
      </c>
      <c r="B602" s="15" t="s">
        <v>670</v>
      </c>
      <c r="C602" s="15" t="s">
        <v>669</v>
      </c>
      <c r="D602" s="15" t="s">
        <v>32</v>
      </c>
      <c r="E602" s="15" t="s">
        <v>19</v>
      </c>
      <c r="F602" s="15" t="s">
        <v>19</v>
      </c>
      <c r="G602" s="15" t="s">
        <v>19</v>
      </c>
      <c r="H602" s="15" t="s">
        <v>19</v>
      </c>
      <c r="I602" s="15" t="s">
        <v>19</v>
      </c>
      <c r="J602" s="15" t="s">
        <v>19</v>
      </c>
      <c r="K602" s="15" t="s">
        <v>19</v>
      </c>
      <c r="L602" s="15" t="s">
        <v>19</v>
      </c>
      <c r="M602" s="15" t="s">
        <v>1467</v>
      </c>
      <c r="N602" s="15" t="s">
        <v>1468</v>
      </c>
      <c r="O602" s="15"/>
      <c r="P602" s="4">
        <v>0</v>
      </c>
      <c r="S602" s="15" t="e" cm="1">
        <f t="array" aca="1" ref="S602" ca="1">COMMONMARKETCOUNT(H602:AV602)</f>
        <v>#NAME?</v>
      </c>
      <c r="T602" s="15" t="e" cm="1">
        <f t="array" aca="1" ref="T602" ca="1">AUTOMATEDCOUNT(H602:AU602)</f>
        <v>#NAME?</v>
      </c>
      <c r="V602" s="15" t="s">
        <v>19</v>
      </c>
      <c r="W602" s="15" t="s">
        <v>19</v>
      </c>
      <c r="X602" s="15" t="s">
        <v>19</v>
      </c>
      <c r="Y602" s="15" t="s">
        <v>19</v>
      </c>
      <c r="Z602" s="15" t="s">
        <v>19</v>
      </c>
      <c r="AA602" s="15" t="s">
        <v>19</v>
      </c>
      <c r="AB602" s="15" t="s">
        <v>19</v>
      </c>
      <c r="AC602" s="15" t="s">
        <v>19</v>
      </c>
      <c r="AD602" s="15" t="s">
        <v>19</v>
      </c>
      <c r="AE602" s="15" t="s">
        <v>19</v>
      </c>
      <c r="AF602" s="15" t="s">
        <v>19</v>
      </c>
      <c r="AG602" s="15" t="s">
        <v>19</v>
      </c>
      <c r="AH602" s="15" t="s">
        <v>19</v>
      </c>
      <c r="AI602" s="15" t="s">
        <v>19</v>
      </c>
      <c r="AJ602" s="15" t="s">
        <v>19</v>
      </c>
      <c r="AK602" s="15" t="s">
        <v>19</v>
      </c>
      <c r="AL602" s="15" t="s">
        <v>19</v>
      </c>
      <c r="AM602" s="15" t="s">
        <v>19</v>
      </c>
      <c r="AN602" s="15" t="s">
        <v>19</v>
      </c>
      <c r="AO602" s="15" t="s">
        <v>19</v>
      </c>
      <c r="AP602" s="15" t="s">
        <v>19</v>
      </c>
      <c r="AQ602" s="15" t="s">
        <v>19</v>
      </c>
      <c r="AR602" s="15" t="s">
        <v>19</v>
      </c>
      <c r="AS602" s="15" t="s">
        <v>19</v>
      </c>
      <c r="AT602" s="15" t="s">
        <v>19</v>
      </c>
      <c r="AU602" s="15" t="s">
        <v>3153</v>
      </c>
      <c r="AV602" s="36" t="s">
        <v>19</v>
      </c>
    </row>
    <row r="603" spans="1:48" ht="42" hidden="1" customHeight="1" x14ac:dyDescent="0.3">
      <c r="A603" s="4" t="s">
        <v>2267</v>
      </c>
      <c r="B603" s="4" t="s">
        <v>2126</v>
      </c>
      <c r="C603" s="4" t="s">
        <v>1974</v>
      </c>
      <c r="D603" s="6" t="s">
        <v>109</v>
      </c>
      <c r="E603" s="6" t="s">
        <v>19</v>
      </c>
      <c r="F603" s="6" t="s">
        <v>19</v>
      </c>
      <c r="G603" s="6" t="s">
        <v>19</v>
      </c>
      <c r="H603" s="6" t="s">
        <v>19</v>
      </c>
      <c r="I603" s="6" t="s">
        <v>19</v>
      </c>
      <c r="J603" s="6" t="s">
        <v>19</v>
      </c>
      <c r="K603" s="6" t="s">
        <v>19</v>
      </c>
      <c r="L603" s="6" t="s">
        <v>19</v>
      </c>
      <c r="M603" s="15" t="s">
        <v>1973</v>
      </c>
      <c r="N603" s="4" t="s">
        <v>2127</v>
      </c>
      <c r="O603" s="4"/>
      <c r="P603" s="4" t="s">
        <v>3082</v>
      </c>
      <c r="S603" s="15" t="e" cm="1">
        <f t="array" aca="1" ref="S603" ca="1">COMMONMARKETCOUNT(H603:AV603)</f>
        <v>#NAME?</v>
      </c>
      <c r="T603" s="15" t="e" cm="1">
        <f t="array" aca="1" ref="T603" ca="1">AUTOMATEDCOUNT(H603:AU603)</f>
        <v>#NAME?</v>
      </c>
      <c r="V603" s="6" t="s">
        <v>19</v>
      </c>
      <c r="W603" s="6" t="s">
        <v>19</v>
      </c>
      <c r="X603" s="6" t="s">
        <v>19</v>
      </c>
      <c r="Y603" s="6" t="s">
        <v>19</v>
      </c>
      <c r="Z603" s="6" t="s">
        <v>19</v>
      </c>
      <c r="AA603" s="6" t="s">
        <v>19</v>
      </c>
      <c r="AB603" s="6" t="s">
        <v>19</v>
      </c>
      <c r="AC603" s="6" t="s">
        <v>19</v>
      </c>
      <c r="AD603" s="18" t="s">
        <v>19</v>
      </c>
      <c r="AE603" s="18" t="s">
        <v>19</v>
      </c>
      <c r="AF603" s="6" t="s">
        <v>19</v>
      </c>
      <c r="AG603" s="6" t="s">
        <v>19</v>
      </c>
      <c r="AH603" s="6" t="s">
        <v>19</v>
      </c>
      <c r="AI603" s="6" t="s">
        <v>19</v>
      </c>
      <c r="AJ603" s="6" t="s">
        <v>19</v>
      </c>
      <c r="AK603" s="6" t="s">
        <v>19</v>
      </c>
      <c r="AL603" s="6" t="s">
        <v>19</v>
      </c>
      <c r="AM603" s="6" t="s">
        <v>19</v>
      </c>
      <c r="AN603" s="6" t="s">
        <v>19</v>
      </c>
      <c r="AO603" s="6" t="s">
        <v>19</v>
      </c>
      <c r="AP603" s="6" t="s">
        <v>19</v>
      </c>
      <c r="AQ603" s="6" t="s">
        <v>19</v>
      </c>
      <c r="AR603" s="6" t="s">
        <v>19</v>
      </c>
      <c r="AS603" s="6" t="s">
        <v>19</v>
      </c>
      <c r="AT603" s="6" t="s">
        <v>19</v>
      </c>
      <c r="AU603" s="6" t="s">
        <v>3153</v>
      </c>
      <c r="AV603" s="36" t="s">
        <v>19</v>
      </c>
    </row>
    <row r="604" spans="1:48" ht="65.25" hidden="1" customHeight="1" x14ac:dyDescent="0.3">
      <c r="A604" s="4" t="s">
        <v>2267</v>
      </c>
      <c r="B604" s="4" t="s">
        <v>2126</v>
      </c>
      <c r="C604" s="4" t="s">
        <v>1975</v>
      </c>
      <c r="D604" s="6" t="s">
        <v>109</v>
      </c>
      <c r="E604" s="6" t="s">
        <v>19</v>
      </c>
      <c r="F604" s="6" t="s">
        <v>19</v>
      </c>
      <c r="G604" s="6" t="s">
        <v>19</v>
      </c>
      <c r="H604" s="6" t="s">
        <v>19</v>
      </c>
      <c r="I604" s="6" t="s">
        <v>19</v>
      </c>
      <c r="J604" s="6" t="s">
        <v>19</v>
      </c>
      <c r="K604" s="6" t="s">
        <v>19</v>
      </c>
      <c r="L604" s="6" t="s">
        <v>19</v>
      </c>
      <c r="M604" s="15" t="s">
        <v>2105</v>
      </c>
      <c r="N604" s="4" t="s">
        <v>2128</v>
      </c>
      <c r="O604" s="4"/>
      <c r="P604" s="4" t="s">
        <v>2167</v>
      </c>
      <c r="S604" s="15" t="e" cm="1">
        <f t="array" aca="1" ref="S604" ca="1">COMMONMARKETCOUNT(H604:AV604)</f>
        <v>#NAME?</v>
      </c>
      <c r="T604" s="15" t="e" cm="1">
        <f t="array" aca="1" ref="T604" ca="1">AUTOMATEDCOUNT(H604:AU604)</f>
        <v>#NAME?</v>
      </c>
      <c r="V604" s="6" t="s">
        <v>19</v>
      </c>
      <c r="W604" s="6" t="s">
        <v>19</v>
      </c>
      <c r="X604" s="6" t="s">
        <v>19</v>
      </c>
      <c r="Y604" s="6" t="s">
        <v>19</v>
      </c>
      <c r="Z604" s="6" t="s">
        <v>19</v>
      </c>
      <c r="AA604" s="6" t="s">
        <v>19</v>
      </c>
      <c r="AB604" s="6" t="s">
        <v>19</v>
      </c>
      <c r="AC604" s="6" t="s">
        <v>19</v>
      </c>
      <c r="AD604" s="18" t="s">
        <v>19</v>
      </c>
      <c r="AE604" s="18" t="s">
        <v>19</v>
      </c>
      <c r="AF604" s="6" t="s">
        <v>19</v>
      </c>
      <c r="AG604" s="6" t="s">
        <v>19</v>
      </c>
      <c r="AH604" s="6" t="s">
        <v>19</v>
      </c>
      <c r="AI604" s="6" t="s">
        <v>19</v>
      </c>
      <c r="AJ604" s="6" t="s">
        <v>19</v>
      </c>
      <c r="AK604" s="6" t="s">
        <v>19</v>
      </c>
      <c r="AL604" s="6" t="s">
        <v>19</v>
      </c>
      <c r="AM604" s="6" t="s">
        <v>19</v>
      </c>
      <c r="AN604" s="6" t="s">
        <v>19</v>
      </c>
      <c r="AO604" s="6" t="s">
        <v>19</v>
      </c>
      <c r="AP604" s="6" t="s">
        <v>19</v>
      </c>
      <c r="AQ604" s="6" t="s">
        <v>19</v>
      </c>
      <c r="AR604" s="6" t="s">
        <v>19</v>
      </c>
      <c r="AS604" s="6" t="s">
        <v>19</v>
      </c>
      <c r="AT604" s="6" t="s">
        <v>19</v>
      </c>
      <c r="AU604" s="6" t="s">
        <v>3153</v>
      </c>
      <c r="AV604" s="36" t="s">
        <v>19</v>
      </c>
    </row>
    <row r="605" spans="1:48" ht="69" hidden="1" customHeight="1" x14ac:dyDescent="0.3">
      <c r="A605" s="4" t="s">
        <v>2267</v>
      </c>
      <c r="B605" s="4" t="s">
        <v>2126</v>
      </c>
      <c r="C605" s="4" t="s">
        <v>1976</v>
      </c>
      <c r="D605" s="6" t="s">
        <v>109</v>
      </c>
      <c r="E605" s="6" t="s">
        <v>19</v>
      </c>
      <c r="F605" s="6" t="s">
        <v>19</v>
      </c>
      <c r="G605" s="6" t="s">
        <v>19</v>
      </c>
      <c r="H605" s="6" t="s">
        <v>19</v>
      </c>
      <c r="I605" s="6" t="s">
        <v>19</v>
      </c>
      <c r="J605" s="6" t="s">
        <v>19</v>
      </c>
      <c r="K605" s="6" t="s">
        <v>19</v>
      </c>
      <c r="L605" s="6" t="s">
        <v>19</v>
      </c>
      <c r="M605" s="15" t="s">
        <v>2106</v>
      </c>
      <c r="N605" s="4" t="s">
        <v>2118</v>
      </c>
      <c r="O605" s="4"/>
      <c r="P605" s="4" t="s">
        <v>2168</v>
      </c>
      <c r="S605" s="15" t="e" cm="1">
        <f t="array" aca="1" ref="S605" ca="1">COMMONMARKETCOUNT(H605:AV605)</f>
        <v>#NAME?</v>
      </c>
      <c r="T605" s="15" t="e" cm="1">
        <f t="array" aca="1" ref="T605" ca="1">AUTOMATEDCOUNT(H605:AU605)</f>
        <v>#NAME?</v>
      </c>
      <c r="V605" s="6" t="s">
        <v>19</v>
      </c>
      <c r="W605" s="6" t="s">
        <v>19</v>
      </c>
      <c r="X605" s="6" t="s">
        <v>19</v>
      </c>
      <c r="Y605" s="6" t="s">
        <v>19</v>
      </c>
      <c r="Z605" s="6" t="s">
        <v>19</v>
      </c>
      <c r="AA605" s="6" t="s">
        <v>19</v>
      </c>
      <c r="AB605" s="6" t="s">
        <v>19</v>
      </c>
      <c r="AC605" s="6" t="s">
        <v>19</v>
      </c>
      <c r="AD605" s="15" t="s">
        <v>19</v>
      </c>
      <c r="AE605" s="15" t="s">
        <v>19</v>
      </c>
      <c r="AF605" s="6" t="s">
        <v>19</v>
      </c>
      <c r="AG605" s="6" t="s">
        <v>19</v>
      </c>
      <c r="AH605" s="6" t="s">
        <v>19</v>
      </c>
      <c r="AI605" s="6" t="s">
        <v>19</v>
      </c>
      <c r="AJ605" s="6" t="s">
        <v>19</v>
      </c>
      <c r="AK605" s="6" t="s">
        <v>19</v>
      </c>
      <c r="AL605" s="6" t="s">
        <v>19</v>
      </c>
      <c r="AM605" s="6" t="s">
        <v>19</v>
      </c>
      <c r="AN605" s="6" t="s">
        <v>19</v>
      </c>
      <c r="AO605" s="6" t="s">
        <v>19</v>
      </c>
      <c r="AP605" s="6" t="s">
        <v>19</v>
      </c>
      <c r="AQ605" s="6" t="s">
        <v>19</v>
      </c>
      <c r="AR605" s="6" t="s">
        <v>19</v>
      </c>
      <c r="AS605" s="6" t="s">
        <v>19</v>
      </c>
      <c r="AT605" s="6" t="s">
        <v>19</v>
      </c>
      <c r="AU605" s="6" t="s">
        <v>3153</v>
      </c>
      <c r="AV605" s="36" t="s">
        <v>19</v>
      </c>
    </row>
    <row r="606" spans="1:48" ht="81" hidden="1" customHeight="1" x14ac:dyDescent="0.3">
      <c r="A606" s="4" t="s">
        <v>2267</v>
      </c>
      <c r="B606" s="4" t="s">
        <v>2126</v>
      </c>
      <c r="C606" s="4" t="s">
        <v>1977</v>
      </c>
      <c r="D606" s="6" t="s">
        <v>109</v>
      </c>
      <c r="E606" s="6" t="s">
        <v>19</v>
      </c>
      <c r="F606" s="6" t="s">
        <v>19</v>
      </c>
      <c r="G606" s="6" t="s">
        <v>19</v>
      </c>
      <c r="H606" s="6" t="s">
        <v>19</v>
      </c>
      <c r="I606" s="6" t="s">
        <v>19</v>
      </c>
      <c r="J606" s="6" t="s">
        <v>19</v>
      </c>
      <c r="K606" s="6" t="s">
        <v>19</v>
      </c>
      <c r="L606" s="6" t="s">
        <v>19</v>
      </c>
      <c r="M606" s="15" t="s">
        <v>2107</v>
      </c>
      <c r="N606" s="4" t="s">
        <v>2129</v>
      </c>
      <c r="O606" s="4"/>
      <c r="P606" s="4" t="s">
        <v>2169</v>
      </c>
      <c r="S606" s="15" t="e" cm="1">
        <f t="array" aca="1" ref="S606" ca="1">COMMONMARKETCOUNT(H606:AV606)</f>
        <v>#NAME?</v>
      </c>
      <c r="T606" s="15" t="e" cm="1">
        <f t="array" aca="1" ref="T606" ca="1">AUTOMATEDCOUNT(H606:AU606)</f>
        <v>#NAME?</v>
      </c>
      <c r="V606" s="6" t="s">
        <v>19</v>
      </c>
      <c r="W606" s="6" t="s">
        <v>19</v>
      </c>
      <c r="X606" s="6" t="s">
        <v>19</v>
      </c>
      <c r="Y606" s="6" t="s">
        <v>19</v>
      </c>
      <c r="Z606" s="6" t="s">
        <v>19</v>
      </c>
      <c r="AA606" s="6" t="s">
        <v>19</v>
      </c>
      <c r="AB606" s="6" t="s">
        <v>19</v>
      </c>
      <c r="AC606" s="6" t="s">
        <v>19</v>
      </c>
      <c r="AD606" s="15" t="s">
        <v>19</v>
      </c>
      <c r="AE606" s="15" t="s">
        <v>19</v>
      </c>
      <c r="AF606" s="6" t="s">
        <v>19</v>
      </c>
      <c r="AG606" s="6" t="s">
        <v>19</v>
      </c>
      <c r="AH606" s="6" t="s">
        <v>19</v>
      </c>
      <c r="AI606" s="6" t="s">
        <v>19</v>
      </c>
      <c r="AJ606" s="6" t="s">
        <v>19</v>
      </c>
      <c r="AK606" s="6" t="s">
        <v>19</v>
      </c>
      <c r="AL606" s="6" t="s">
        <v>19</v>
      </c>
      <c r="AM606" s="6" t="s">
        <v>19</v>
      </c>
      <c r="AN606" s="6" t="s">
        <v>19</v>
      </c>
      <c r="AO606" s="6" t="s">
        <v>19</v>
      </c>
      <c r="AP606" s="6" t="s">
        <v>19</v>
      </c>
      <c r="AQ606" s="6" t="s">
        <v>19</v>
      </c>
      <c r="AR606" s="6" t="s">
        <v>19</v>
      </c>
      <c r="AS606" s="6" t="s">
        <v>19</v>
      </c>
      <c r="AT606" s="6" t="s">
        <v>19</v>
      </c>
      <c r="AU606" s="6" t="s">
        <v>3153</v>
      </c>
      <c r="AV606" s="36" t="s">
        <v>19</v>
      </c>
    </row>
    <row r="607" spans="1:48" ht="75" hidden="1" customHeight="1" x14ac:dyDescent="0.3">
      <c r="A607" s="4" t="s">
        <v>2267</v>
      </c>
      <c r="B607" s="4" t="s">
        <v>2126</v>
      </c>
      <c r="C607" s="4" t="s">
        <v>1978</v>
      </c>
      <c r="D607" s="6" t="s">
        <v>109</v>
      </c>
      <c r="E607" s="6" t="s">
        <v>19</v>
      </c>
      <c r="F607" s="6" t="s">
        <v>19</v>
      </c>
      <c r="G607" s="6" t="s">
        <v>19</v>
      </c>
      <c r="H607" s="6" t="s">
        <v>19</v>
      </c>
      <c r="I607" s="6" t="s">
        <v>19</v>
      </c>
      <c r="J607" s="6" t="s">
        <v>19</v>
      </c>
      <c r="K607" s="6" t="s">
        <v>19</v>
      </c>
      <c r="L607" s="6" t="s">
        <v>19</v>
      </c>
      <c r="M607" s="15" t="s">
        <v>2108</v>
      </c>
      <c r="N607" s="4" t="s">
        <v>2119</v>
      </c>
      <c r="O607" s="4"/>
      <c r="P607" s="4" t="s">
        <v>2170</v>
      </c>
      <c r="S607" s="15" t="e" cm="1">
        <f t="array" aca="1" ref="S607" ca="1">COMMONMARKETCOUNT(H607:AV607)</f>
        <v>#NAME?</v>
      </c>
      <c r="T607" s="15" t="e" cm="1">
        <f t="array" aca="1" ref="T607" ca="1">AUTOMATEDCOUNT(H607:AU607)</f>
        <v>#NAME?</v>
      </c>
      <c r="V607" s="6" t="s">
        <v>19</v>
      </c>
      <c r="W607" s="6" t="s">
        <v>19</v>
      </c>
      <c r="X607" s="6" t="s">
        <v>19</v>
      </c>
      <c r="Y607" s="6" t="s">
        <v>19</v>
      </c>
      <c r="Z607" s="6" t="s">
        <v>19</v>
      </c>
      <c r="AA607" s="6" t="s">
        <v>19</v>
      </c>
      <c r="AB607" s="6" t="s">
        <v>19</v>
      </c>
      <c r="AC607" s="6" t="s">
        <v>19</v>
      </c>
      <c r="AD607" s="18" t="s">
        <v>19</v>
      </c>
      <c r="AE607" s="18" t="s">
        <v>19</v>
      </c>
      <c r="AF607" s="6" t="s">
        <v>19</v>
      </c>
      <c r="AG607" s="6" t="s">
        <v>19</v>
      </c>
      <c r="AH607" s="6" t="s">
        <v>19</v>
      </c>
      <c r="AI607" s="6" t="s">
        <v>19</v>
      </c>
      <c r="AJ607" s="6" t="s">
        <v>19</v>
      </c>
      <c r="AK607" s="6" t="s">
        <v>19</v>
      </c>
      <c r="AL607" s="6" t="s">
        <v>19</v>
      </c>
      <c r="AM607" s="6" t="s">
        <v>19</v>
      </c>
      <c r="AN607" s="6" t="s">
        <v>19</v>
      </c>
      <c r="AO607" s="6" t="s">
        <v>19</v>
      </c>
      <c r="AP607" s="6" t="s">
        <v>19</v>
      </c>
      <c r="AQ607" s="6" t="s">
        <v>19</v>
      </c>
      <c r="AR607" s="6" t="s">
        <v>19</v>
      </c>
      <c r="AS607" s="6" t="s">
        <v>19</v>
      </c>
      <c r="AT607" s="6" t="s">
        <v>19</v>
      </c>
      <c r="AU607" s="6" t="s">
        <v>3153</v>
      </c>
      <c r="AV607" s="36" t="s">
        <v>19</v>
      </c>
    </row>
    <row r="608" spans="1:48" ht="77.25" hidden="1" customHeight="1" x14ac:dyDescent="0.3">
      <c r="A608" s="4" t="s">
        <v>2267</v>
      </c>
      <c r="B608" s="4" t="s">
        <v>2126</v>
      </c>
      <c r="C608" s="4" t="s">
        <v>1979</v>
      </c>
      <c r="D608" s="6" t="s">
        <v>109</v>
      </c>
      <c r="E608" s="6" t="s">
        <v>19</v>
      </c>
      <c r="F608" s="6" t="s">
        <v>19</v>
      </c>
      <c r="G608" s="6" t="s">
        <v>19</v>
      </c>
      <c r="H608" s="6" t="s">
        <v>19</v>
      </c>
      <c r="I608" s="6" t="s">
        <v>19</v>
      </c>
      <c r="J608" s="6" t="s">
        <v>19</v>
      </c>
      <c r="K608" s="6" t="s">
        <v>19</v>
      </c>
      <c r="L608" s="6" t="s">
        <v>19</v>
      </c>
      <c r="M608" s="15" t="s">
        <v>2985</v>
      </c>
      <c r="N608" s="4" t="s">
        <v>2120</v>
      </c>
      <c r="O608" s="4"/>
      <c r="P608" s="4" t="s">
        <v>2171</v>
      </c>
      <c r="S608" s="15" t="e" cm="1">
        <f t="array" aca="1" ref="S608" ca="1">COMMONMARKETCOUNT(H608:AV608)</f>
        <v>#NAME?</v>
      </c>
      <c r="T608" s="15" t="e" cm="1">
        <f t="array" aca="1" ref="T608" ca="1">AUTOMATEDCOUNT(H608:AU608)</f>
        <v>#NAME?</v>
      </c>
      <c r="V608" s="6" t="s">
        <v>19</v>
      </c>
      <c r="W608" s="6" t="s">
        <v>19</v>
      </c>
      <c r="X608" s="6" t="s">
        <v>19</v>
      </c>
      <c r="Y608" s="6" t="s">
        <v>19</v>
      </c>
      <c r="Z608" s="6" t="s">
        <v>19</v>
      </c>
      <c r="AA608" s="6" t="s">
        <v>19</v>
      </c>
      <c r="AB608" s="6" t="s">
        <v>19</v>
      </c>
      <c r="AC608" s="6" t="s">
        <v>19</v>
      </c>
      <c r="AD608" s="18" t="s">
        <v>19</v>
      </c>
      <c r="AE608" s="18" t="s">
        <v>19</v>
      </c>
      <c r="AF608" s="6" t="s">
        <v>19</v>
      </c>
      <c r="AG608" s="6" t="s">
        <v>19</v>
      </c>
      <c r="AH608" s="6" t="s">
        <v>19</v>
      </c>
      <c r="AI608" s="6" t="s">
        <v>19</v>
      </c>
      <c r="AJ608" s="6" t="s">
        <v>19</v>
      </c>
      <c r="AK608" s="6" t="s">
        <v>19</v>
      </c>
      <c r="AL608" s="6" t="s">
        <v>19</v>
      </c>
      <c r="AM608" s="6" t="s">
        <v>19</v>
      </c>
      <c r="AN608" s="6" t="s">
        <v>19</v>
      </c>
      <c r="AO608" s="6" t="s">
        <v>19</v>
      </c>
      <c r="AP608" s="6" t="s">
        <v>19</v>
      </c>
      <c r="AQ608" s="6" t="s">
        <v>19</v>
      </c>
      <c r="AR608" s="6" t="s">
        <v>19</v>
      </c>
      <c r="AS608" s="6" t="s">
        <v>19</v>
      </c>
      <c r="AT608" s="6" t="s">
        <v>19</v>
      </c>
      <c r="AU608" s="6" t="s">
        <v>3153</v>
      </c>
      <c r="AV608" s="36" t="s">
        <v>19</v>
      </c>
    </row>
    <row r="609" spans="1:264" ht="78.75" hidden="1" customHeight="1" x14ac:dyDescent="0.3">
      <c r="A609" s="4" t="s">
        <v>2267</v>
      </c>
      <c r="B609" s="4" t="s">
        <v>2126</v>
      </c>
      <c r="C609" s="4" t="s">
        <v>1980</v>
      </c>
      <c r="D609" s="6" t="s">
        <v>109</v>
      </c>
      <c r="E609" s="6" t="s">
        <v>19</v>
      </c>
      <c r="F609" s="6" t="s">
        <v>19</v>
      </c>
      <c r="G609" s="6" t="s">
        <v>19</v>
      </c>
      <c r="H609" s="6" t="s">
        <v>19</v>
      </c>
      <c r="I609" s="6" t="s">
        <v>19</v>
      </c>
      <c r="J609" s="6" t="s">
        <v>19</v>
      </c>
      <c r="K609" s="6" t="s">
        <v>19</v>
      </c>
      <c r="L609" s="6" t="s">
        <v>19</v>
      </c>
      <c r="M609" s="15" t="s">
        <v>2109</v>
      </c>
      <c r="N609" s="4" t="s">
        <v>2121</v>
      </c>
      <c r="O609" s="4"/>
      <c r="P609" s="4" t="s">
        <v>2172</v>
      </c>
      <c r="S609" s="15" t="e" cm="1">
        <f t="array" aca="1" ref="S609" ca="1">COMMONMARKETCOUNT(H609:AV609)</f>
        <v>#NAME?</v>
      </c>
      <c r="T609" s="15" t="e" cm="1">
        <f t="array" aca="1" ref="T609" ca="1">AUTOMATEDCOUNT(H609:AU609)</f>
        <v>#NAME?</v>
      </c>
      <c r="V609" s="6" t="s">
        <v>19</v>
      </c>
      <c r="W609" s="6" t="s">
        <v>19</v>
      </c>
      <c r="X609" s="6" t="s">
        <v>19</v>
      </c>
      <c r="Y609" s="6" t="s">
        <v>19</v>
      </c>
      <c r="Z609" s="6" t="s">
        <v>19</v>
      </c>
      <c r="AA609" s="6" t="s">
        <v>19</v>
      </c>
      <c r="AB609" s="6" t="s">
        <v>19</v>
      </c>
      <c r="AC609" s="6" t="s">
        <v>19</v>
      </c>
      <c r="AD609" s="18" t="s">
        <v>109</v>
      </c>
      <c r="AE609" s="18" t="s">
        <v>109</v>
      </c>
      <c r="AF609" s="6" t="s">
        <v>19</v>
      </c>
      <c r="AG609" s="6" t="s">
        <v>19</v>
      </c>
      <c r="AH609" s="6" t="s">
        <v>19</v>
      </c>
      <c r="AI609" s="6" t="s">
        <v>19</v>
      </c>
      <c r="AJ609" s="6" t="s">
        <v>19</v>
      </c>
      <c r="AK609" s="6" t="s">
        <v>19</v>
      </c>
      <c r="AL609" s="6" t="s">
        <v>19</v>
      </c>
      <c r="AM609" s="6" t="s">
        <v>19</v>
      </c>
      <c r="AN609" s="6" t="s">
        <v>19</v>
      </c>
      <c r="AO609" s="6" t="s">
        <v>19</v>
      </c>
      <c r="AP609" s="6" t="s">
        <v>19</v>
      </c>
      <c r="AQ609" s="6" t="s">
        <v>19</v>
      </c>
      <c r="AR609" s="6" t="s">
        <v>19</v>
      </c>
      <c r="AS609" s="6" t="s">
        <v>19</v>
      </c>
      <c r="AT609" s="6" t="s">
        <v>19</v>
      </c>
      <c r="AU609" s="6" t="s">
        <v>3153</v>
      </c>
      <c r="AV609" s="36" t="s">
        <v>19</v>
      </c>
    </row>
    <row r="610" spans="1:264" ht="84.75" hidden="1" customHeight="1" x14ac:dyDescent="0.3">
      <c r="A610" s="4" t="s">
        <v>2267</v>
      </c>
      <c r="B610" s="4" t="s">
        <v>2126</v>
      </c>
      <c r="C610" s="4" t="s">
        <v>1981</v>
      </c>
      <c r="D610" s="6" t="s">
        <v>109</v>
      </c>
      <c r="E610" s="6" t="s">
        <v>19</v>
      </c>
      <c r="F610" s="6" t="s">
        <v>19</v>
      </c>
      <c r="G610" s="6" t="s">
        <v>19</v>
      </c>
      <c r="H610" s="6" t="s">
        <v>19</v>
      </c>
      <c r="I610" s="6" t="s">
        <v>19</v>
      </c>
      <c r="J610" s="6" t="s">
        <v>19</v>
      </c>
      <c r="K610" s="6" t="s">
        <v>19</v>
      </c>
      <c r="L610" s="6" t="s">
        <v>19</v>
      </c>
      <c r="M610" s="15" t="s">
        <v>2110</v>
      </c>
      <c r="N610" s="4" t="s">
        <v>2122</v>
      </c>
      <c r="O610" s="4"/>
      <c r="P610" s="4" t="s">
        <v>2173</v>
      </c>
      <c r="S610" s="15" t="e" cm="1">
        <f t="array" aca="1" ref="S610" ca="1">COMMONMARKETCOUNT(H610:AV610)</f>
        <v>#NAME?</v>
      </c>
      <c r="T610" s="15" t="e" cm="1">
        <f t="array" aca="1" ref="T610" ca="1">AUTOMATEDCOUNT(H610:AU610)</f>
        <v>#NAME?</v>
      </c>
      <c r="V610" s="6" t="s">
        <v>19</v>
      </c>
      <c r="W610" s="6" t="s">
        <v>19</v>
      </c>
      <c r="X610" s="6" t="s">
        <v>19</v>
      </c>
      <c r="Y610" s="6" t="s">
        <v>19</v>
      </c>
      <c r="Z610" s="6" t="s">
        <v>19</v>
      </c>
      <c r="AA610" s="6" t="s">
        <v>19</v>
      </c>
      <c r="AB610" s="6" t="s">
        <v>19</v>
      </c>
      <c r="AC610" s="6" t="s">
        <v>19</v>
      </c>
      <c r="AD610" s="18" t="s">
        <v>19</v>
      </c>
      <c r="AE610" s="18" t="s">
        <v>19</v>
      </c>
      <c r="AF610" s="6" t="s">
        <v>19</v>
      </c>
      <c r="AG610" s="6" t="s">
        <v>19</v>
      </c>
      <c r="AH610" s="6" t="s">
        <v>19</v>
      </c>
      <c r="AI610" s="6" t="s">
        <v>19</v>
      </c>
      <c r="AJ610" s="6" t="s">
        <v>19</v>
      </c>
      <c r="AK610" s="6" t="s">
        <v>19</v>
      </c>
      <c r="AL610" s="6" t="s">
        <v>19</v>
      </c>
      <c r="AM610" s="6" t="s">
        <v>19</v>
      </c>
      <c r="AN610" s="6" t="s">
        <v>19</v>
      </c>
      <c r="AO610" s="6" t="s">
        <v>19</v>
      </c>
      <c r="AP610" s="6" t="s">
        <v>19</v>
      </c>
      <c r="AQ610" s="6" t="s">
        <v>19</v>
      </c>
      <c r="AR610" s="6" t="s">
        <v>19</v>
      </c>
      <c r="AS610" s="6" t="s">
        <v>19</v>
      </c>
      <c r="AT610" s="6" t="s">
        <v>19</v>
      </c>
      <c r="AU610" s="6" t="s">
        <v>3153</v>
      </c>
      <c r="AV610" s="36" t="s">
        <v>19</v>
      </c>
    </row>
    <row r="611" spans="1:264" ht="94.5" hidden="1" customHeight="1" x14ac:dyDescent="0.3">
      <c r="A611" s="4" t="s">
        <v>2267</v>
      </c>
      <c r="B611" s="4" t="s">
        <v>2126</v>
      </c>
      <c r="C611" s="4" t="s">
        <v>1982</v>
      </c>
      <c r="D611" s="6" t="s">
        <v>109</v>
      </c>
      <c r="E611" s="6" t="s">
        <v>19</v>
      </c>
      <c r="F611" s="6" t="s">
        <v>19</v>
      </c>
      <c r="G611" s="6" t="s">
        <v>19</v>
      </c>
      <c r="H611" s="6" t="s">
        <v>19</v>
      </c>
      <c r="I611" s="6" t="s">
        <v>19</v>
      </c>
      <c r="J611" s="6" t="s">
        <v>19</v>
      </c>
      <c r="K611" s="6" t="s">
        <v>19</v>
      </c>
      <c r="L611" s="6" t="s">
        <v>19</v>
      </c>
      <c r="M611" s="15" t="s">
        <v>2111</v>
      </c>
      <c r="N611" s="4" t="s">
        <v>2123</v>
      </c>
      <c r="O611" s="4"/>
      <c r="P611" s="4" t="s">
        <v>2174</v>
      </c>
      <c r="S611" s="15" t="e" cm="1">
        <f t="array" aca="1" ref="S611" ca="1">COMMONMARKETCOUNT(H611:AV611)</f>
        <v>#NAME?</v>
      </c>
      <c r="T611" s="15" t="e" cm="1">
        <f t="array" aca="1" ref="T611" ca="1">AUTOMATEDCOUNT(H611:AU611)</f>
        <v>#NAME?</v>
      </c>
      <c r="V611" s="6" t="s">
        <v>19</v>
      </c>
      <c r="W611" s="6" t="s">
        <v>19</v>
      </c>
      <c r="X611" s="6" t="s">
        <v>19</v>
      </c>
      <c r="Y611" s="6" t="s">
        <v>19</v>
      </c>
      <c r="Z611" s="6" t="s">
        <v>19</v>
      </c>
      <c r="AA611" s="6" t="s">
        <v>19</v>
      </c>
      <c r="AB611" s="6" t="s">
        <v>19</v>
      </c>
      <c r="AC611" s="6" t="s">
        <v>19</v>
      </c>
      <c r="AD611" s="18" t="s">
        <v>19</v>
      </c>
      <c r="AE611" s="18" t="s">
        <v>19</v>
      </c>
      <c r="AF611" s="6" t="s">
        <v>19</v>
      </c>
      <c r="AG611" s="6" t="s">
        <v>19</v>
      </c>
      <c r="AH611" s="6" t="s">
        <v>19</v>
      </c>
      <c r="AI611" s="6" t="s">
        <v>19</v>
      </c>
      <c r="AJ611" s="6" t="s">
        <v>19</v>
      </c>
      <c r="AK611" s="6" t="s">
        <v>19</v>
      </c>
      <c r="AL611" s="6" t="s">
        <v>19</v>
      </c>
      <c r="AM611" s="6" t="s">
        <v>19</v>
      </c>
      <c r="AN611" s="6" t="s">
        <v>19</v>
      </c>
      <c r="AO611" s="6" t="s">
        <v>19</v>
      </c>
      <c r="AP611" s="6" t="s">
        <v>19</v>
      </c>
      <c r="AQ611" s="6" t="s">
        <v>19</v>
      </c>
      <c r="AR611" s="6" t="s">
        <v>19</v>
      </c>
      <c r="AS611" s="6" t="s">
        <v>19</v>
      </c>
      <c r="AT611" s="6" t="s">
        <v>19</v>
      </c>
      <c r="AU611" s="6" t="s">
        <v>3153</v>
      </c>
      <c r="AV611" s="36" t="s">
        <v>19</v>
      </c>
    </row>
    <row r="612" spans="1:264" ht="165.75" hidden="1" customHeight="1" x14ac:dyDescent="0.3">
      <c r="A612" s="4" t="s">
        <v>2267</v>
      </c>
      <c r="B612" s="4" t="s">
        <v>2126</v>
      </c>
      <c r="C612" s="4" t="s">
        <v>1983</v>
      </c>
      <c r="D612" s="6" t="s">
        <v>109</v>
      </c>
      <c r="E612" s="6" t="s">
        <v>19</v>
      </c>
      <c r="F612" s="6" t="s">
        <v>19</v>
      </c>
      <c r="G612" s="6" t="s">
        <v>19</v>
      </c>
      <c r="H612" s="6" t="s">
        <v>19</v>
      </c>
      <c r="I612" s="6" t="s">
        <v>19</v>
      </c>
      <c r="J612" s="6" t="s">
        <v>19</v>
      </c>
      <c r="K612" s="6" t="s">
        <v>19</v>
      </c>
      <c r="L612" s="6" t="s">
        <v>19</v>
      </c>
      <c r="M612" s="15" t="s">
        <v>2112</v>
      </c>
      <c r="N612" s="4" t="s">
        <v>2124</v>
      </c>
      <c r="O612" s="4"/>
      <c r="P612" s="4" t="s">
        <v>2175</v>
      </c>
      <c r="S612" s="15" t="e" cm="1">
        <f t="array" aca="1" ref="S612" ca="1">COMMONMARKETCOUNT(H612:AV612)</f>
        <v>#NAME?</v>
      </c>
      <c r="T612" s="15" t="e" cm="1">
        <f t="array" aca="1" ref="T612" ca="1">AUTOMATEDCOUNT(H612:AU612)</f>
        <v>#NAME?</v>
      </c>
      <c r="V612" s="6" t="s">
        <v>19</v>
      </c>
      <c r="W612" s="6" t="s">
        <v>19</v>
      </c>
      <c r="X612" s="6" t="s">
        <v>19</v>
      </c>
      <c r="Y612" s="6" t="s">
        <v>19</v>
      </c>
      <c r="Z612" s="6" t="s">
        <v>19</v>
      </c>
      <c r="AA612" s="6" t="s">
        <v>19</v>
      </c>
      <c r="AB612" s="6" t="s">
        <v>19</v>
      </c>
      <c r="AC612" s="6" t="s">
        <v>19</v>
      </c>
      <c r="AD612" s="18" t="s">
        <v>19</v>
      </c>
      <c r="AE612" s="18" t="s">
        <v>19</v>
      </c>
      <c r="AF612" s="6" t="s">
        <v>19</v>
      </c>
      <c r="AG612" s="6" t="s">
        <v>19</v>
      </c>
      <c r="AH612" s="6" t="s">
        <v>19</v>
      </c>
      <c r="AI612" s="6" t="s">
        <v>19</v>
      </c>
      <c r="AJ612" s="6" t="s">
        <v>19</v>
      </c>
      <c r="AK612" s="6" t="s">
        <v>19</v>
      </c>
      <c r="AL612" s="6" t="s">
        <v>19</v>
      </c>
      <c r="AM612" s="6" t="s">
        <v>19</v>
      </c>
      <c r="AN612" s="6" t="s">
        <v>19</v>
      </c>
      <c r="AO612" s="6" t="s">
        <v>19</v>
      </c>
      <c r="AP612" s="6" t="s">
        <v>19</v>
      </c>
      <c r="AQ612" s="6" t="s">
        <v>19</v>
      </c>
      <c r="AR612" s="6" t="s">
        <v>19</v>
      </c>
      <c r="AS612" s="6" t="s">
        <v>19</v>
      </c>
      <c r="AT612" s="6" t="s">
        <v>19</v>
      </c>
      <c r="AU612" s="6" t="s">
        <v>3153</v>
      </c>
      <c r="AV612" s="36" t="s">
        <v>19</v>
      </c>
    </row>
    <row r="613" spans="1:264" ht="111.75" hidden="1" customHeight="1" x14ac:dyDescent="0.3">
      <c r="A613" s="4" t="s">
        <v>2267</v>
      </c>
      <c r="B613" s="4" t="s">
        <v>2126</v>
      </c>
      <c r="C613" s="4" t="s">
        <v>1984</v>
      </c>
      <c r="D613" s="6" t="s">
        <v>109</v>
      </c>
      <c r="E613" s="6" t="s">
        <v>19</v>
      </c>
      <c r="F613" s="6" t="s">
        <v>19</v>
      </c>
      <c r="G613" s="6" t="s">
        <v>19</v>
      </c>
      <c r="H613" s="6" t="s">
        <v>19</v>
      </c>
      <c r="I613" s="6" t="s">
        <v>19</v>
      </c>
      <c r="J613" s="6" t="s">
        <v>19</v>
      </c>
      <c r="K613" s="6" t="s">
        <v>19</v>
      </c>
      <c r="L613" s="6" t="s">
        <v>19</v>
      </c>
      <c r="M613" s="15" t="s">
        <v>2113</v>
      </c>
      <c r="N613" s="4" t="s">
        <v>2125</v>
      </c>
      <c r="O613" s="4"/>
      <c r="P613" s="4" t="s">
        <v>2176</v>
      </c>
      <c r="S613" s="15" t="e" cm="1">
        <f t="array" aca="1" ref="S613" ca="1">COMMONMARKETCOUNT(H613:AV613)</f>
        <v>#NAME?</v>
      </c>
      <c r="T613" s="15" t="e" cm="1">
        <f t="array" aca="1" ref="T613" ca="1">AUTOMATEDCOUNT(H613:AU613)</f>
        <v>#NAME?</v>
      </c>
      <c r="V613" s="6" t="s">
        <v>19</v>
      </c>
      <c r="W613" s="6" t="s">
        <v>19</v>
      </c>
      <c r="X613" s="6" t="s">
        <v>19</v>
      </c>
      <c r="Y613" s="6" t="s">
        <v>19</v>
      </c>
      <c r="Z613" s="6" t="s">
        <v>19</v>
      </c>
      <c r="AA613" s="6" t="s">
        <v>19</v>
      </c>
      <c r="AB613" s="6" t="s">
        <v>19</v>
      </c>
      <c r="AC613" s="6" t="s">
        <v>19</v>
      </c>
      <c r="AD613" s="18" t="s">
        <v>19</v>
      </c>
      <c r="AE613" s="18" t="s">
        <v>19</v>
      </c>
      <c r="AF613" s="6" t="s">
        <v>19</v>
      </c>
      <c r="AG613" s="6" t="s">
        <v>19</v>
      </c>
      <c r="AH613" s="6" t="s">
        <v>19</v>
      </c>
      <c r="AI613" s="6" t="s">
        <v>19</v>
      </c>
      <c r="AJ613" s="6" t="s">
        <v>19</v>
      </c>
      <c r="AK613" s="6" t="s">
        <v>19</v>
      </c>
      <c r="AL613" s="6" t="s">
        <v>19</v>
      </c>
      <c r="AM613" s="6" t="s">
        <v>19</v>
      </c>
      <c r="AN613" s="6" t="s">
        <v>19</v>
      </c>
      <c r="AO613" s="6" t="s">
        <v>19</v>
      </c>
      <c r="AP613" s="6" t="s">
        <v>19</v>
      </c>
      <c r="AQ613" s="6" t="s">
        <v>19</v>
      </c>
      <c r="AR613" s="6" t="s">
        <v>19</v>
      </c>
      <c r="AS613" s="6" t="s">
        <v>19</v>
      </c>
      <c r="AT613" s="6" t="s">
        <v>19</v>
      </c>
      <c r="AU613" s="6" t="s">
        <v>3153</v>
      </c>
      <c r="AV613" s="36" t="s">
        <v>19</v>
      </c>
    </row>
    <row r="614" spans="1:264" ht="80.25" hidden="1" customHeight="1" x14ac:dyDescent="0.3">
      <c r="A614" s="4" t="s">
        <v>2267</v>
      </c>
      <c r="B614" s="4" t="s">
        <v>2126</v>
      </c>
      <c r="C614" s="4" t="s">
        <v>1985</v>
      </c>
      <c r="D614" s="6" t="s">
        <v>109</v>
      </c>
      <c r="E614" s="6" t="s">
        <v>19</v>
      </c>
      <c r="F614" s="6" t="s">
        <v>19</v>
      </c>
      <c r="G614" s="6" t="s">
        <v>19</v>
      </c>
      <c r="H614" s="6" t="s">
        <v>19</v>
      </c>
      <c r="I614" s="6" t="s">
        <v>19</v>
      </c>
      <c r="J614" s="6" t="s">
        <v>19</v>
      </c>
      <c r="K614" s="6" t="s">
        <v>19</v>
      </c>
      <c r="L614" s="6" t="s">
        <v>19</v>
      </c>
      <c r="M614" s="15" t="s">
        <v>2130</v>
      </c>
      <c r="N614" s="4" t="s">
        <v>2131</v>
      </c>
      <c r="O614" s="4"/>
      <c r="P614" s="4" t="s">
        <v>2177</v>
      </c>
      <c r="S614" s="15" t="e" cm="1">
        <f t="array" aca="1" ref="S614" ca="1">COMMONMARKETCOUNT(H614:AV614)</f>
        <v>#NAME?</v>
      </c>
      <c r="T614" s="15" t="e" cm="1">
        <f t="array" aca="1" ref="T614" ca="1">AUTOMATEDCOUNT(H614:AU614)</f>
        <v>#NAME?</v>
      </c>
      <c r="V614" s="6" t="s">
        <v>19</v>
      </c>
      <c r="W614" s="6" t="s">
        <v>19</v>
      </c>
      <c r="X614" s="6" t="s">
        <v>19</v>
      </c>
      <c r="Y614" s="6" t="s">
        <v>19</v>
      </c>
      <c r="Z614" s="6" t="s">
        <v>19</v>
      </c>
      <c r="AA614" s="6" t="s">
        <v>19</v>
      </c>
      <c r="AB614" s="6" t="s">
        <v>19</v>
      </c>
      <c r="AC614" s="6" t="s">
        <v>19</v>
      </c>
      <c r="AD614" s="18" t="s">
        <v>19</v>
      </c>
      <c r="AE614" s="18" t="s">
        <v>19</v>
      </c>
      <c r="AF614" s="6" t="s">
        <v>19</v>
      </c>
      <c r="AG614" s="6" t="s">
        <v>19</v>
      </c>
      <c r="AH614" s="6" t="s">
        <v>19</v>
      </c>
      <c r="AI614" s="6" t="s">
        <v>19</v>
      </c>
      <c r="AJ614" s="6" t="s">
        <v>19</v>
      </c>
      <c r="AK614" s="6" t="s">
        <v>19</v>
      </c>
      <c r="AL614" s="6" t="s">
        <v>19</v>
      </c>
      <c r="AM614" s="6" t="s">
        <v>19</v>
      </c>
      <c r="AN614" s="6" t="s">
        <v>19</v>
      </c>
      <c r="AO614" s="6" t="s">
        <v>19</v>
      </c>
      <c r="AP614" s="6" t="s">
        <v>19</v>
      </c>
      <c r="AQ614" s="6" t="s">
        <v>19</v>
      </c>
      <c r="AR614" s="6" t="s">
        <v>19</v>
      </c>
      <c r="AS614" s="6" t="s">
        <v>19</v>
      </c>
      <c r="AT614" s="6" t="s">
        <v>19</v>
      </c>
      <c r="AU614" s="6" t="s">
        <v>3153</v>
      </c>
      <c r="AV614" s="36" t="s">
        <v>19</v>
      </c>
      <c r="AW614" s="36"/>
      <c r="AX614" s="36"/>
      <c r="AY614" s="36"/>
      <c r="AZ614" s="36"/>
      <c r="BA614" s="36"/>
      <c r="BB614" s="36"/>
      <c r="BC614" s="36"/>
      <c r="BD614" s="36"/>
      <c r="BE614" s="36"/>
      <c r="BF614" s="36"/>
      <c r="BG614" s="36"/>
      <c r="BH614" s="36"/>
      <c r="BI614" s="36"/>
      <c r="BJ614" s="36"/>
      <c r="BK614" s="36"/>
      <c r="BL614" s="36"/>
      <c r="BM614" s="36"/>
      <c r="BN614" s="36"/>
      <c r="BO614" s="36"/>
      <c r="BP614" s="36"/>
      <c r="BQ614" s="36"/>
      <c r="BR614" s="36"/>
      <c r="BS614" s="36"/>
      <c r="BT614" s="36"/>
      <c r="BU614" s="36"/>
      <c r="BV614" s="36"/>
      <c r="BW614" s="36"/>
      <c r="BX614" s="36"/>
      <c r="BY614" s="36"/>
      <c r="BZ614" s="36"/>
      <c r="CA614" s="36"/>
      <c r="CB614" s="36"/>
      <c r="CC614" s="36"/>
      <c r="CD614" s="36"/>
      <c r="CE614" s="36"/>
      <c r="CF614" s="36"/>
      <c r="CG614" s="36"/>
      <c r="CH614" s="36"/>
      <c r="CI614" s="36"/>
      <c r="CJ614" s="36"/>
      <c r="CK614" s="36"/>
      <c r="CL614" s="36"/>
      <c r="CM614" s="36"/>
      <c r="CN614" s="36"/>
      <c r="CO614" s="36"/>
      <c r="CP614" s="36"/>
      <c r="CQ614" s="36"/>
      <c r="CR614" s="36"/>
      <c r="CS614" s="36"/>
      <c r="CT614" s="36"/>
      <c r="CU614" s="36"/>
      <c r="CV614" s="36"/>
      <c r="CW614" s="36"/>
      <c r="CX614" s="36"/>
      <c r="CY614" s="36"/>
      <c r="CZ614" s="36"/>
      <c r="DA614" s="36"/>
      <c r="DB614" s="36"/>
      <c r="DC614" s="36"/>
      <c r="DD614" s="36"/>
      <c r="DE614" s="36"/>
      <c r="DF614" s="36"/>
      <c r="DG614" s="36"/>
      <c r="DH614" s="36"/>
      <c r="DI614" s="36"/>
      <c r="DJ614" s="36"/>
      <c r="DK614" s="36"/>
      <c r="DL614" s="36"/>
      <c r="DM614" s="36"/>
      <c r="DN614" s="36"/>
      <c r="DO614" s="36"/>
      <c r="DP614" s="36"/>
      <c r="DQ614" s="36"/>
      <c r="DR614" s="36"/>
      <c r="DS614" s="36"/>
      <c r="DT614" s="36"/>
      <c r="DU614" s="36"/>
      <c r="DV614" s="36"/>
      <c r="DW614" s="36"/>
      <c r="DX614" s="36"/>
      <c r="DY614" s="36"/>
      <c r="DZ614" s="36"/>
      <c r="EA614" s="36"/>
      <c r="EB614" s="36"/>
      <c r="EC614" s="36"/>
      <c r="ED614" s="36"/>
      <c r="EE614" s="36"/>
      <c r="EF614" s="36"/>
      <c r="EG614" s="36"/>
      <c r="EH614" s="36"/>
      <c r="EI614" s="36"/>
      <c r="EJ614" s="36"/>
      <c r="EK614" s="36"/>
      <c r="EL614" s="36"/>
      <c r="EM614" s="36"/>
      <c r="EN614" s="36"/>
      <c r="EO614" s="36"/>
      <c r="EP614" s="36"/>
      <c r="EQ614" s="36"/>
      <c r="ER614" s="36"/>
      <c r="ES614" s="36"/>
      <c r="ET614" s="36"/>
      <c r="EU614" s="36"/>
      <c r="EV614" s="36"/>
      <c r="EW614" s="36"/>
      <c r="EX614" s="36"/>
      <c r="EY614" s="36"/>
      <c r="EZ614" s="36"/>
      <c r="FA614" s="36"/>
      <c r="FB614" s="36"/>
      <c r="FC614" s="36"/>
      <c r="FD614" s="36"/>
      <c r="FE614" s="36"/>
      <c r="FF614" s="36"/>
      <c r="FG614" s="36"/>
      <c r="FH614" s="36"/>
      <c r="FI614" s="36"/>
      <c r="FJ614" s="36"/>
      <c r="FK614" s="36"/>
      <c r="FL614" s="36"/>
      <c r="FM614" s="36"/>
      <c r="FN614" s="36"/>
      <c r="FO614" s="36"/>
      <c r="FP614" s="36"/>
      <c r="FQ614" s="36"/>
      <c r="FR614" s="36"/>
      <c r="FS614" s="36"/>
      <c r="FT614" s="36"/>
      <c r="FU614" s="36"/>
      <c r="FV614" s="36"/>
      <c r="FW614" s="36"/>
      <c r="FX614" s="36"/>
      <c r="FY614" s="36"/>
      <c r="FZ614" s="36"/>
      <c r="GA614" s="36"/>
      <c r="GB614" s="36"/>
      <c r="GC614" s="36"/>
      <c r="GD614" s="36"/>
      <c r="GE614" s="36"/>
      <c r="GF614" s="36"/>
      <c r="GG614" s="36"/>
      <c r="GH614" s="36"/>
      <c r="GI614" s="36"/>
      <c r="GJ614" s="36"/>
      <c r="GK614" s="36"/>
      <c r="GL614" s="36"/>
      <c r="GM614" s="36"/>
      <c r="GN614" s="36"/>
      <c r="GO614" s="36"/>
      <c r="GP614" s="36"/>
      <c r="GQ614" s="36"/>
      <c r="GR614" s="36"/>
      <c r="GS614" s="36"/>
      <c r="GT614" s="36"/>
      <c r="GU614" s="36"/>
      <c r="GV614" s="36"/>
      <c r="GW614" s="36"/>
      <c r="GX614" s="36"/>
      <c r="GY614" s="36"/>
      <c r="GZ614" s="36"/>
      <c r="HA614" s="36"/>
      <c r="HB614" s="36"/>
      <c r="HC614" s="36"/>
      <c r="HD614" s="36"/>
      <c r="HE614" s="36"/>
      <c r="HF614" s="36"/>
      <c r="HG614" s="36"/>
      <c r="HH614" s="36"/>
      <c r="HI614" s="36"/>
      <c r="HJ614" s="36"/>
      <c r="HK614" s="36"/>
      <c r="HL614" s="36"/>
      <c r="HM614" s="36"/>
      <c r="HN614" s="36"/>
      <c r="HO614" s="36"/>
      <c r="HP614" s="36"/>
      <c r="HQ614" s="36"/>
      <c r="HR614" s="36"/>
      <c r="HS614" s="36"/>
      <c r="HT614" s="36"/>
      <c r="HU614" s="36"/>
      <c r="HV614" s="36"/>
      <c r="HW614" s="36"/>
      <c r="HX614" s="36"/>
      <c r="HY614" s="36"/>
      <c r="HZ614" s="36"/>
      <c r="IA614" s="36"/>
      <c r="IB614" s="36"/>
      <c r="IC614" s="36"/>
      <c r="ID614" s="36"/>
      <c r="IE614" s="36"/>
      <c r="IF614" s="36"/>
      <c r="IG614" s="36"/>
      <c r="IH614" s="36"/>
      <c r="II614" s="36"/>
      <c r="IJ614" s="36"/>
      <c r="IK614" s="36"/>
      <c r="IL614" s="36"/>
      <c r="IM614" s="36"/>
      <c r="IN614" s="36"/>
      <c r="IO614" s="36"/>
      <c r="IP614" s="36"/>
      <c r="IQ614" s="36"/>
      <c r="IR614" s="36"/>
      <c r="IS614" s="36"/>
      <c r="IT614" s="36"/>
      <c r="IU614" s="36"/>
      <c r="IV614" s="36"/>
      <c r="IW614" s="36"/>
      <c r="IX614" s="36"/>
      <c r="IY614" s="36"/>
      <c r="IZ614" s="36"/>
      <c r="JA614" s="36"/>
      <c r="JB614" s="36"/>
      <c r="JC614" s="36"/>
      <c r="JD614" s="36"/>
    </row>
    <row r="615" spans="1:264" ht="73.5" hidden="1" customHeight="1" x14ac:dyDescent="0.3">
      <c r="A615" s="4" t="s">
        <v>2267</v>
      </c>
      <c r="B615" s="4" t="s">
        <v>2126</v>
      </c>
      <c r="C615" s="4" t="s">
        <v>1986</v>
      </c>
      <c r="D615" s="6" t="s">
        <v>109</v>
      </c>
      <c r="E615" s="6" t="s">
        <v>19</v>
      </c>
      <c r="F615" s="6" t="s">
        <v>19</v>
      </c>
      <c r="G615" s="6" t="s">
        <v>19</v>
      </c>
      <c r="H615" s="6" t="s">
        <v>19</v>
      </c>
      <c r="I615" s="6" t="s">
        <v>19</v>
      </c>
      <c r="J615" s="6" t="s">
        <v>19</v>
      </c>
      <c r="K615" s="6" t="s">
        <v>19</v>
      </c>
      <c r="L615" s="6" t="s">
        <v>19</v>
      </c>
      <c r="M615" s="15" t="s">
        <v>2114</v>
      </c>
      <c r="N615" s="4" t="s">
        <v>2132</v>
      </c>
      <c r="O615" s="4"/>
      <c r="P615" s="4" t="s">
        <v>2178</v>
      </c>
      <c r="S615" s="15" t="e" cm="1">
        <f t="array" aca="1" ref="S615" ca="1">COMMONMARKETCOUNT(H615:AV615)</f>
        <v>#NAME?</v>
      </c>
      <c r="T615" s="15" t="e" cm="1">
        <f t="array" aca="1" ref="T615" ca="1">AUTOMATEDCOUNT(H615:AU615)</f>
        <v>#NAME?</v>
      </c>
      <c r="V615" s="6" t="s">
        <v>19</v>
      </c>
      <c r="W615" s="6" t="s">
        <v>19</v>
      </c>
      <c r="X615" s="6" t="s">
        <v>19</v>
      </c>
      <c r="Y615" s="6" t="s">
        <v>19</v>
      </c>
      <c r="Z615" s="6" t="s">
        <v>19</v>
      </c>
      <c r="AA615" s="6" t="s">
        <v>19</v>
      </c>
      <c r="AB615" s="6" t="s">
        <v>19</v>
      </c>
      <c r="AC615" s="6" t="s">
        <v>19</v>
      </c>
      <c r="AD615" s="18" t="s">
        <v>19</v>
      </c>
      <c r="AE615" s="18" t="s">
        <v>19</v>
      </c>
      <c r="AF615" s="6" t="s">
        <v>19</v>
      </c>
      <c r="AG615" s="6" t="s">
        <v>19</v>
      </c>
      <c r="AH615" s="6" t="s">
        <v>19</v>
      </c>
      <c r="AI615" s="6" t="s">
        <v>19</v>
      </c>
      <c r="AJ615" s="6" t="s">
        <v>19</v>
      </c>
      <c r="AK615" s="6" t="s">
        <v>19</v>
      </c>
      <c r="AL615" s="6" t="s">
        <v>19</v>
      </c>
      <c r="AM615" s="6" t="s">
        <v>19</v>
      </c>
      <c r="AN615" s="6" t="s">
        <v>19</v>
      </c>
      <c r="AO615" s="6" t="s">
        <v>19</v>
      </c>
      <c r="AP615" s="6" t="s">
        <v>19</v>
      </c>
      <c r="AQ615" s="6" t="s">
        <v>19</v>
      </c>
      <c r="AR615" s="6" t="s">
        <v>19</v>
      </c>
      <c r="AS615" s="6" t="s">
        <v>19</v>
      </c>
      <c r="AT615" s="6" t="s">
        <v>19</v>
      </c>
      <c r="AU615" s="6" t="s">
        <v>3153</v>
      </c>
      <c r="AV615" s="36" t="s">
        <v>19</v>
      </c>
    </row>
    <row r="616" spans="1:264" ht="54" hidden="1" customHeight="1" x14ac:dyDescent="0.3">
      <c r="A616" s="4" t="s">
        <v>2267</v>
      </c>
      <c r="B616" s="4" t="s">
        <v>2126</v>
      </c>
      <c r="C616" s="4" t="s">
        <v>1987</v>
      </c>
      <c r="D616" s="6" t="s">
        <v>109</v>
      </c>
      <c r="E616" s="6" t="s">
        <v>19</v>
      </c>
      <c r="F616" s="6" t="s">
        <v>19</v>
      </c>
      <c r="G616" s="6" t="s">
        <v>19</v>
      </c>
      <c r="H616" s="6" t="s">
        <v>19</v>
      </c>
      <c r="I616" s="6" t="s">
        <v>19</v>
      </c>
      <c r="J616" s="6" t="s">
        <v>19</v>
      </c>
      <c r="K616" s="6" t="s">
        <v>19</v>
      </c>
      <c r="L616" s="6" t="s">
        <v>19</v>
      </c>
      <c r="M616" s="15" t="s">
        <v>2115</v>
      </c>
      <c r="N616" s="4" t="s">
        <v>2133</v>
      </c>
      <c r="O616" s="4"/>
      <c r="P616" s="4" t="s">
        <v>2179</v>
      </c>
      <c r="S616" s="15" t="e" cm="1">
        <f t="array" aca="1" ref="S616" ca="1">COMMONMARKETCOUNT(H616:AV616)</f>
        <v>#NAME?</v>
      </c>
      <c r="T616" s="15" t="e" cm="1">
        <f t="array" aca="1" ref="T616" ca="1">AUTOMATEDCOUNT(H616:AU616)</f>
        <v>#NAME?</v>
      </c>
      <c r="V616" s="6" t="s">
        <v>19</v>
      </c>
      <c r="W616" s="6" t="s">
        <v>19</v>
      </c>
      <c r="X616" s="6" t="s">
        <v>19</v>
      </c>
      <c r="Y616" s="6" t="s">
        <v>19</v>
      </c>
      <c r="Z616" s="6" t="s">
        <v>19</v>
      </c>
      <c r="AA616" s="6" t="s">
        <v>19</v>
      </c>
      <c r="AB616" s="6" t="s">
        <v>19</v>
      </c>
      <c r="AC616" s="6" t="s">
        <v>19</v>
      </c>
      <c r="AD616" s="18" t="s">
        <v>19</v>
      </c>
      <c r="AE616" s="18" t="s">
        <v>19</v>
      </c>
      <c r="AF616" s="6" t="s">
        <v>19</v>
      </c>
      <c r="AG616" s="6" t="s">
        <v>19</v>
      </c>
      <c r="AH616" s="6" t="s">
        <v>19</v>
      </c>
      <c r="AI616" s="6" t="s">
        <v>19</v>
      </c>
      <c r="AJ616" s="6" t="s">
        <v>19</v>
      </c>
      <c r="AK616" s="6" t="s">
        <v>19</v>
      </c>
      <c r="AL616" s="6" t="s">
        <v>19</v>
      </c>
      <c r="AM616" s="6" t="s">
        <v>19</v>
      </c>
      <c r="AN616" s="6" t="s">
        <v>19</v>
      </c>
      <c r="AO616" s="6" t="s">
        <v>19</v>
      </c>
      <c r="AP616" s="6" t="s">
        <v>19</v>
      </c>
      <c r="AQ616" s="6" t="s">
        <v>19</v>
      </c>
      <c r="AR616" s="6" t="s">
        <v>19</v>
      </c>
      <c r="AS616" s="6" t="s">
        <v>19</v>
      </c>
      <c r="AT616" s="6" t="s">
        <v>19</v>
      </c>
      <c r="AU616" s="6" t="s">
        <v>3153</v>
      </c>
      <c r="AV616" s="36" t="s">
        <v>19</v>
      </c>
    </row>
    <row r="617" spans="1:264" ht="66" hidden="1" customHeight="1" x14ac:dyDescent="0.3">
      <c r="A617" s="4" t="s">
        <v>2267</v>
      </c>
      <c r="B617" s="4" t="s">
        <v>2126</v>
      </c>
      <c r="C617" s="4" t="s">
        <v>1988</v>
      </c>
      <c r="D617" s="6" t="s">
        <v>109</v>
      </c>
      <c r="E617" s="6" t="s">
        <v>19</v>
      </c>
      <c r="F617" s="6" t="s">
        <v>19</v>
      </c>
      <c r="G617" s="6" t="s">
        <v>19</v>
      </c>
      <c r="H617" s="6" t="s">
        <v>19</v>
      </c>
      <c r="I617" s="6" t="s">
        <v>19</v>
      </c>
      <c r="J617" s="6" t="s">
        <v>19</v>
      </c>
      <c r="K617" s="6" t="s">
        <v>19</v>
      </c>
      <c r="L617" s="6" t="s">
        <v>19</v>
      </c>
      <c r="M617" s="15" t="s">
        <v>2116</v>
      </c>
      <c r="N617" s="35" t="s">
        <v>2134</v>
      </c>
      <c r="O617" s="4"/>
      <c r="P617" s="4" t="s">
        <v>2180</v>
      </c>
      <c r="S617" s="15" t="e" cm="1">
        <f t="array" aca="1" ref="S617" ca="1">COMMONMARKETCOUNT(H617:AV617)</f>
        <v>#NAME?</v>
      </c>
      <c r="T617" s="15" t="e" cm="1">
        <f t="array" aca="1" ref="T617" ca="1">AUTOMATEDCOUNT(H617:AU617)</f>
        <v>#NAME?</v>
      </c>
      <c r="V617" s="6" t="s">
        <v>19</v>
      </c>
      <c r="W617" s="6" t="s">
        <v>19</v>
      </c>
      <c r="X617" s="6" t="s">
        <v>19</v>
      </c>
      <c r="Y617" s="6" t="s">
        <v>19</v>
      </c>
      <c r="Z617" s="6" t="s">
        <v>19</v>
      </c>
      <c r="AA617" s="6" t="s">
        <v>19</v>
      </c>
      <c r="AB617" s="6" t="s">
        <v>19</v>
      </c>
      <c r="AC617" s="6" t="s">
        <v>19</v>
      </c>
      <c r="AD617" s="18" t="s">
        <v>19</v>
      </c>
      <c r="AE617" s="18" t="s">
        <v>19</v>
      </c>
      <c r="AF617" s="6" t="s">
        <v>19</v>
      </c>
      <c r="AG617" s="6" t="s">
        <v>19</v>
      </c>
      <c r="AH617" s="6" t="s">
        <v>19</v>
      </c>
      <c r="AI617" s="6" t="s">
        <v>19</v>
      </c>
      <c r="AJ617" s="6" t="s">
        <v>19</v>
      </c>
      <c r="AK617" s="6" t="s">
        <v>19</v>
      </c>
      <c r="AL617" s="6" t="s">
        <v>19</v>
      </c>
      <c r="AM617" s="6" t="s">
        <v>19</v>
      </c>
      <c r="AN617" s="6" t="s">
        <v>19</v>
      </c>
      <c r="AO617" s="6" t="s">
        <v>19</v>
      </c>
      <c r="AP617" s="6" t="s">
        <v>19</v>
      </c>
      <c r="AQ617" s="6" t="s">
        <v>19</v>
      </c>
      <c r="AR617" s="6" t="s">
        <v>19</v>
      </c>
      <c r="AS617" s="6" t="s">
        <v>19</v>
      </c>
      <c r="AT617" s="6" t="s">
        <v>19</v>
      </c>
      <c r="AU617" s="6" t="s">
        <v>3153</v>
      </c>
      <c r="AV617" s="36" t="s">
        <v>19</v>
      </c>
    </row>
    <row r="618" spans="1:264" ht="78.75" hidden="1" customHeight="1" x14ac:dyDescent="0.3">
      <c r="A618" s="4" t="s">
        <v>2267</v>
      </c>
      <c r="B618" s="4" t="s">
        <v>2126</v>
      </c>
      <c r="C618" s="4" t="s">
        <v>1989</v>
      </c>
      <c r="D618" s="6" t="s">
        <v>109</v>
      </c>
      <c r="E618" s="6" t="s">
        <v>19</v>
      </c>
      <c r="F618" s="6" t="s">
        <v>19</v>
      </c>
      <c r="G618" s="6" t="s">
        <v>19</v>
      </c>
      <c r="H618" s="6" t="s">
        <v>19</v>
      </c>
      <c r="I618" s="6" t="s">
        <v>19</v>
      </c>
      <c r="J618" s="6" t="s">
        <v>19</v>
      </c>
      <c r="K618" s="6" t="s">
        <v>19</v>
      </c>
      <c r="L618" s="6" t="s">
        <v>19</v>
      </c>
      <c r="M618" s="15" t="s">
        <v>2117</v>
      </c>
      <c r="N618" s="35" t="s">
        <v>2135</v>
      </c>
      <c r="O618" s="4"/>
      <c r="P618" s="4" t="s">
        <v>2181</v>
      </c>
      <c r="S618" s="15" t="e" cm="1">
        <f t="array" aca="1" ref="S618" ca="1">COMMONMARKETCOUNT(H618:AV618)</f>
        <v>#NAME?</v>
      </c>
      <c r="T618" s="15" t="e" cm="1">
        <f t="array" aca="1" ref="T618" ca="1">AUTOMATEDCOUNT(H618:AU618)</f>
        <v>#NAME?</v>
      </c>
      <c r="V618" s="6" t="s">
        <v>19</v>
      </c>
      <c r="W618" s="6" t="s">
        <v>19</v>
      </c>
      <c r="X618" s="6" t="s">
        <v>19</v>
      </c>
      <c r="Y618" s="6" t="s">
        <v>19</v>
      </c>
      <c r="Z618" s="6" t="s">
        <v>19</v>
      </c>
      <c r="AA618" s="6" t="s">
        <v>19</v>
      </c>
      <c r="AB618" s="6" t="s">
        <v>19</v>
      </c>
      <c r="AC618" s="6" t="s">
        <v>19</v>
      </c>
      <c r="AD618" s="18" t="s">
        <v>19</v>
      </c>
      <c r="AE618" s="18" t="s">
        <v>19</v>
      </c>
      <c r="AF618" s="6" t="s">
        <v>19</v>
      </c>
      <c r="AG618" s="6" t="s">
        <v>19</v>
      </c>
      <c r="AH618" s="6" t="s">
        <v>19</v>
      </c>
      <c r="AI618" s="6" t="s">
        <v>19</v>
      </c>
      <c r="AJ618" s="6" t="s">
        <v>19</v>
      </c>
      <c r="AK618" s="6" t="s">
        <v>19</v>
      </c>
      <c r="AL618" s="6" t="s">
        <v>19</v>
      </c>
      <c r="AM618" s="6" t="s">
        <v>19</v>
      </c>
      <c r="AN618" s="6" t="s">
        <v>19</v>
      </c>
      <c r="AO618" s="6" t="s">
        <v>19</v>
      </c>
      <c r="AP618" s="6" t="s">
        <v>19</v>
      </c>
      <c r="AQ618" s="6" t="s">
        <v>19</v>
      </c>
      <c r="AR618" s="6" t="s">
        <v>19</v>
      </c>
      <c r="AS618" s="6" t="s">
        <v>19</v>
      </c>
      <c r="AT618" s="6" t="s">
        <v>19</v>
      </c>
      <c r="AU618" s="6" t="s">
        <v>3153</v>
      </c>
      <c r="AV618" s="36" t="s">
        <v>19</v>
      </c>
    </row>
    <row r="619" spans="1:264" ht="66.75" hidden="1" customHeight="1" x14ac:dyDescent="0.3">
      <c r="A619" s="4" t="s">
        <v>2267</v>
      </c>
      <c r="B619" s="4" t="s">
        <v>2126</v>
      </c>
      <c r="C619" s="4" t="s">
        <v>1990</v>
      </c>
      <c r="D619" s="6" t="s">
        <v>109</v>
      </c>
      <c r="E619" s="6" t="s">
        <v>19</v>
      </c>
      <c r="F619" s="6" t="s">
        <v>19</v>
      </c>
      <c r="G619" s="6" t="s">
        <v>19</v>
      </c>
      <c r="H619" s="6" t="s">
        <v>19</v>
      </c>
      <c r="I619" s="6" t="s">
        <v>19</v>
      </c>
      <c r="J619" s="6" t="s">
        <v>19</v>
      </c>
      <c r="K619" s="6" t="s">
        <v>19</v>
      </c>
      <c r="L619" s="6" t="s">
        <v>19</v>
      </c>
      <c r="M619" s="15" t="s">
        <v>2136</v>
      </c>
      <c r="N619" s="35" t="s">
        <v>2137</v>
      </c>
      <c r="O619" s="4"/>
      <c r="P619" s="4" t="s">
        <v>2182</v>
      </c>
      <c r="S619" s="15" t="e" cm="1">
        <f t="array" aca="1" ref="S619" ca="1">COMMONMARKETCOUNT(H619:AV619)</f>
        <v>#NAME?</v>
      </c>
      <c r="T619" s="15" t="e" cm="1">
        <f t="array" aca="1" ref="T619" ca="1">AUTOMATEDCOUNT(H619:AU619)</f>
        <v>#NAME?</v>
      </c>
      <c r="V619" s="6" t="s">
        <v>19</v>
      </c>
      <c r="W619" s="6" t="s">
        <v>19</v>
      </c>
      <c r="X619" s="6" t="s">
        <v>19</v>
      </c>
      <c r="Y619" s="6" t="s">
        <v>19</v>
      </c>
      <c r="Z619" s="6" t="s">
        <v>19</v>
      </c>
      <c r="AA619" s="6" t="s">
        <v>19</v>
      </c>
      <c r="AB619" s="6" t="s">
        <v>19</v>
      </c>
      <c r="AC619" s="6" t="s">
        <v>19</v>
      </c>
      <c r="AD619" s="18" t="s">
        <v>19</v>
      </c>
      <c r="AE619" s="18" t="s">
        <v>19</v>
      </c>
      <c r="AF619" s="6" t="s">
        <v>19</v>
      </c>
      <c r="AG619" s="6" t="s">
        <v>19</v>
      </c>
      <c r="AH619" s="6" t="s">
        <v>19</v>
      </c>
      <c r="AI619" s="6" t="s">
        <v>19</v>
      </c>
      <c r="AJ619" s="6" t="s">
        <v>19</v>
      </c>
      <c r="AK619" s="6" t="s">
        <v>19</v>
      </c>
      <c r="AL619" s="6" t="s">
        <v>19</v>
      </c>
      <c r="AM619" s="6" t="s">
        <v>19</v>
      </c>
      <c r="AN619" s="6" t="s">
        <v>19</v>
      </c>
      <c r="AO619" s="6" t="s">
        <v>19</v>
      </c>
      <c r="AP619" s="6" t="s">
        <v>19</v>
      </c>
      <c r="AQ619" s="6" t="s">
        <v>19</v>
      </c>
      <c r="AR619" s="6" t="s">
        <v>19</v>
      </c>
      <c r="AS619" s="6" t="s">
        <v>19</v>
      </c>
      <c r="AT619" s="6" t="s">
        <v>19</v>
      </c>
      <c r="AU619" s="6" t="s">
        <v>3153</v>
      </c>
      <c r="AV619" s="36" t="s">
        <v>19</v>
      </c>
      <c r="AW619" s="27"/>
      <c r="AX619" s="27"/>
      <c r="AY619" s="27"/>
      <c r="AZ619" s="27"/>
      <c r="BA619" s="27"/>
      <c r="BB619" s="27"/>
      <c r="BC619" s="27"/>
      <c r="BD619" s="27"/>
      <c r="BE619" s="27"/>
      <c r="BF619" s="27"/>
      <c r="BG619" s="27"/>
      <c r="BH619" s="27"/>
      <c r="BI619" s="27"/>
      <c r="BJ619" s="27"/>
      <c r="BK619" s="27"/>
      <c r="BL619" s="27"/>
      <c r="BM619" s="27"/>
      <c r="BN619" s="27"/>
      <c r="BO619" s="27"/>
      <c r="BP619" s="27"/>
      <c r="BQ619" s="27"/>
      <c r="BR619" s="27"/>
      <c r="BS619" s="27"/>
      <c r="BT619" s="27"/>
      <c r="BU619" s="27"/>
      <c r="BV619" s="27"/>
      <c r="BW619" s="27"/>
      <c r="BX619" s="27"/>
      <c r="BY619" s="27"/>
      <c r="BZ619" s="27"/>
      <c r="CA619" s="27"/>
      <c r="CB619" s="27"/>
      <c r="CC619" s="27"/>
      <c r="CD619" s="27"/>
      <c r="CE619" s="27"/>
      <c r="CF619" s="27"/>
      <c r="CG619" s="27"/>
      <c r="CH619" s="27"/>
      <c r="CI619" s="27"/>
      <c r="CJ619" s="27"/>
      <c r="CK619" s="27"/>
      <c r="CL619" s="27"/>
      <c r="CM619" s="27"/>
      <c r="CN619" s="27"/>
      <c r="CO619" s="27"/>
      <c r="CP619" s="27"/>
      <c r="CQ619" s="27"/>
      <c r="CR619" s="27"/>
      <c r="CS619" s="27"/>
      <c r="CT619" s="27"/>
      <c r="CU619" s="27"/>
      <c r="CV619" s="27"/>
      <c r="CW619" s="27"/>
      <c r="CX619" s="27"/>
      <c r="CY619" s="27"/>
      <c r="CZ619" s="27"/>
      <c r="DA619" s="27"/>
      <c r="DB619" s="27"/>
      <c r="DC619" s="27"/>
      <c r="DD619" s="27"/>
      <c r="DE619" s="27"/>
      <c r="DF619" s="27"/>
      <c r="DG619" s="27"/>
      <c r="DH619" s="27"/>
      <c r="DI619" s="27"/>
      <c r="DJ619" s="27"/>
      <c r="DK619" s="27"/>
      <c r="DL619" s="27"/>
      <c r="DM619" s="27"/>
      <c r="DN619" s="27"/>
      <c r="DO619" s="27"/>
      <c r="DP619" s="27"/>
      <c r="DQ619" s="27"/>
      <c r="DR619" s="27"/>
      <c r="DS619" s="27"/>
      <c r="DT619" s="27"/>
      <c r="DU619" s="27"/>
      <c r="DV619" s="27"/>
      <c r="DW619" s="27"/>
      <c r="DX619" s="27"/>
      <c r="DY619" s="27"/>
      <c r="DZ619" s="27"/>
      <c r="EA619" s="27"/>
      <c r="EB619" s="27"/>
      <c r="EC619" s="27"/>
      <c r="ED619" s="27"/>
      <c r="EE619" s="27"/>
      <c r="EF619" s="27"/>
      <c r="EG619" s="27"/>
      <c r="EH619" s="27"/>
      <c r="EI619" s="27"/>
      <c r="EJ619" s="27"/>
      <c r="EK619" s="27"/>
      <c r="EL619" s="27"/>
      <c r="EM619" s="27"/>
      <c r="EN619" s="27"/>
      <c r="EO619" s="27"/>
      <c r="EP619" s="27"/>
      <c r="EQ619" s="27"/>
      <c r="ER619" s="27"/>
      <c r="ES619" s="27"/>
      <c r="ET619" s="27"/>
      <c r="EU619" s="27"/>
      <c r="EV619" s="27"/>
      <c r="EW619" s="27"/>
      <c r="EX619" s="27"/>
      <c r="EY619" s="27"/>
      <c r="EZ619" s="27"/>
      <c r="FA619" s="27"/>
      <c r="FB619" s="27"/>
      <c r="FC619" s="27"/>
      <c r="FD619" s="27"/>
      <c r="FE619" s="27"/>
      <c r="FF619" s="27"/>
      <c r="FG619" s="27"/>
      <c r="FH619" s="27"/>
      <c r="FI619" s="27"/>
      <c r="FJ619" s="27"/>
      <c r="FK619" s="27"/>
      <c r="FL619" s="27"/>
      <c r="FM619" s="27"/>
      <c r="FN619" s="27"/>
      <c r="FO619" s="27"/>
      <c r="FP619" s="27"/>
      <c r="FQ619" s="27"/>
      <c r="FR619" s="27"/>
      <c r="FS619" s="27"/>
      <c r="FT619" s="27"/>
      <c r="FU619" s="27"/>
      <c r="FV619" s="27"/>
      <c r="FW619" s="27"/>
      <c r="FX619" s="27"/>
      <c r="FY619" s="27"/>
      <c r="FZ619" s="27"/>
      <c r="GA619" s="27"/>
      <c r="GB619" s="27"/>
      <c r="GC619" s="27"/>
      <c r="GD619" s="27"/>
      <c r="GE619" s="27"/>
      <c r="GF619" s="27"/>
      <c r="GG619" s="27"/>
      <c r="GH619" s="27"/>
      <c r="GI619" s="27"/>
      <c r="GJ619" s="27"/>
      <c r="GK619" s="27"/>
      <c r="GL619" s="27"/>
      <c r="GM619" s="27"/>
      <c r="GN619" s="27"/>
      <c r="GO619" s="27"/>
      <c r="GP619" s="27"/>
      <c r="GQ619" s="27"/>
      <c r="GR619" s="27"/>
      <c r="GS619" s="27"/>
      <c r="GT619" s="27"/>
      <c r="GU619" s="27"/>
      <c r="GV619" s="27"/>
      <c r="GW619" s="27"/>
      <c r="GX619" s="27"/>
      <c r="GY619" s="27"/>
      <c r="GZ619" s="27"/>
      <c r="HA619" s="27"/>
      <c r="HB619" s="27"/>
      <c r="HC619" s="27"/>
      <c r="HD619" s="27"/>
      <c r="HE619" s="27"/>
      <c r="HF619" s="27"/>
      <c r="HG619" s="27"/>
      <c r="HH619" s="27"/>
      <c r="HI619" s="27"/>
      <c r="HJ619" s="27"/>
      <c r="HK619" s="27"/>
      <c r="HL619" s="27"/>
      <c r="HM619" s="27"/>
      <c r="HN619" s="27"/>
      <c r="HO619" s="27"/>
      <c r="HP619" s="27"/>
      <c r="HQ619" s="27"/>
      <c r="HR619" s="27"/>
      <c r="HS619" s="27"/>
      <c r="HT619" s="27"/>
      <c r="HU619" s="27"/>
      <c r="HV619" s="27"/>
      <c r="HW619" s="27"/>
      <c r="HX619" s="27"/>
      <c r="HY619" s="27"/>
      <c r="HZ619" s="27"/>
      <c r="IA619" s="27"/>
      <c r="IB619" s="27"/>
      <c r="IC619" s="27"/>
      <c r="ID619" s="27"/>
      <c r="IE619" s="27"/>
      <c r="IF619" s="27"/>
      <c r="IG619" s="27"/>
      <c r="IH619" s="27"/>
      <c r="II619" s="27"/>
      <c r="IJ619" s="27"/>
      <c r="IK619" s="27"/>
      <c r="IL619" s="27"/>
      <c r="IM619" s="27"/>
      <c r="IN619" s="27"/>
      <c r="IO619" s="27"/>
      <c r="IP619" s="27"/>
      <c r="IQ619" s="27"/>
      <c r="IR619" s="27"/>
      <c r="IS619" s="27"/>
      <c r="IT619" s="27"/>
      <c r="IU619" s="27"/>
      <c r="IV619" s="27"/>
      <c r="IW619" s="27"/>
      <c r="IX619" s="27"/>
      <c r="IY619" s="27"/>
      <c r="IZ619" s="27"/>
      <c r="JA619" s="27"/>
      <c r="JB619" s="27"/>
      <c r="JC619" s="27"/>
      <c r="JD619" s="27"/>
    </row>
    <row r="620" spans="1:264" ht="91.5" hidden="1" customHeight="1" x14ac:dyDescent="0.3">
      <c r="A620" s="4" t="s">
        <v>2268</v>
      </c>
      <c r="B620" s="4" t="s">
        <v>2276</v>
      </c>
      <c r="C620" s="4" t="s">
        <v>1991</v>
      </c>
      <c r="D620" s="6" t="s">
        <v>109</v>
      </c>
      <c r="E620" s="6" t="s">
        <v>19</v>
      </c>
      <c r="F620" s="6" t="s">
        <v>19</v>
      </c>
      <c r="G620" s="6" t="s">
        <v>19</v>
      </c>
      <c r="H620" s="6" t="s">
        <v>19</v>
      </c>
      <c r="I620" s="6" t="s">
        <v>19</v>
      </c>
      <c r="J620" s="6" t="s">
        <v>19</v>
      </c>
      <c r="K620" s="6" t="s">
        <v>19</v>
      </c>
      <c r="L620" s="6" t="s">
        <v>19</v>
      </c>
      <c r="M620" s="15" t="s">
        <v>1992</v>
      </c>
      <c r="N620" s="35" t="s">
        <v>2195</v>
      </c>
      <c r="O620" s="4"/>
      <c r="P620" s="4" t="s">
        <v>2208</v>
      </c>
      <c r="S620" s="15" t="e" cm="1">
        <f t="array" aca="1" ref="S620" ca="1">COMMONMARKETCOUNT(H620:AV620)</f>
        <v>#NAME?</v>
      </c>
      <c r="T620" s="15" t="e" cm="1">
        <f t="array" aca="1" ref="T620" ca="1">AUTOMATEDCOUNT(H620:AU620)</f>
        <v>#NAME?</v>
      </c>
      <c r="V620" s="6" t="s">
        <v>19</v>
      </c>
      <c r="W620" s="6" t="s">
        <v>19</v>
      </c>
      <c r="X620" s="6" t="s">
        <v>19</v>
      </c>
      <c r="Y620" s="6" t="s">
        <v>19</v>
      </c>
      <c r="Z620" s="6" t="s">
        <v>19</v>
      </c>
      <c r="AA620" s="6" t="s">
        <v>19</v>
      </c>
      <c r="AB620" s="6" t="s">
        <v>19</v>
      </c>
      <c r="AC620" s="6" t="s">
        <v>19</v>
      </c>
      <c r="AD620" s="18" t="s">
        <v>109</v>
      </c>
      <c r="AE620" s="18" t="s">
        <v>109</v>
      </c>
      <c r="AF620" s="6" t="s">
        <v>19</v>
      </c>
      <c r="AG620" s="6" t="s">
        <v>19</v>
      </c>
      <c r="AH620" s="6" t="s">
        <v>19</v>
      </c>
      <c r="AI620" s="6" t="s">
        <v>19</v>
      </c>
      <c r="AJ620" s="6" t="s">
        <v>19</v>
      </c>
      <c r="AK620" s="6" t="s">
        <v>19</v>
      </c>
      <c r="AL620" s="6" t="s">
        <v>19</v>
      </c>
      <c r="AM620" s="6" t="s">
        <v>19</v>
      </c>
      <c r="AN620" s="6" t="s">
        <v>19</v>
      </c>
      <c r="AO620" s="6" t="s">
        <v>19</v>
      </c>
      <c r="AP620" s="6" t="s">
        <v>19</v>
      </c>
      <c r="AQ620" s="6" t="s">
        <v>19</v>
      </c>
      <c r="AR620" s="6" t="s">
        <v>19</v>
      </c>
      <c r="AS620" s="6" t="s">
        <v>19</v>
      </c>
      <c r="AT620" s="6" t="s">
        <v>19</v>
      </c>
      <c r="AU620" s="6" t="s">
        <v>3153</v>
      </c>
      <c r="AV620" s="36" t="s">
        <v>19</v>
      </c>
      <c r="AW620" s="27"/>
      <c r="AX620" s="27"/>
      <c r="AY620" s="27"/>
      <c r="AZ620" s="27"/>
      <c r="BA620" s="27"/>
      <c r="BB620" s="27"/>
      <c r="BC620" s="27"/>
      <c r="BD620" s="27"/>
      <c r="BE620" s="27"/>
      <c r="BF620" s="27"/>
      <c r="BG620" s="27"/>
      <c r="BH620" s="27"/>
      <c r="BI620" s="27"/>
      <c r="BJ620" s="27"/>
      <c r="BK620" s="27"/>
      <c r="BL620" s="27"/>
      <c r="BM620" s="27"/>
      <c r="BN620" s="27"/>
      <c r="BO620" s="27"/>
      <c r="BP620" s="27"/>
      <c r="BQ620" s="27"/>
      <c r="BR620" s="27"/>
      <c r="BS620" s="27"/>
      <c r="BT620" s="27"/>
      <c r="BU620" s="27"/>
      <c r="BV620" s="27"/>
      <c r="BW620" s="27"/>
      <c r="BX620" s="27"/>
      <c r="BY620" s="27"/>
      <c r="BZ620" s="27"/>
      <c r="CA620" s="27"/>
      <c r="CB620" s="27"/>
      <c r="CC620" s="27"/>
      <c r="CD620" s="27"/>
      <c r="CE620" s="27"/>
      <c r="CF620" s="27"/>
      <c r="CG620" s="27"/>
      <c r="CH620" s="27"/>
      <c r="CI620" s="27"/>
      <c r="CJ620" s="27"/>
      <c r="CK620" s="27"/>
      <c r="CL620" s="27"/>
      <c r="CM620" s="27"/>
      <c r="CN620" s="27"/>
      <c r="CO620" s="27"/>
      <c r="CP620" s="27"/>
      <c r="CQ620" s="27"/>
      <c r="CR620" s="27"/>
      <c r="CS620" s="27"/>
      <c r="CT620" s="27"/>
      <c r="CU620" s="27"/>
      <c r="CV620" s="27"/>
      <c r="CW620" s="27"/>
      <c r="CX620" s="27"/>
      <c r="CY620" s="27"/>
      <c r="CZ620" s="27"/>
      <c r="DA620" s="27"/>
      <c r="DB620" s="27"/>
      <c r="DC620" s="27"/>
      <c r="DD620" s="27"/>
      <c r="DE620" s="27"/>
      <c r="DF620" s="27"/>
      <c r="DG620" s="27"/>
      <c r="DH620" s="27"/>
      <c r="DI620" s="27"/>
      <c r="DJ620" s="27"/>
      <c r="DK620" s="27"/>
      <c r="DL620" s="27"/>
      <c r="DM620" s="27"/>
      <c r="DN620" s="27"/>
      <c r="DO620" s="27"/>
      <c r="DP620" s="27"/>
      <c r="DQ620" s="27"/>
      <c r="DR620" s="27"/>
      <c r="DS620" s="27"/>
      <c r="DT620" s="27"/>
      <c r="DU620" s="27"/>
      <c r="DV620" s="27"/>
      <c r="DW620" s="27"/>
      <c r="DX620" s="27"/>
      <c r="DY620" s="27"/>
      <c r="DZ620" s="27"/>
      <c r="EA620" s="27"/>
      <c r="EB620" s="27"/>
      <c r="EC620" s="27"/>
      <c r="ED620" s="27"/>
      <c r="EE620" s="27"/>
      <c r="EF620" s="27"/>
      <c r="EG620" s="27"/>
      <c r="EH620" s="27"/>
      <c r="EI620" s="27"/>
      <c r="EJ620" s="27"/>
      <c r="EK620" s="27"/>
      <c r="EL620" s="27"/>
      <c r="EM620" s="27"/>
      <c r="EN620" s="27"/>
      <c r="EO620" s="27"/>
      <c r="EP620" s="27"/>
      <c r="EQ620" s="27"/>
      <c r="ER620" s="27"/>
      <c r="ES620" s="27"/>
      <c r="ET620" s="27"/>
      <c r="EU620" s="27"/>
      <c r="EV620" s="27"/>
      <c r="EW620" s="27"/>
      <c r="EX620" s="27"/>
      <c r="EY620" s="27"/>
      <c r="EZ620" s="27"/>
      <c r="FA620" s="27"/>
      <c r="FB620" s="27"/>
      <c r="FC620" s="27"/>
      <c r="FD620" s="27"/>
      <c r="FE620" s="27"/>
      <c r="FF620" s="27"/>
      <c r="FG620" s="27"/>
      <c r="FH620" s="27"/>
      <c r="FI620" s="27"/>
      <c r="FJ620" s="27"/>
      <c r="FK620" s="27"/>
      <c r="FL620" s="27"/>
      <c r="FM620" s="27"/>
      <c r="FN620" s="27"/>
      <c r="FO620" s="27"/>
      <c r="FP620" s="27"/>
      <c r="FQ620" s="27"/>
      <c r="FR620" s="27"/>
      <c r="FS620" s="27"/>
      <c r="FT620" s="27"/>
      <c r="FU620" s="27"/>
      <c r="FV620" s="27"/>
      <c r="FW620" s="27"/>
      <c r="FX620" s="27"/>
      <c r="FY620" s="27"/>
      <c r="FZ620" s="27"/>
      <c r="GA620" s="27"/>
      <c r="GB620" s="27"/>
      <c r="GC620" s="27"/>
      <c r="GD620" s="27"/>
      <c r="GE620" s="27"/>
      <c r="GF620" s="27"/>
      <c r="GG620" s="27"/>
      <c r="GH620" s="27"/>
      <c r="GI620" s="27"/>
      <c r="GJ620" s="27"/>
      <c r="GK620" s="27"/>
      <c r="GL620" s="27"/>
      <c r="GM620" s="27"/>
      <c r="GN620" s="27"/>
      <c r="GO620" s="27"/>
      <c r="GP620" s="27"/>
      <c r="GQ620" s="27"/>
      <c r="GR620" s="27"/>
      <c r="GS620" s="27"/>
      <c r="GT620" s="27"/>
      <c r="GU620" s="27"/>
      <c r="GV620" s="27"/>
      <c r="GW620" s="27"/>
      <c r="GX620" s="27"/>
      <c r="GY620" s="27"/>
      <c r="GZ620" s="27"/>
      <c r="HA620" s="27"/>
      <c r="HB620" s="27"/>
      <c r="HC620" s="27"/>
      <c r="HD620" s="27"/>
      <c r="HE620" s="27"/>
      <c r="HF620" s="27"/>
      <c r="HG620" s="27"/>
      <c r="HH620" s="27"/>
      <c r="HI620" s="27"/>
      <c r="HJ620" s="27"/>
      <c r="HK620" s="27"/>
      <c r="HL620" s="27"/>
      <c r="HM620" s="27"/>
      <c r="HN620" s="27"/>
      <c r="HO620" s="27"/>
      <c r="HP620" s="27"/>
      <c r="HQ620" s="27"/>
      <c r="HR620" s="27"/>
      <c r="HS620" s="27"/>
      <c r="HT620" s="27"/>
      <c r="HU620" s="27"/>
      <c r="HV620" s="27"/>
      <c r="HW620" s="27"/>
      <c r="HX620" s="27"/>
      <c r="HY620" s="27"/>
      <c r="HZ620" s="27"/>
      <c r="IA620" s="27"/>
      <c r="IB620" s="27"/>
      <c r="IC620" s="27"/>
      <c r="ID620" s="27"/>
      <c r="IE620" s="27"/>
      <c r="IF620" s="27"/>
      <c r="IG620" s="27"/>
      <c r="IH620" s="27"/>
      <c r="II620" s="27"/>
      <c r="IJ620" s="27"/>
      <c r="IK620" s="27"/>
      <c r="IL620" s="27"/>
      <c r="IM620" s="27"/>
      <c r="IN620" s="27"/>
      <c r="IO620" s="27"/>
      <c r="IP620" s="27"/>
      <c r="IQ620" s="27"/>
      <c r="IR620" s="27"/>
      <c r="IS620" s="27"/>
      <c r="IT620" s="27"/>
      <c r="IU620" s="27"/>
      <c r="IV620" s="27"/>
      <c r="IW620" s="27"/>
      <c r="IX620" s="27"/>
      <c r="IY620" s="27"/>
      <c r="IZ620" s="27"/>
      <c r="JA620" s="27"/>
      <c r="JB620" s="27"/>
      <c r="JC620" s="27"/>
      <c r="JD620" s="27"/>
    </row>
    <row r="621" spans="1:264" ht="58.5" hidden="1" customHeight="1" x14ac:dyDescent="0.3">
      <c r="A621" s="4" t="s">
        <v>2268</v>
      </c>
      <c r="B621" s="4" t="s">
        <v>17</v>
      </c>
      <c r="C621" s="4" t="s">
        <v>1993</v>
      </c>
      <c r="D621" s="6" t="s">
        <v>109</v>
      </c>
      <c r="E621" s="6" t="s">
        <v>19</v>
      </c>
      <c r="F621" s="6" t="s">
        <v>19</v>
      </c>
      <c r="G621" s="6" t="s">
        <v>19</v>
      </c>
      <c r="H621" s="6" t="s">
        <v>19</v>
      </c>
      <c r="I621" s="6" t="s">
        <v>19</v>
      </c>
      <c r="J621" s="6" t="s">
        <v>19</v>
      </c>
      <c r="K621" s="6" t="s">
        <v>19</v>
      </c>
      <c r="L621" s="6" t="s">
        <v>19</v>
      </c>
      <c r="M621" s="15" t="s">
        <v>1994</v>
      </c>
      <c r="N621" s="35" t="s">
        <v>2196</v>
      </c>
      <c r="O621" s="4"/>
      <c r="P621" s="4" t="s">
        <v>2209</v>
      </c>
      <c r="S621" s="15" t="e" cm="1">
        <f t="array" aca="1" ref="S621" ca="1">COMMONMARKETCOUNT(H621:AV621)</f>
        <v>#NAME?</v>
      </c>
      <c r="T621" s="15" t="e" cm="1">
        <f t="array" aca="1" ref="T621" ca="1">AUTOMATEDCOUNT(H621:AU621)</f>
        <v>#NAME?</v>
      </c>
      <c r="V621" s="6" t="s">
        <v>19</v>
      </c>
      <c r="W621" s="6" t="s">
        <v>19</v>
      </c>
      <c r="X621" s="6" t="s">
        <v>19</v>
      </c>
      <c r="Y621" s="6" t="s">
        <v>19</v>
      </c>
      <c r="Z621" s="6" t="s">
        <v>19</v>
      </c>
      <c r="AA621" s="6" t="s">
        <v>19</v>
      </c>
      <c r="AB621" s="6" t="s">
        <v>19</v>
      </c>
      <c r="AC621" s="6" t="s">
        <v>19</v>
      </c>
      <c r="AD621" s="18" t="s">
        <v>109</v>
      </c>
      <c r="AE621" s="18" t="s">
        <v>109</v>
      </c>
      <c r="AF621" s="6" t="s">
        <v>19</v>
      </c>
      <c r="AG621" s="6" t="s">
        <v>19</v>
      </c>
      <c r="AH621" s="6" t="s">
        <v>19</v>
      </c>
      <c r="AI621" s="6" t="s">
        <v>19</v>
      </c>
      <c r="AJ621" s="6" t="s">
        <v>19</v>
      </c>
      <c r="AK621" s="6" t="s">
        <v>19</v>
      </c>
      <c r="AL621" s="6" t="s">
        <v>19</v>
      </c>
      <c r="AM621" s="6" t="s">
        <v>19</v>
      </c>
      <c r="AN621" s="6" t="s">
        <v>19</v>
      </c>
      <c r="AO621" s="6" t="s">
        <v>19</v>
      </c>
      <c r="AP621" s="6" t="s">
        <v>19</v>
      </c>
      <c r="AQ621" s="6" t="s">
        <v>19</v>
      </c>
      <c r="AR621" s="6" t="s">
        <v>19</v>
      </c>
      <c r="AS621" s="6" t="s">
        <v>19</v>
      </c>
      <c r="AT621" s="6" t="s">
        <v>19</v>
      </c>
      <c r="AU621" s="6" t="s">
        <v>3153</v>
      </c>
      <c r="AV621" s="36" t="s">
        <v>19</v>
      </c>
    </row>
    <row r="622" spans="1:264" ht="90.75" hidden="1" customHeight="1" x14ac:dyDescent="0.3">
      <c r="A622" s="4" t="s">
        <v>2268</v>
      </c>
      <c r="B622" s="4" t="s">
        <v>2276</v>
      </c>
      <c r="C622" s="15" t="s">
        <v>1995</v>
      </c>
      <c r="D622" s="6" t="s">
        <v>109</v>
      </c>
      <c r="E622" s="6" t="s">
        <v>19</v>
      </c>
      <c r="F622" s="6" t="s">
        <v>19</v>
      </c>
      <c r="G622" s="6" t="s">
        <v>19</v>
      </c>
      <c r="H622" s="6" t="s">
        <v>19</v>
      </c>
      <c r="I622" s="6" t="s">
        <v>19</v>
      </c>
      <c r="J622" s="6" t="s">
        <v>19</v>
      </c>
      <c r="K622" s="6" t="s">
        <v>19</v>
      </c>
      <c r="L622" s="6" t="s">
        <v>19</v>
      </c>
      <c r="M622" s="15" t="s">
        <v>1996</v>
      </c>
      <c r="N622" s="15" t="s">
        <v>2197</v>
      </c>
      <c r="O622" s="4"/>
      <c r="P622" s="4" t="s">
        <v>2210</v>
      </c>
      <c r="S622" s="15" t="e" cm="1">
        <f t="array" aca="1" ref="S622" ca="1">COMMONMARKETCOUNT(H622:AV622)</f>
        <v>#NAME?</v>
      </c>
      <c r="T622" s="15" t="e" cm="1">
        <f t="array" aca="1" ref="T622" ca="1">AUTOMATEDCOUNT(H622:AU622)</f>
        <v>#NAME?</v>
      </c>
      <c r="V622" s="6" t="s">
        <v>19</v>
      </c>
      <c r="W622" s="6" t="s">
        <v>19</v>
      </c>
      <c r="X622" s="6" t="s">
        <v>19</v>
      </c>
      <c r="Y622" s="6" t="s">
        <v>19</v>
      </c>
      <c r="Z622" s="6" t="s">
        <v>19</v>
      </c>
      <c r="AA622" s="6" t="s">
        <v>19</v>
      </c>
      <c r="AB622" s="6" t="s">
        <v>19</v>
      </c>
      <c r="AC622" s="6" t="s">
        <v>19</v>
      </c>
      <c r="AD622" s="18" t="s">
        <v>109</v>
      </c>
      <c r="AE622" s="18" t="s">
        <v>109</v>
      </c>
      <c r="AF622" s="6" t="s">
        <v>19</v>
      </c>
      <c r="AG622" s="6" t="s">
        <v>19</v>
      </c>
      <c r="AH622" s="6" t="s">
        <v>19</v>
      </c>
      <c r="AI622" s="6" t="s">
        <v>19</v>
      </c>
      <c r="AJ622" s="6" t="s">
        <v>19</v>
      </c>
      <c r="AK622" s="6" t="s">
        <v>19</v>
      </c>
      <c r="AL622" s="6" t="s">
        <v>19</v>
      </c>
      <c r="AM622" s="6" t="s">
        <v>19</v>
      </c>
      <c r="AN622" s="6" t="s">
        <v>19</v>
      </c>
      <c r="AO622" s="6" t="s">
        <v>19</v>
      </c>
      <c r="AP622" s="6" t="s">
        <v>19</v>
      </c>
      <c r="AQ622" s="6" t="s">
        <v>19</v>
      </c>
      <c r="AR622" s="6" t="s">
        <v>19</v>
      </c>
      <c r="AS622" s="6" t="s">
        <v>19</v>
      </c>
      <c r="AT622" s="6" t="s">
        <v>19</v>
      </c>
      <c r="AU622" s="6" t="s">
        <v>3153</v>
      </c>
      <c r="AV622" s="36" t="s">
        <v>19</v>
      </c>
    </row>
    <row r="623" spans="1:264" ht="89.25" hidden="1" customHeight="1" x14ac:dyDescent="0.3">
      <c r="A623" s="4" t="s">
        <v>2268</v>
      </c>
      <c r="B623" s="4" t="s">
        <v>17</v>
      </c>
      <c r="C623" s="4" t="s">
        <v>1997</v>
      </c>
      <c r="D623" s="6" t="s">
        <v>109</v>
      </c>
      <c r="E623" s="6" t="s">
        <v>19</v>
      </c>
      <c r="F623" s="6" t="s">
        <v>19</v>
      </c>
      <c r="G623" s="6" t="s">
        <v>19</v>
      </c>
      <c r="H623" s="6" t="s">
        <v>19</v>
      </c>
      <c r="I623" s="6" t="s">
        <v>19</v>
      </c>
      <c r="J623" s="6" t="s">
        <v>19</v>
      </c>
      <c r="K623" s="6" t="s">
        <v>19</v>
      </c>
      <c r="L623" s="6" t="s">
        <v>19</v>
      </c>
      <c r="M623" s="15" t="s">
        <v>1998</v>
      </c>
      <c r="N623" s="35" t="s">
        <v>2198</v>
      </c>
      <c r="O623" s="4"/>
      <c r="P623" s="4" t="s">
        <v>2211</v>
      </c>
      <c r="S623" s="15" t="e" cm="1">
        <f t="array" aca="1" ref="S623" ca="1">COMMONMARKETCOUNT(H623:AV623)</f>
        <v>#NAME?</v>
      </c>
      <c r="T623" s="15" t="e" cm="1">
        <f t="array" aca="1" ref="T623" ca="1">AUTOMATEDCOUNT(H623:AU623)</f>
        <v>#NAME?</v>
      </c>
      <c r="V623" s="6" t="s">
        <v>19</v>
      </c>
      <c r="W623" s="6" t="s">
        <v>19</v>
      </c>
      <c r="X623" s="6" t="s">
        <v>19</v>
      </c>
      <c r="Y623" s="6" t="s">
        <v>19</v>
      </c>
      <c r="Z623" s="6" t="s">
        <v>19</v>
      </c>
      <c r="AA623" s="6" t="s">
        <v>19</v>
      </c>
      <c r="AB623" s="6" t="s">
        <v>19</v>
      </c>
      <c r="AC623" s="6" t="s">
        <v>19</v>
      </c>
      <c r="AD623" s="18" t="s">
        <v>109</v>
      </c>
      <c r="AE623" s="18" t="s">
        <v>109</v>
      </c>
      <c r="AF623" s="6" t="s">
        <v>19</v>
      </c>
      <c r="AG623" s="6" t="s">
        <v>19</v>
      </c>
      <c r="AH623" s="6" t="s">
        <v>19</v>
      </c>
      <c r="AI623" s="6" t="s">
        <v>19</v>
      </c>
      <c r="AJ623" s="6" t="s">
        <v>19</v>
      </c>
      <c r="AK623" s="6" t="s">
        <v>19</v>
      </c>
      <c r="AL623" s="6" t="s">
        <v>19</v>
      </c>
      <c r="AM623" s="6" t="s">
        <v>19</v>
      </c>
      <c r="AN623" s="6" t="s">
        <v>19</v>
      </c>
      <c r="AO623" s="6" t="s">
        <v>19</v>
      </c>
      <c r="AP623" s="6" t="s">
        <v>19</v>
      </c>
      <c r="AQ623" s="6" t="s">
        <v>19</v>
      </c>
      <c r="AR623" s="6" t="s">
        <v>19</v>
      </c>
      <c r="AS623" s="6" t="s">
        <v>19</v>
      </c>
      <c r="AT623" s="6" t="s">
        <v>19</v>
      </c>
      <c r="AU623" s="6" t="s">
        <v>3153</v>
      </c>
      <c r="AV623" s="36" t="s">
        <v>19</v>
      </c>
    </row>
    <row r="624" spans="1:264" ht="84" hidden="1" customHeight="1" x14ac:dyDescent="0.3">
      <c r="A624" s="4" t="s">
        <v>2268</v>
      </c>
      <c r="B624" s="4" t="s">
        <v>2272</v>
      </c>
      <c r="C624" s="4" t="s">
        <v>2000</v>
      </c>
      <c r="D624" s="6" t="s">
        <v>109</v>
      </c>
      <c r="E624" s="6" t="s">
        <v>19</v>
      </c>
      <c r="F624" s="6" t="s">
        <v>19</v>
      </c>
      <c r="G624" s="6" t="s">
        <v>19</v>
      </c>
      <c r="H624" s="6" t="s">
        <v>19</v>
      </c>
      <c r="I624" s="6" t="s">
        <v>19</v>
      </c>
      <c r="J624" s="6" t="s">
        <v>19</v>
      </c>
      <c r="K624" s="6" t="s">
        <v>19</v>
      </c>
      <c r="L624" s="6" t="s">
        <v>19</v>
      </c>
      <c r="M624" s="15" t="s">
        <v>1999</v>
      </c>
      <c r="N624" s="35" t="s">
        <v>2248</v>
      </c>
      <c r="O624" s="4"/>
      <c r="P624" s="4" t="s">
        <v>2249</v>
      </c>
      <c r="S624" s="15" t="e" cm="1">
        <f t="array" aca="1" ref="S624" ca="1">COMMONMARKETCOUNT(H624:AV624)</f>
        <v>#NAME?</v>
      </c>
      <c r="T624" s="15" t="e" cm="1">
        <f t="array" aca="1" ref="T624" ca="1">AUTOMATEDCOUNT(H624:AU624)</f>
        <v>#NAME?</v>
      </c>
      <c r="V624" s="6" t="s">
        <v>19</v>
      </c>
      <c r="W624" s="6" t="s">
        <v>19</v>
      </c>
      <c r="X624" s="6" t="s">
        <v>19</v>
      </c>
      <c r="Y624" s="6" t="s">
        <v>19</v>
      </c>
      <c r="Z624" s="6" t="s">
        <v>19</v>
      </c>
      <c r="AA624" s="6" t="s">
        <v>19</v>
      </c>
      <c r="AB624" s="6" t="s">
        <v>19</v>
      </c>
      <c r="AC624" s="6" t="s">
        <v>19</v>
      </c>
      <c r="AD624" s="18" t="s">
        <v>109</v>
      </c>
      <c r="AE624" s="18" t="s">
        <v>109</v>
      </c>
      <c r="AF624" s="6" t="s">
        <v>19</v>
      </c>
      <c r="AG624" s="6" t="s">
        <v>19</v>
      </c>
      <c r="AH624" s="6" t="s">
        <v>19</v>
      </c>
      <c r="AI624" s="6" t="s">
        <v>19</v>
      </c>
      <c r="AJ624" s="6" t="s">
        <v>19</v>
      </c>
      <c r="AK624" s="6" t="s">
        <v>19</v>
      </c>
      <c r="AL624" s="6" t="s">
        <v>19</v>
      </c>
      <c r="AM624" s="6" t="s">
        <v>19</v>
      </c>
      <c r="AN624" s="6" t="s">
        <v>19</v>
      </c>
      <c r="AO624" s="6" t="s">
        <v>19</v>
      </c>
      <c r="AP624" s="6" t="s">
        <v>19</v>
      </c>
      <c r="AQ624" s="6" t="s">
        <v>19</v>
      </c>
      <c r="AR624" s="6" t="s">
        <v>19</v>
      </c>
      <c r="AS624" s="6" t="s">
        <v>19</v>
      </c>
      <c r="AT624" s="6" t="s">
        <v>19</v>
      </c>
      <c r="AU624" s="6" t="s">
        <v>3153</v>
      </c>
      <c r="AV624" s="36" t="s">
        <v>19</v>
      </c>
    </row>
    <row r="625" spans="1:264" ht="93" hidden="1" customHeight="1" x14ac:dyDescent="0.3">
      <c r="A625" s="4" t="s">
        <v>2268</v>
      </c>
      <c r="B625" s="4" t="s">
        <v>2274</v>
      </c>
      <c r="C625" s="4" t="s">
        <v>2001</v>
      </c>
      <c r="D625" s="6" t="s">
        <v>109</v>
      </c>
      <c r="E625" s="6" t="s">
        <v>19</v>
      </c>
      <c r="F625" s="6" t="s">
        <v>19</v>
      </c>
      <c r="G625" s="6" t="s">
        <v>19</v>
      </c>
      <c r="H625" s="6" t="s">
        <v>19</v>
      </c>
      <c r="I625" s="6" t="s">
        <v>19</v>
      </c>
      <c r="J625" s="6" t="s">
        <v>19</v>
      </c>
      <c r="K625" s="6" t="s">
        <v>19</v>
      </c>
      <c r="L625" s="6" t="s">
        <v>19</v>
      </c>
      <c r="M625" s="15" t="s">
        <v>2002</v>
      </c>
      <c r="N625" s="35" t="s">
        <v>2199</v>
      </c>
      <c r="O625" s="4"/>
      <c r="P625" s="4" t="s">
        <v>2212</v>
      </c>
      <c r="S625" s="15" t="e" cm="1">
        <f t="array" aca="1" ref="S625" ca="1">COMMONMARKETCOUNT(H625:AV625)</f>
        <v>#NAME?</v>
      </c>
      <c r="T625" s="15" t="e" cm="1">
        <f t="array" aca="1" ref="T625" ca="1">AUTOMATEDCOUNT(H625:AU625)</f>
        <v>#NAME?</v>
      </c>
      <c r="V625" s="6" t="s">
        <v>19</v>
      </c>
      <c r="W625" s="6" t="s">
        <v>19</v>
      </c>
      <c r="X625" s="6" t="s">
        <v>19</v>
      </c>
      <c r="Y625" s="6" t="s">
        <v>19</v>
      </c>
      <c r="Z625" s="6" t="s">
        <v>19</v>
      </c>
      <c r="AA625" s="6" t="s">
        <v>19</v>
      </c>
      <c r="AB625" s="6" t="s">
        <v>19</v>
      </c>
      <c r="AC625" s="6" t="s">
        <v>19</v>
      </c>
      <c r="AD625" s="6" t="s">
        <v>19</v>
      </c>
      <c r="AE625" s="6" t="s">
        <v>19</v>
      </c>
      <c r="AF625" s="6" t="s">
        <v>19</v>
      </c>
      <c r="AG625" s="6" t="s">
        <v>19</v>
      </c>
      <c r="AH625" s="6" t="s">
        <v>19</v>
      </c>
      <c r="AI625" s="6" t="s">
        <v>19</v>
      </c>
      <c r="AJ625" s="6" t="s">
        <v>19</v>
      </c>
      <c r="AK625" s="6" t="s">
        <v>19</v>
      </c>
      <c r="AL625" s="6" t="s">
        <v>19</v>
      </c>
      <c r="AM625" s="6" t="s">
        <v>19</v>
      </c>
      <c r="AN625" s="6" t="s">
        <v>19</v>
      </c>
      <c r="AO625" s="6" t="s">
        <v>19</v>
      </c>
      <c r="AP625" s="6" t="s">
        <v>19</v>
      </c>
      <c r="AQ625" s="6" t="s">
        <v>19</v>
      </c>
      <c r="AR625" s="6" t="s">
        <v>19</v>
      </c>
      <c r="AS625" s="6" t="s">
        <v>19</v>
      </c>
      <c r="AT625" s="6" t="s">
        <v>19</v>
      </c>
      <c r="AU625" s="6" t="s">
        <v>3153</v>
      </c>
      <c r="AV625" s="36" t="s">
        <v>19</v>
      </c>
    </row>
    <row r="626" spans="1:264" ht="73.5" hidden="1" customHeight="1" x14ac:dyDescent="0.3">
      <c r="A626" s="4" t="s">
        <v>2268</v>
      </c>
      <c r="B626" s="4" t="s">
        <v>2274</v>
      </c>
      <c r="C626" s="4" t="s">
        <v>2003</v>
      </c>
      <c r="D626" s="6" t="s">
        <v>109</v>
      </c>
      <c r="E626" s="6" t="s">
        <v>19</v>
      </c>
      <c r="F626" s="6" t="s">
        <v>19</v>
      </c>
      <c r="G626" s="6" t="s">
        <v>19</v>
      </c>
      <c r="H626" s="6" t="s">
        <v>19</v>
      </c>
      <c r="I626" s="6" t="s">
        <v>19</v>
      </c>
      <c r="J626" s="6" t="s">
        <v>19</v>
      </c>
      <c r="K626" s="6" t="s">
        <v>19</v>
      </c>
      <c r="L626" s="6" t="s">
        <v>19</v>
      </c>
      <c r="M626" s="15" t="s">
        <v>2004</v>
      </c>
      <c r="N626" s="35" t="s">
        <v>2200</v>
      </c>
      <c r="O626" s="4"/>
      <c r="P626" s="4" t="s">
        <v>2213</v>
      </c>
      <c r="S626" s="15" t="e" cm="1">
        <f t="array" aca="1" ref="S626" ca="1">COMMONMARKETCOUNT(H626:AV626)</f>
        <v>#NAME?</v>
      </c>
      <c r="T626" s="15" t="e" cm="1">
        <f t="array" aca="1" ref="T626" ca="1">AUTOMATEDCOUNT(H626:AU626)</f>
        <v>#NAME?</v>
      </c>
      <c r="V626" s="6" t="s">
        <v>19</v>
      </c>
      <c r="W626" s="6" t="s">
        <v>19</v>
      </c>
      <c r="X626" s="6" t="s">
        <v>19</v>
      </c>
      <c r="Y626" s="6" t="s">
        <v>19</v>
      </c>
      <c r="Z626" s="6" t="s">
        <v>19</v>
      </c>
      <c r="AA626" s="6" t="s">
        <v>19</v>
      </c>
      <c r="AB626" s="6" t="s">
        <v>19</v>
      </c>
      <c r="AC626" s="6" t="s">
        <v>19</v>
      </c>
      <c r="AD626" s="6" t="s">
        <v>19</v>
      </c>
      <c r="AE626" s="6" t="s">
        <v>19</v>
      </c>
      <c r="AF626" s="6" t="s">
        <v>19</v>
      </c>
      <c r="AG626" s="6" t="s">
        <v>19</v>
      </c>
      <c r="AH626" s="6" t="s">
        <v>19</v>
      </c>
      <c r="AI626" s="6" t="s">
        <v>19</v>
      </c>
      <c r="AJ626" s="6" t="s">
        <v>19</v>
      </c>
      <c r="AK626" s="6" t="s">
        <v>19</v>
      </c>
      <c r="AL626" s="6" t="s">
        <v>19</v>
      </c>
      <c r="AM626" s="6" t="s">
        <v>19</v>
      </c>
      <c r="AN626" s="6" t="s">
        <v>19</v>
      </c>
      <c r="AO626" s="6" t="s">
        <v>19</v>
      </c>
      <c r="AP626" s="6" t="s">
        <v>19</v>
      </c>
      <c r="AQ626" s="6" t="s">
        <v>19</v>
      </c>
      <c r="AR626" s="6" t="s">
        <v>19</v>
      </c>
      <c r="AS626" s="6" t="s">
        <v>19</v>
      </c>
      <c r="AT626" s="6" t="s">
        <v>19</v>
      </c>
      <c r="AU626" s="6" t="s">
        <v>3153</v>
      </c>
      <c r="AV626" s="36" t="s">
        <v>19</v>
      </c>
    </row>
    <row r="627" spans="1:264" ht="57" hidden="1" customHeight="1" x14ac:dyDescent="0.3">
      <c r="A627" s="4" t="s">
        <v>2268</v>
      </c>
      <c r="B627" s="4" t="s">
        <v>2274</v>
      </c>
      <c r="C627" s="4" t="s">
        <v>2005</v>
      </c>
      <c r="D627" s="6" t="s">
        <v>109</v>
      </c>
      <c r="E627" s="6" t="s">
        <v>19</v>
      </c>
      <c r="F627" s="6" t="s">
        <v>19</v>
      </c>
      <c r="G627" s="6" t="s">
        <v>19</v>
      </c>
      <c r="H627" s="6" t="s">
        <v>19</v>
      </c>
      <c r="I627" s="6" t="s">
        <v>19</v>
      </c>
      <c r="J627" s="6" t="s">
        <v>19</v>
      </c>
      <c r="K627" s="6" t="s">
        <v>19</v>
      </c>
      <c r="L627" s="6" t="s">
        <v>19</v>
      </c>
      <c r="M627" s="15" t="s">
        <v>2006</v>
      </c>
      <c r="N627" s="4" t="s">
        <v>2201</v>
      </c>
      <c r="O627" s="4"/>
      <c r="P627" s="4" t="s">
        <v>2214</v>
      </c>
      <c r="S627" s="15" t="e" cm="1">
        <f t="array" aca="1" ref="S627" ca="1">COMMONMARKETCOUNT(H627:AV627)</f>
        <v>#NAME?</v>
      </c>
      <c r="T627" s="15" t="e" cm="1">
        <f t="array" aca="1" ref="T627" ca="1">AUTOMATEDCOUNT(H627:AU627)</f>
        <v>#NAME?</v>
      </c>
      <c r="V627" s="6" t="s">
        <v>19</v>
      </c>
      <c r="W627" s="6" t="s">
        <v>19</v>
      </c>
      <c r="X627" s="6" t="s">
        <v>19</v>
      </c>
      <c r="Y627" s="6" t="s">
        <v>19</v>
      </c>
      <c r="Z627" s="6" t="s">
        <v>19</v>
      </c>
      <c r="AA627" s="6" t="s">
        <v>19</v>
      </c>
      <c r="AB627" s="6" t="s">
        <v>19</v>
      </c>
      <c r="AC627" s="6" t="s">
        <v>19</v>
      </c>
      <c r="AD627" s="6" t="s">
        <v>19</v>
      </c>
      <c r="AE627" s="6" t="s">
        <v>19</v>
      </c>
      <c r="AF627" s="6" t="s">
        <v>19</v>
      </c>
      <c r="AG627" s="6" t="s">
        <v>19</v>
      </c>
      <c r="AH627" s="6" t="s">
        <v>19</v>
      </c>
      <c r="AI627" s="6" t="s">
        <v>19</v>
      </c>
      <c r="AJ627" s="6" t="s">
        <v>19</v>
      </c>
      <c r="AK627" s="6" t="s">
        <v>19</v>
      </c>
      <c r="AL627" s="6" t="s">
        <v>19</v>
      </c>
      <c r="AM627" s="6" t="s">
        <v>19</v>
      </c>
      <c r="AN627" s="6" t="s">
        <v>19</v>
      </c>
      <c r="AO627" s="6" t="s">
        <v>19</v>
      </c>
      <c r="AP627" s="6" t="s">
        <v>19</v>
      </c>
      <c r="AQ627" s="6" t="s">
        <v>19</v>
      </c>
      <c r="AR627" s="6" t="s">
        <v>19</v>
      </c>
      <c r="AS627" s="6" t="s">
        <v>19</v>
      </c>
      <c r="AT627" s="6" t="s">
        <v>19</v>
      </c>
      <c r="AU627" s="6" t="s">
        <v>3153</v>
      </c>
      <c r="AV627" s="36" t="s">
        <v>19</v>
      </c>
    </row>
    <row r="628" spans="1:264" ht="52.5" hidden="1" customHeight="1" x14ac:dyDescent="0.3">
      <c r="A628" s="4" t="s">
        <v>2268</v>
      </c>
      <c r="B628" s="4" t="s">
        <v>2274</v>
      </c>
      <c r="C628" s="4" t="s">
        <v>2007</v>
      </c>
      <c r="D628" s="6" t="s">
        <v>109</v>
      </c>
      <c r="E628" s="6" t="s">
        <v>19</v>
      </c>
      <c r="F628" s="6" t="s">
        <v>19</v>
      </c>
      <c r="G628" s="6" t="s">
        <v>19</v>
      </c>
      <c r="H628" s="6" t="s">
        <v>19</v>
      </c>
      <c r="I628" s="6" t="s">
        <v>19</v>
      </c>
      <c r="J628" s="6" t="s">
        <v>19</v>
      </c>
      <c r="K628" s="6" t="s">
        <v>19</v>
      </c>
      <c r="L628" s="6" t="s">
        <v>19</v>
      </c>
      <c r="M628" s="15" t="s">
        <v>2008</v>
      </c>
      <c r="N628" s="4" t="s">
        <v>2202</v>
      </c>
      <c r="O628" s="4"/>
      <c r="P628" s="4" t="s">
        <v>2215</v>
      </c>
      <c r="S628" s="15" t="e" cm="1">
        <f t="array" aca="1" ref="S628" ca="1">COMMONMARKETCOUNT(H628:AV628)</f>
        <v>#NAME?</v>
      </c>
      <c r="T628" s="15" t="e" cm="1">
        <f t="array" aca="1" ref="T628" ca="1">AUTOMATEDCOUNT(H628:AU628)</f>
        <v>#NAME?</v>
      </c>
      <c r="V628" s="6" t="s">
        <v>19</v>
      </c>
      <c r="W628" s="6" t="s">
        <v>19</v>
      </c>
      <c r="X628" s="6" t="s">
        <v>19</v>
      </c>
      <c r="Y628" s="6" t="s">
        <v>19</v>
      </c>
      <c r="Z628" s="6" t="s">
        <v>19</v>
      </c>
      <c r="AA628" s="6" t="s">
        <v>19</v>
      </c>
      <c r="AB628" s="6" t="s">
        <v>19</v>
      </c>
      <c r="AC628" s="6" t="s">
        <v>19</v>
      </c>
      <c r="AD628" s="6" t="s">
        <v>19</v>
      </c>
      <c r="AE628" s="6" t="s">
        <v>19</v>
      </c>
      <c r="AF628" s="6" t="s">
        <v>19</v>
      </c>
      <c r="AG628" s="6" t="s">
        <v>19</v>
      </c>
      <c r="AH628" s="6" t="s">
        <v>19</v>
      </c>
      <c r="AI628" s="6" t="s">
        <v>19</v>
      </c>
      <c r="AJ628" s="6" t="s">
        <v>19</v>
      </c>
      <c r="AK628" s="6" t="s">
        <v>19</v>
      </c>
      <c r="AL628" s="6" t="s">
        <v>19</v>
      </c>
      <c r="AM628" s="6" t="s">
        <v>19</v>
      </c>
      <c r="AN628" s="6" t="s">
        <v>19</v>
      </c>
      <c r="AO628" s="6" t="s">
        <v>19</v>
      </c>
      <c r="AP628" s="6" t="s">
        <v>19</v>
      </c>
      <c r="AQ628" s="6" t="s">
        <v>19</v>
      </c>
      <c r="AR628" s="6" t="s">
        <v>19</v>
      </c>
      <c r="AS628" s="6" t="s">
        <v>19</v>
      </c>
      <c r="AT628" s="6" t="s">
        <v>19</v>
      </c>
      <c r="AU628" s="6" t="s">
        <v>3153</v>
      </c>
      <c r="AV628" s="36" t="s">
        <v>19</v>
      </c>
    </row>
    <row r="629" spans="1:264" ht="39" hidden="1" customHeight="1" x14ac:dyDescent="0.3">
      <c r="A629" s="4" t="s">
        <v>2268</v>
      </c>
      <c r="B629" s="4" t="s">
        <v>2274</v>
      </c>
      <c r="C629" s="4" t="s">
        <v>2009</v>
      </c>
      <c r="D629" s="6" t="s">
        <v>109</v>
      </c>
      <c r="E629" s="6" t="s">
        <v>19</v>
      </c>
      <c r="F629" s="6" t="s">
        <v>19</v>
      </c>
      <c r="G629" s="6" t="s">
        <v>19</v>
      </c>
      <c r="H629" s="6" t="s">
        <v>19</v>
      </c>
      <c r="I629" s="6" t="s">
        <v>19</v>
      </c>
      <c r="J629" s="6" t="s">
        <v>19</v>
      </c>
      <c r="K629" s="6" t="s">
        <v>19</v>
      </c>
      <c r="L629" s="6" t="s">
        <v>19</v>
      </c>
      <c r="M629" s="15" t="s">
        <v>2010</v>
      </c>
      <c r="N629" s="35" t="s">
        <v>2203</v>
      </c>
      <c r="O629" s="4"/>
      <c r="P629" s="4" t="s">
        <v>2216</v>
      </c>
      <c r="S629" s="15" t="e" cm="1">
        <f t="array" aca="1" ref="S629" ca="1">COMMONMARKETCOUNT(H629:AV629)</f>
        <v>#NAME?</v>
      </c>
      <c r="T629" s="15" t="e" cm="1">
        <f t="array" aca="1" ref="T629" ca="1">AUTOMATEDCOUNT(H629:AU629)</f>
        <v>#NAME?</v>
      </c>
      <c r="V629" s="6" t="s">
        <v>19</v>
      </c>
      <c r="W629" s="6" t="s">
        <v>19</v>
      </c>
      <c r="X629" s="6" t="s">
        <v>19</v>
      </c>
      <c r="Y629" s="6" t="s">
        <v>19</v>
      </c>
      <c r="Z629" s="6" t="s">
        <v>19</v>
      </c>
      <c r="AA629" s="6" t="s">
        <v>19</v>
      </c>
      <c r="AB629" s="6" t="s">
        <v>19</v>
      </c>
      <c r="AC629" s="6" t="s">
        <v>19</v>
      </c>
      <c r="AD629" s="15" t="s">
        <v>19</v>
      </c>
      <c r="AE629" s="15" t="s">
        <v>19</v>
      </c>
      <c r="AF629" s="6" t="s">
        <v>19</v>
      </c>
      <c r="AG629" s="6" t="s">
        <v>19</v>
      </c>
      <c r="AH629" s="6" t="s">
        <v>19</v>
      </c>
      <c r="AI629" s="6" t="s">
        <v>19</v>
      </c>
      <c r="AJ629" s="6" t="s">
        <v>19</v>
      </c>
      <c r="AK629" s="6" t="s">
        <v>19</v>
      </c>
      <c r="AL629" s="6" t="s">
        <v>19</v>
      </c>
      <c r="AM629" s="6" t="s">
        <v>19</v>
      </c>
      <c r="AN629" s="6" t="s">
        <v>19</v>
      </c>
      <c r="AO629" s="6" t="s">
        <v>19</v>
      </c>
      <c r="AP629" s="6" t="s">
        <v>19</v>
      </c>
      <c r="AQ629" s="6" t="s">
        <v>19</v>
      </c>
      <c r="AR629" s="6" t="s">
        <v>19</v>
      </c>
      <c r="AS629" s="6" t="s">
        <v>19</v>
      </c>
      <c r="AT629" s="6" t="s">
        <v>19</v>
      </c>
      <c r="AU629" s="6" t="s">
        <v>3153</v>
      </c>
      <c r="AV629" s="36" t="s">
        <v>19</v>
      </c>
    </row>
    <row r="630" spans="1:264" ht="69" hidden="1" customHeight="1" x14ac:dyDescent="0.3">
      <c r="A630" s="4" t="s">
        <v>2268</v>
      </c>
      <c r="B630" s="4" t="s">
        <v>2274</v>
      </c>
      <c r="C630" s="4" t="s">
        <v>2011</v>
      </c>
      <c r="D630" s="6" t="s">
        <v>109</v>
      </c>
      <c r="E630" s="6" t="s">
        <v>19</v>
      </c>
      <c r="F630" s="6" t="s">
        <v>19</v>
      </c>
      <c r="G630" s="6" t="s">
        <v>19</v>
      </c>
      <c r="H630" s="6" t="s">
        <v>19</v>
      </c>
      <c r="I630" s="6" t="s">
        <v>19</v>
      </c>
      <c r="J630" s="6" t="s">
        <v>19</v>
      </c>
      <c r="K630" s="6" t="s">
        <v>19</v>
      </c>
      <c r="L630" s="6" t="s">
        <v>19</v>
      </c>
      <c r="M630" s="15" t="s">
        <v>2012</v>
      </c>
      <c r="N630" s="35" t="s">
        <v>2204</v>
      </c>
      <c r="O630" s="4"/>
      <c r="P630" s="4" t="s">
        <v>2217</v>
      </c>
      <c r="S630" s="15" t="e" cm="1">
        <f t="array" aca="1" ref="S630" ca="1">COMMONMARKETCOUNT(H630:AV630)</f>
        <v>#NAME?</v>
      </c>
      <c r="T630" s="15" t="e" cm="1">
        <f t="array" aca="1" ref="T630" ca="1">AUTOMATEDCOUNT(H630:AU630)</f>
        <v>#NAME?</v>
      </c>
      <c r="V630" s="6" t="s">
        <v>19</v>
      </c>
      <c r="W630" s="6" t="s">
        <v>19</v>
      </c>
      <c r="X630" s="6" t="s">
        <v>19</v>
      </c>
      <c r="Y630" s="6" t="s">
        <v>19</v>
      </c>
      <c r="Z630" s="6" t="s">
        <v>19</v>
      </c>
      <c r="AA630" s="6" t="s">
        <v>19</v>
      </c>
      <c r="AB630" s="6" t="s">
        <v>19</v>
      </c>
      <c r="AC630" s="6" t="s">
        <v>19</v>
      </c>
      <c r="AD630" s="6" t="s">
        <v>19</v>
      </c>
      <c r="AE630" s="6" t="s">
        <v>19</v>
      </c>
      <c r="AF630" s="6" t="s">
        <v>19</v>
      </c>
      <c r="AG630" s="6" t="s">
        <v>19</v>
      </c>
      <c r="AH630" s="6" t="s">
        <v>19</v>
      </c>
      <c r="AI630" s="6" t="s">
        <v>19</v>
      </c>
      <c r="AJ630" s="6" t="s">
        <v>19</v>
      </c>
      <c r="AK630" s="6" t="s">
        <v>19</v>
      </c>
      <c r="AL630" s="6" t="s">
        <v>19</v>
      </c>
      <c r="AM630" s="6" t="s">
        <v>19</v>
      </c>
      <c r="AN630" s="6" t="s">
        <v>19</v>
      </c>
      <c r="AO630" s="6" t="s">
        <v>19</v>
      </c>
      <c r="AP630" s="6" t="s">
        <v>19</v>
      </c>
      <c r="AQ630" s="6" t="s">
        <v>19</v>
      </c>
      <c r="AR630" s="6" t="s">
        <v>19</v>
      </c>
      <c r="AS630" s="6" t="s">
        <v>19</v>
      </c>
      <c r="AT630" s="6" t="s">
        <v>19</v>
      </c>
      <c r="AU630" s="6" t="s">
        <v>3153</v>
      </c>
      <c r="AV630" s="36" t="s">
        <v>19</v>
      </c>
    </row>
    <row r="631" spans="1:264" ht="63.75" hidden="1" customHeight="1" x14ac:dyDescent="0.3">
      <c r="A631" s="4" t="s">
        <v>2268</v>
      </c>
      <c r="B631" s="4" t="s">
        <v>2274</v>
      </c>
      <c r="C631" s="4" t="s">
        <v>2013</v>
      </c>
      <c r="D631" s="6" t="s">
        <v>109</v>
      </c>
      <c r="E631" s="6" t="s">
        <v>19</v>
      </c>
      <c r="F631" s="6" t="s">
        <v>19</v>
      </c>
      <c r="G631" s="6" t="s">
        <v>19</v>
      </c>
      <c r="H631" s="6" t="s">
        <v>19</v>
      </c>
      <c r="I631" s="6" t="s">
        <v>19</v>
      </c>
      <c r="J631" s="6" t="s">
        <v>19</v>
      </c>
      <c r="K631" s="6" t="s">
        <v>19</v>
      </c>
      <c r="L631" s="6" t="s">
        <v>19</v>
      </c>
      <c r="M631" s="15" t="s">
        <v>2014</v>
      </c>
      <c r="N631" s="4" t="s">
        <v>2205</v>
      </c>
      <c r="O631" s="4"/>
      <c r="P631" s="4" t="s">
        <v>2218</v>
      </c>
      <c r="S631" s="15" t="e" cm="1">
        <f t="array" aca="1" ref="S631" ca="1">COMMONMARKETCOUNT(H631:AV631)</f>
        <v>#NAME?</v>
      </c>
      <c r="T631" s="15" t="e" cm="1">
        <f t="array" aca="1" ref="T631" ca="1">AUTOMATEDCOUNT(H631:AU631)</f>
        <v>#NAME?</v>
      </c>
      <c r="V631" s="6" t="s">
        <v>19</v>
      </c>
      <c r="W631" s="6" t="s">
        <v>19</v>
      </c>
      <c r="X631" s="6" t="s">
        <v>19</v>
      </c>
      <c r="Y631" s="6" t="s">
        <v>19</v>
      </c>
      <c r="Z631" s="6" t="s">
        <v>19</v>
      </c>
      <c r="AA631" s="6" t="s">
        <v>19</v>
      </c>
      <c r="AB631" s="6" t="s">
        <v>19</v>
      </c>
      <c r="AC631" s="6" t="s">
        <v>19</v>
      </c>
      <c r="AD631" s="6" t="s">
        <v>19</v>
      </c>
      <c r="AE631" s="6" t="s">
        <v>19</v>
      </c>
      <c r="AF631" s="6" t="s">
        <v>19</v>
      </c>
      <c r="AG631" s="6" t="s">
        <v>19</v>
      </c>
      <c r="AH631" s="6" t="s">
        <v>19</v>
      </c>
      <c r="AI631" s="6" t="s">
        <v>19</v>
      </c>
      <c r="AJ631" s="6" t="s">
        <v>19</v>
      </c>
      <c r="AK631" s="6" t="s">
        <v>19</v>
      </c>
      <c r="AL631" s="6" t="s">
        <v>19</v>
      </c>
      <c r="AM631" s="6" t="s">
        <v>19</v>
      </c>
      <c r="AN631" s="6" t="s">
        <v>19</v>
      </c>
      <c r="AO631" s="6" t="s">
        <v>19</v>
      </c>
      <c r="AP631" s="6" t="s">
        <v>19</v>
      </c>
      <c r="AQ631" s="6" t="s">
        <v>19</v>
      </c>
      <c r="AR631" s="6" t="s">
        <v>19</v>
      </c>
      <c r="AS631" s="6" t="s">
        <v>19</v>
      </c>
      <c r="AT631" s="6" t="s">
        <v>19</v>
      </c>
      <c r="AU631" s="6" t="s">
        <v>3153</v>
      </c>
      <c r="AV631" s="36" t="s">
        <v>19</v>
      </c>
      <c r="AW631" s="5"/>
      <c r="AX631" s="5"/>
      <c r="AY631" s="5"/>
      <c r="AZ631" s="5"/>
      <c r="BA631" s="5"/>
      <c r="BB631" s="5"/>
      <c r="BC631" s="5"/>
      <c r="BD631" s="5"/>
      <c r="BE631" s="5"/>
      <c r="BF631" s="5"/>
      <c r="BG631" s="5"/>
      <c r="BH631" s="5"/>
      <c r="BI631" s="5"/>
      <c r="BJ631" s="5"/>
      <c r="BK631" s="5"/>
      <c r="BL631" s="5"/>
      <c r="BM631" s="5"/>
      <c r="BN631" s="5"/>
      <c r="BO631" s="5"/>
      <c r="BP631" s="5"/>
      <c r="BQ631" s="5"/>
      <c r="BR631" s="5"/>
      <c r="BS631" s="5"/>
      <c r="BT631" s="5"/>
      <c r="BU631" s="5"/>
      <c r="BV631" s="5"/>
      <c r="BW631" s="5"/>
      <c r="BX631" s="5"/>
      <c r="BY631" s="5"/>
      <c r="BZ631" s="5"/>
      <c r="CA631" s="5"/>
      <c r="CB631" s="5"/>
      <c r="CC631" s="5"/>
      <c r="CD631" s="5"/>
      <c r="CE631" s="5"/>
      <c r="CF631" s="5"/>
      <c r="CG631" s="5"/>
      <c r="CH631" s="5"/>
      <c r="CI631" s="5"/>
      <c r="CJ631" s="5"/>
      <c r="CK631" s="5"/>
      <c r="CL631" s="5"/>
      <c r="CM631" s="5"/>
      <c r="CN631" s="5"/>
      <c r="CO631" s="5"/>
      <c r="CP631" s="5"/>
      <c r="CQ631" s="5"/>
      <c r="CR631" s="5"/>
      <c r="CS631" s="5"/>
      <c r="CT631" s="5"/>
      <c r="CU631" s="5"/>
      <c r="CV631" s="5"/>
      <c r="CW631" s="5"/>
      <c r="CX631" s="5"/>
      <c r="CY631" s="5"/>
      <c r="CZ631" s="5"/>
      <c r="DA631" s="5"/>
      <c r="DB631" s="5"/>
      <c r="DC631" s="5"/>
      <c r="DD631" s="5"/>
      <c r="DE631" s="5"/>
      <c r="DF631" s="5"/>
      <c r="DG631" s="5"/>
      <c r="DH631" s="5"/>
      <c r="DI631" s="5"/>
      <c r="DJ631" s="5"/>
      <c r="DK631" s="5"/>
      <c r="DL631" s="5"/>
      <c r="DM631" s="5"/>
      <c r="DN631" s="5"/>
      <c r="DO631" s="5"/>
      <c r="DP631" s="5"/>
      <c r="DQ631" s="5"/>
      <c r="DR631" s="5"/>
      <c r="DS631" s="5"/>
      <c r="DT631" s="5"/>
      <c r="DU631" s="5"/>
      <c r="DV631" s="5"/>
      <c r="DW631" s="5"/>
      <c r="DX631" s="5"/>
      <c r="DY631" s="5"/>
      <c r="DZ631" s="5"/>
      <c r="EA631" s="5"/>
      <c r="EB631" s="5"/>
      <c r="EC631" s="5"/>
      <c r="ED631" s="5"/>
      <c r="EE631" s="5"/>
      <c r="EF631" s="5"/>
      <c r="EG631" s="5"/>
      <c r="EH631" s="5"/>
      <c r="EI631" s="5"/>
      <c r="EJ631" s="5"/>
      <c r="EK631" s="5"/>
      <c r="EL631" s="5"/>
      <c r="EM631" s="5"/>
      <c r="EN631" s="5"/>
      <c r="EO631" s="5"/>
      <c r="EP631" s="5"/>
      <c r="EQ631" s="5"/>
      <c r="ER631" s="5"/>
      <c r="ES631" s="5"/>
      <c r="ET631" s="5"/>
      <c r="EU631" s="5"/>
      <c r="EV631" s="5"/>
      <c r="EW631" s="5"/>
      <c r="EX631" s="5"/>
      <c r="EY631" s="5"/>
      <c r="EZ631" s="5"/>
      <c r="FA631" s="5"/>
      <c r="FB631" s="5"/>
      <c r="FC631" s="5"/>
      <c r="FD631" s="5"/>
      <c r="FE631" s="5"/>
      <c r="FF631" s="5"/>
      <c r="FG631" s="5"/>
      <c r="FH631" s="5"/>
      <c r="FI631" s="5"/>
      <c r="FJ631" s="5"/>
      <c r="FK631" s="5"/>
      <c r="FL631" s="5"/>
      <c r="FM631" s="5"/>
      <c r="FN631" s="5"/>
      <c r="FO631" s="5"/>
      <c r="FP631" s="5"/>
      <c r="FQ631" s="5"/>
      <c r="FR631" s="5"/>
      <c r="FS631" s="5"/>
      <c r="FT631" s="5"/>
      <c r="FU631" s="5"/>
      <c r="FV631" s="5"/>
      <c r="FW631" s="5"/>
      <c r="FX631" s="5"/>
      <c r="FY631" s="5"/>
      <c r="FZ631" s="5"/>
      <c r="GA631" s="5"/>
      <c r="GB631" s="5"/>
      <c r="GC631" s="5"/>
      <c r="GD631" s="5"/>
      <c r="GE631" s="5"/>
      <c r="GF631" s="5"/>
      <c r="GG631" s="5"/>
      <c r="GH631" s="5"/>
      <c r="GI631" s="5"/>
      <c r="GJ631" s="5"/>
      <c r="GK631" s="5"/>
      <c r="GL631" s="5"/>
      <c r="GM631" s="5"/>
      <c r="GN631" s="5"/>
      <c r="GO631" s="5"/>
      <c r="GP631" s="5"/>
      <c r="GQ631" s="5"/>
      <c r="GR631" s="5"/>
      <c r="GS631" s="5"/>
      <c r="GT631" s="5"/>
      <c r="GU631" s="5"/>
      <c r="GV631" s="5"/>
      <c r="GW631" s="5"/>
      <c r="GX631" s="5"/>
      <c r="GY631" s="5"/>
      <c r="GZ631" s="5"/>
      <c r="HA631" s="5"/>
      <c r="HB631" s="5"/>
      <c r="HC631" s="5"/>
      <c r="HD631" s="5"/>
      <c r="HE631" s="5"/>
      <c r="HF631" s="5"/>
      <c r="HG631" s="5"/>
      <c r="HH631" s="5"/>
      <c r="HI631" s="5"/>
      <c r="HJ631" s="5"/>
      <c r="HK631" s="5"/>
      <c r="HL631" s="5"/>
      <c r="HM631" s="5"/>
      <c r="HN631" s="5"/>
      <c r="HO631" s="5"/>
      <c r="HP631" s="5"/>
      <c r="HQ631" s="5"/>
      <c r="HR631" s="5"/>
      <c r="HS631" s="5"/>
      <c r="HT631" s="5"/>
      <c r="HU631" s="5"/>
      <c r="HV631" s="5"/>
      <c r="HW631" s="5"/>
      <c r="HX631" s="5"/>
      <c r="HY631" s="5"/>
      <c r="HZ631" s="5"/>
      <c r="IA631" s="5"/>
      <c r="IB631" s="5"/>
      <c r="IC631" s="5"/>
      <c r="ID631" s="5"/>
      <c r="IE631" s="5"/>
      <c r="IF631" s="5"/>
      <c r="IG631" s="5"/>
      <c r="IH631" s="5"/>
      <c r="II631" s="5"/>
      <c r="IJ631" s="5"/>
      <c r="IK631" s="5"/>
      <c r="IL631" s="5"/>
      <c r="IM631" s="5"/>
      <c r="IN631" s="5"/>
      <c r="IO631" s="5"/>
      <c r="IP631" s="5"/>
      <c r="IQ631" s="5"/>
      <c r="IR631" s="5"/>
      <c r="IS631" s="5"/>
      <c r="IT631" s="5"/>
      <c r="IU631" s="5"/>
      <c r="IV631" s="5"/>
      <c r="IW631" s="5"/>
      <c r="IX631" s="5"/>
      <c r="IY631" s="5"/>
      <c r="IZ631" s="5"/>
      <c r="JA631" s="5"/>
      <c r="JB631" s="5"/>
      <c r="JC631" s="5"/>
      <c r="JD631" s="5"/>
    </row>
    <row r="632" spans="1:264" ht="72.75" hidden="1" customHeight="1" x14ac:dyDescent="0.3">
      <c r="A632" s="4" t="s">
        <v>2268</v>
      </c>
      <c r="B632" s="4" t="s">
        <v>2274</v>
      </c>
      <c r="C632" s="4" t="s">
        <v>2015</v>
      </c>
      <c r="D632" s="6" t="s">
        <v>109</v>
      </c>
      <c r="E632" s="6" t="s">
        <v>19</v>
      </c>
      <c r="F632" s="6" t="s">
        <v>19</v>
      </c>
      <c r="G632" s="6" t="s">
        <v>19</v>
      </c>
      <c r="H632" s="6" t="s">
        <v>19</v>
      </c>
      <c r="I632" s="6" t="s">
        <v>19</v>
      </c>
      <c r="J632" s="6" t="s">
        <v>19</v>
      </c>
      <c r="K632" s="6" t="s">
        <v>19</v>
      </c>
      <c r="L632" s="6" t="s">
        <v>19</v>
      </c>
      <c r="M632" s="15" t="s">
        <v>2016</v>
      </c>
      <c r="N632" s="4" t="s">
        <v>2206</v>
      </c>
      <c r="O632" s="4"/>
      <c r="P632" s="4" t="s">
        <v>2219</v>
      </c>
      <c r="S632" s="15" t="e" cm="1">
        <f t="array" aca="1" ref="S632" ca="1">COMMONMARKETCOUNT(H632:AV632)</f>
        <v>#NAME?</v>
      </c>
      <c r="T632" s="15" t="e" cm="1">
        <f t="array" aca="1" ref="T632" ca="1">AUTOMATEDCOUNT(H632:AU632)</f>
        <v>#NAME?</v>
      </c>
      <c r="V632" s="6" t="s">
        <v>19</v>
      </c>
      <c r="W632" s="6" t="s">
        <v>19</v>
      </c>
      <c r="X632" s="6" t="s">
        <v>19</v>
      </c>
      <c r="Y632" s="6" t="s">
        <v>19</v>
      </c>
      <c r="Z632" s="6" t="s">
        <v>19</v>
      </c>
      <c r="AA632" s="6" t="s">
        <v>19</v>
      </c>
      <c r="AB632" s="6" t="s">
        <v>19</v>
      </c>
      <c r="AC632" s="6" t="s">
        <v>19</v>
      </c>
      <c r="AD632" s="6" t="s">
        <v>19</v>
      </c>
      <c r="AE632" s="6" t="s">
        <v>19</v>
      </c>
      <c r="AF632" s="6" t="s">
        <v>19</v>
      </c>
      <c r="AG632" s="6" t="s">
        <v>19</v>
      </c>
      <c r="AH632" s="6" t="s">
        <v>19</v>
      </c>
      <c r="AI632" s="6" t="s">
        <v>19</v>
      </c>
      <c r="AJ632" s="6" t="s">
        <v>19</v>
      </c>
      <c r="AK632" s="6" t="s">
        <v>19</v>
      </c>
      <c r="AL632" s="6" t="s">
        <v>19</v>
      </c>
      <c r="AM632" s="6" t="s">
        <v>19</v>
      </c>
      <c r="AN632" s="6" t="s">
        <v>19</v>
      </c>
      <c r="AO632" s="6" t="s">
        <v>19</v>
      </c>
      <c r="AP632" s="6" t="s">
        <v>19</v>
      </c>
      <c r="AQ632" s="6" t="s">
        <v>19</v>
      </c>
      <c r="AR632" s="6" t="s">
        <v>19</v>
      </c>
      <c r="AS632" s="6" t="s">
        <v>19</v>
      </c>
      <c r="AT632" s="6" t="s">
        <v>19</v>
      </c>
      <c r="AU632" s="6" t="s">
        <v>3153</v>
      </c>
      <c r="AV632" s="36" t="s">
        <v>19</v>
      </c>
    </row>
    <row r="633" spans="1:264" ht="89.25" hidden="1" customHeight="1" x14ac:dyDescent="0.3">
      <c r="A633" s="4" t="s">
        <v>2268</v>
      </c>
      <c r="B633" s="4" t="s">
        <v>1310</v>
      </c>
      <c r="C633" s="4" t="s">
        <v>2017</v>
      </c>
      <c r="D633" s="6" t="s">
        <v>109</v>
      </c>
      <c r="E633" s="6" t="s">
        <v>19</v>
      </c>
      <c r="F633" s="6" t="s">
        <v>19</v>
      </c>
      <c r="G633" s="6" t="s">
        <v>19</v>
      </c>
      <c r="H633" s="6" t="s">
        <v>19</v>
      </c>
      <c r="I633" s="6" t="s">
        <v>19</v>
      </c>
      <c r="J633" s="6" t="s">
        <v>19</v>
      </c>
      <c r="K633" s="6" t="s">
        <v>19</v>
      </c>
      <c r="L633" s="6" t="s">
        <v>19</v>
      </c>
      <c r="M633" s="15" t="s">
        <v>2018</v>
      </c>
      <c r="N633" s="4" t="s">
        <v>2207</v>
      </c>
      <c r="O633" s="4"/>
      <c r="P633" s="4" t="s">
        <v>2220</v>
      </c>
      <c r="S633" s="15" t="e" cm="1">
        <f t="array" aca="1" ref="S633" ca="1">COMMONMARKETCOUNT(H633:AV633)</f>
        <v>#NAME?</v>
      </c>
      <c r="T633" s="15" t="e" cm="1">
        <f t="array" aca="1" ref="T633" ca="1">AUTOMATEDCOUNT(H633:AU633)</f>
        <v>#NAME?</v>
      </c>
      <c r="V633" s="6" t="s">
        <v>19</v>
      </c>
      <c r="W633" s="6" t="s">
        <v>19</v>
      </c>
      <c r="X633" s="6" t="s">
        <v>19</v>
      </c>
      <c r="Y633" s="6" t="s">
        <v>19</v>
      </c>
      <c r="Z633" s="6" t="s">
        <v>19</v>
      </c>
      <c r="AA633" s="6" t="s">
        <v>19</v>
      </c>
      <c r="AB633" s="6" t="s">
        <v>19</v>
      </c>
      <c r="AC633" s="6" t="s">
        <v>19</v>
      </c>
      <c r="AD633" s="18" t="s">
        <v>109</v>
      </c>
      <c r="AE633" s="18" t="s">
        <v>109</v>
      </c>
      <c r="AF633" s="6" t="s">
        <v>19</v>
      </c>
      <c r="AG633" s="6" t="s">
        <v>19</v>
      </c>
      <c r="AH633" s="6" t="s">
        <v>19</v>
      </c>
      <c r="AI633" s="6" t="s">
        <v>19</v>
      </c>
      <c r="AJ633" s="6" t="s">
        <v>19</v>
      </c>
      <c r="AK633" s="6" t="s">
        <v>19</v>
      </c>
      <c r="AL633" s="6" t="s">
        <v>19</v>
      </c>
      <c r="AM633" s="6" t="s">
        <v>19</v>
      </c>
      <c r="AN633" s="6" t="s">
        <v>19</v>
      </c>
      <c r="AO633" s="6" t="s">
        <v>19</v>
      </c>
      <c r="AP633" s="6" t="s">
        <v>19</v>
      </c>
      <c r="AQ633" s="6" t="s">
        <v>19</v>
      </c>
      <c r="AR633" s="6" t="s">
        <v>19</v>
      </c>
      <c r="AS633" s="6" t="s">
        <v>19</v>
      </c>
      <c r="AT633" s="6" t="s">
        <v>19</v>
      </c>
      <c r="AU633" s="6" t="s">
        <v>3153</v>
      </c>
      <c r="AV633" s="36" t="s">
        <v>19</v>
      </c>
    </row>
    <row r="634" spans="1:264" ht="64.5" hidden="1" customHeight="1" x14ac:dyDescent="0.3">
      <c r="A634" s="4" t="s">
        <v>2268</v>
      </c>
      <c r="B634" s="4" t="s">
        <v>17</v>
      </c>
      <c r="C634" s="4" t="s">
        <v>2019</v>
      </c>
      <c r="D634" s="6" t="s">
        <v>109</v>
      </c>
      <c r="E634" s="6" t="s">
        <v>19</v>
      </c>
      <c r="F634" s="6" t="s">
        <v>19</v>
      </c>
      <c r="G634" s="6" t="s">
        <v>19</v>
      </c>
      <c r="H634" s="6" t="s">
        <v>19</v>
      </c>
      <c r="I634" s="6" t="s">
        <v>19</v>
      </c>
      <c r="J634" s="6" t="s">
        <v>19</v>
      </c>
      <c r="K634" s="6" t="s">
        <v>19</v>
      </c>
      <c r="L634" s="6" t="s">
        <v>19</v>
      </c>
      <c r="M634" s="15" t="s">
        <v>2020</v>
      </c>
      <c r="N634" s="4" t="s">
        <v>2234</v>
      </c>
      <c r="O634" s="4"/>
      <c r="P634" s="4">
        <v>0</v>
      </c>
      <c r="S634" s="15" t="e" cm="1">
        <f t="array" aca="1" ref="S634" ca="1">COMMONMARKETCOUNT(H634:AV634)</f>
        <v>#NAME?</v>
      </c>
      <c r="T634" s="15" t="e" cm="1">
        <f t="array" aca="1" ref="T634" ca="1">AUTOMATEDCOUNT(H634:AU634)</f>
        <v>#NAME?</v>
      </c>
      <c r="V634" s="6" t="s">
        <v>19</v>
      </c>
      <c r="W634" s="6" t="s">
        <v>19</v>
      </c>
      <c r="X634" s="6" t="s">
        <v>19</v>
      </c>
      <c r="Y634" s="6" t="s">
        <v>19</v>
      </c>
      <c r="Z634" s="6" t="s">
        <v>19</v>
      </c>
      <c r="AA634" s="6" t="s">
        <v>19</v>
      </c>
      <c r="AB634" s="6" t="s">
        <v>19</v>
      </c>
      <c r="AC634" s="6" t="s">
        <v>19</v>
      </c>
      <c r="AD634" s="18" t="s">
        <v>109</v>
      </c>
      <c r="AE634" s="18" t="s">
        <v>109</v>
      </c>
      <c r="AF634" s="6" t="s">
        <v>19</v>
      </c>
      <c r="AG634" s="6" t="s">
        <v>19</v>
      </c>
      <c r="AH634" s="6" t="s">
        <v>19</v>
      </c>
      <c r="AI634" s="6" t="s">
        <v>19</v>
      </c>
      <c r="AJ634" s="6" t="s">
        <v>19</v>
      </c>
      <c r="AK634" s="6" t="s">
        <v>19</v>
      </c>
      <c r="AL634" s="6" t="s">
        <v>19</v>
      </c>
      <c r="AM634" s="6" t="s">
        <v>19</v>
      </c>
      <c r="AN634" s="6" t="s">
        <v>19</v>
      </c>
      <c r="AO634" s="6" t="s">
        <v>19</v>
      </c>
      <c r="AP634" s="6" t="s">
        <v>19</v>
      </c>
      <c r="AQ634" s="6" t="s">
        <v>19</v>
      </c>
      <c r="AR634" s="6" t="s">
        <v>19</v>
      </c>
      <c r="AS634" s="6" t="s">
        <v>19</v>
      </c>
      <c r="AT634" s="6" t="s">
        <v>19</v>
      </c>
      <c r="AU634" s="6" t="s">
        <v>3153</v>
      </c>
      <c r="AV634" s="36" t="s">
        <v>19</v>
      </c>
    </row>
    <row r="635" spans="1:264" ht="78.75" hidden="1" customHeight="1" x14ac:dyDescent="0.3">
      <c r="A635" s="4" t="s">
        <v>2268</v>
      </c>
      <c r="B635" s="15" t="s">
        <v>55</v>
      </c>
      <c r="C635" s="4" t="s">
        <v>2021</v>
      </c>
      <c r="D635" s="6" t="s">
        <v>109</v>
      </c>
      <c r="E635" s="6" t="s">
        <v>19</v>
      </c>
      <c r="F635" s="6" t="s">
        <v>19</v>
      </c>
      <c r="G635" s="6" t="s">
        <v>19</v>
      </c>
      <c r="H635" s="6" t="s">
        <v>19</v>
      </c>
      <c r="I635" s="6" t="s">
        <v>19</v>
      </c>
      <c r="J635" s="6" t="s">
        <v>19</v>
      </c>
      <c r="K635" s="6" t="s">
        <v>19</v>
      </c>
      <c r="L635" s="6" t="s">
        <v>19</v>
      </c>
      <c r="M635" s="15" t="s">
        <v>2022</v>
      </c>
      <c r="N635" s="4" t="s">
        <v>2230</v>
      </c>
      <c r="O635" s="4"/>
      <c r="P635" s="4" t="s">
        <v>2221</v>
      </c>
      <c r="S635" s="15" t="e" cm="1">
        <f t="array" aca="1" ref="S635" ca="1">COMMONMARKETCOUNT(H635:AV635)</f>
        <v>#NAME?</v>
      </c>
      <c r="T635" s="15" t="e" cm="1">
        <f t="array" aca="1" ref="T635" ca="1">AUTOMATEDCOUNT(H635:AU635)</f>
        <v>#NAME?</v>
      </c>
      <c r="V635" s="6" t="s">
        <v>19</v>
      </c>
      <c r="W635" s="6" t="s">
        <v>19</v>
      </c>
      <c r="X635" s="6" t="s">
        <v>19</v>
      </c>
      <c r="Y635" s="6" t="s">
        <v>19</v>
      </c>
      <c r="Z635" s="6" t="s">
        <v>19</v>
      </c>
      <c r="AA635" s="6" t="s">
        <v>19</v>
      </c>
      <c r="AB635" s="6" t="s">
        <v>19</v>
      </c>
      <c r="AC635" s="6" t="s">
        <v>19</v>
      </c>
      <c r="AD635" s="18" t="s">
        <v>109</v>
      </c>
      <c r="AE635" s="18" t="s">
        <v>109</v>
      </c>
      <c r="AF635" s="6" t="s">
        <v>19</v>
      </c>
      <c r="AG635" s="6" t="s">
        <v>19</v>
      </c>
      <c r="AH635" s="6" t="s">
        <v>19</v>
      </c>
      <c r="AI635" s="6" t="s">
        <v>19</v>
      </c>
      <c r="AJ635" s="6" t="s">
        <v>19</v>
      </c>
      <c r="AK635" s="6" t="s">
        <v>19</v>
      </c>
      <c r="AL635" s="6" t="s">
        <v>19</v>
      </c>
      <c r="AM635" s="6" t="s">
        <v>19</v>
      </c>
      <c r="AN635" s="6" t="s">
        <v>19</v>
      </c>
      <c r="AO635" s="6" t="s">
        <v>19</v>
      </c>
      <c r="AP635" s="6" t="s">
        <v>19</v>
      </c>
      <c r="AQ635" s="6" t="s">
        <v>19</v>
      </c>
      <c r="AR635" s="6" t="s">
        <v>19</v>
      </c>
      <c r="AS635" s="6" t="s">
        <v>19</v>
      </c>
      <c r="AT635" s="6" t="s">
        <v>19</v>
      </c>
      <c r="AU635" s="6" t="s">
        <v>3153</v>
      </c>
      <c r="AV635" s="36" t="s">
        <v>19</v>
      </c>
    </row>
    <row r="636" spans="1:264" ht="46.5" hidden="1" customHeight="1" x14ac:dyDescent="0.3">
      <c r="A636" s="4" t="s">
        <v>2268</v>
      </c>
      <c r="B636" s="15" t="s">
        <v>55</v>
      </c>
      <c r="C636" s="4" t="s">
        <v>2023</v>
      </c>
      <c r="D636" s="6" t="s">
        <v>109</v>
      </c>
      <c r="E636" s="6" t="s">
        <v>19</v>
      </c>
      <c r="F636" s="6" t="s">
        <v>19</v>
      </c>
      <c r="G636" s="6" t="s">
        <v>19</v>
      </c>
      <c r="H636" s="6" t="s">
        <v>19</v>
      </c>
      <c r="I636" s="6" t="s">
        <v>19</v>
      </c>
      <c r="J636" s="6" t="s">
        <v>19</v>
      </c>
      <c r="K636" s="6" t="s">
        <v>19</v>
      </c>
      <c r="L636" s="6" t="s">
        <v>19</v>
      </c>
      <c r="M636" s="15" t="s">
        <v>2022</v>
      </c>
      <c r="N636" s="4" t="s">
        <v>2231</v>
      </c>
      <c r="O636" s="4"/>
      <c r="P636" s="4" t="s">
        <v>2222</v>
      </c>
      <c r="S636" s="15" t="e" cm="1">
        <f t="array" aca="1" ref="S636" ca="1">COMMONMARKETCOUNT(H636:AV636)</f>
        <v>#NAME?</v>
      </c>
      <c r="T636" s="15" t="e" cm="1">
        <f t="array" aca="1" ref="T636" ca="1">AUTOMATEDCOUNT(H636:AU636)</f>
        <v>#NAME?</v>
      </c>
      <c r="V636" s="6" t="s">
        <v>19</v>
      </c>
      <c r="W636" s="6" t="s">
        <v>19</v>
      </c>
      <c r="X636" s="6" t="s">
        <v>19</v>
      </c>
      <c r="Y636" s="6" t="s">
        <v>19</v>
      </c>
      <c r="Z636" s="6" t="s">
        <v>19</v>
      </c>
      <c r="AA636" s="6" t="s">
        <v>19</v>
      </c>
      <c r="AB636" s="6" t="s">
        <v>19</v>
      </c>
      <c r="AC636" s="6" t="s">
        <v>19</v>
      </c>
      <c r="AD636" s="18" t="s">
        <v>109</v>
      </c>
      <c r="AE636" s="18" t="s">
        <v>109</v>
      </c>
      <c r="AF636" s="6" t="s">
        <v>19</v>
      </c>
      <c r="AG636" s="6" t="s">
        <v>19</v>
      </c>
      <c r="AH636" s="6" t="s">
        <v>19</v>
      </c>
      <c r="AI636" s="6" t="s">
        <v>19</v>
      </c>
      <c r="AJ636" s="6" t="s">
        <v>19</v>
      </c>
      <c r="AK636" s="6" t="s">
        <v>19</v>
      </c>
      <c r="AL636" s="6" t="s">
        <v>19</v>
      </c>
      <c r="AM636" s="6" t="s">
        <v>19</v>
      </c>
      <c r="AN636" s="6" t="s">
        <v>19</v>
      </c>
      <c r="AO636" s="6" t="s">
        <v>19</v>
      </c>
      <c r="AP636" s="6" t="s">
        <v>19</v>
      </c>
      <c r="AQ636" s="6" t="s">
        <v>19</v>
      </c>
      <c r="AR636" s="6" t="s">
        <v>19</v>
      </c>
      <c r="AS636" s="6" t="s">
        <v>19</v>
      </c>
      <c r="AT636" s="6" t="s">
        <v>19</v>
      </c>
      <c r="AU636" s="6" t="s">
        <v>3153</v>
      </c>
      <c r="AV636" s="36" t="s">
        <v>19</v>
      </c>
    </row>
    <row r="637" spans="1:264" ht="62.25" hidden="1" customHeight="1" x14ac:dyDescent="0.3">
      <c r="A637" s="4" t="s">
        <v>2268</v>
      </c>
      <c r="B637" s="4" t="s">
        <v>2277</v>
      </c>
      <c r="C637" s="4" t="s">
        <v>2024</v>
      </c>
      <c r="D637" s="6" t="s">
        <v>109</v>
      </c>
      <c r="E637" s="6" t="s">
        <v>19</v>
      </c>
      <c r="F637" s="6" t="s">
        <v>19</v>
      </c>
      <c r="G637" s="6" t="s">
        <v>19</v>
      </c>
      <c r="H637" s="6" t="s">
        <v>19</v>
      </c>
      <c r="I637" s="6" t="s">
        <v>19</v>
      </c>
      <c r="J637" s="6" t="s">
        <v>19</v>
      </c>
      <c r="K637" s="6" t="s">
        <v>19</v>
      </c>
      <c r="L637" s="6" t="s">
        <v>19</v>
      </c>
      <c r="M637" s="15" t="s">
        <v>2025</v>
      </c>
      <c r="N637" s="4" t="s">
        <v>2232</v>
      </c>
      <c r="O637" s="4"/>
      <c r="P637" s="4" t="s">
        <v>2223</v>
      </c>
      <c r="S637" s="15" t="e" cm="1">
        <f t="array" aca="1" ref="S637" ca="1">COMMONMARKETCOUNT(H637:AV637)</f>
        <v>#NAME?</v>
      </c>
      <c r="T637" s="15" t="e" cm="1">
        <f t="array" aca="1" ref="T637" ca="1">AUTOMATEDCOUNT(H637:AU637)</f>
        <v>#NAME?</v>
      </c>
      <c r="V637" s="6" t="s">
        <v>19</v>
      </c>
      <c r="W637" s="6" t="s">
        <v>19</v>
      </c>
      <c r="X637" s="6" t="s">
        <v>19</v>
      </c>
      <c r="Y637" s="6" t="s">
        <v>19</v>
      </c>
      <c r="Z637" s="6" t="s">
        <v>19</v>
      </c>
      <c r="AA637" s="6" t="s">
        <v>19</v>
      </c>
      <c r="AB637" s="6" t="s">
        <v>19</v>
      </c>
      <c r="AC637" s="6" t="s">
        <v>19</v>
      </c>
      <c r="AD637" s="6" t="s">
        <v>19</v>
      </c>
      <c r="AE637" s="6" t="s">
        <v>19</v>
      </c>
      <c r="AF637" s="6" t="s">
        <v>19</v>
      </c>
      <c r="AG637" s="6" t="s">
        <v>19</v>
      </c>
      <c r="AH637" s="6" t="s">
        <v>19</v>
      </c>
      <c r="AI637" s="6" t="s">
        <v>19</v>
      </c>
      <c r="AJ637" s="6" t="s">
        <v>19</v>
      </c>
      <c r="AK637" s="6" t="s">
        <v>19</v>
      </c>
      <c r="AL637" s="6" t="s">
        <v>19</v>
      </c>
      <c r="AM637" s="6" t="s">
        <v>19</v>
      </c>
      <c r="AN637" s="6" t="s">
        <v>19</v>
      </c>
      <c r="AO637" s="6" t="s">
        <v>19</v>
      </c>
      <c r="AP637" s="6" t="s">
        <v>19</v>
      </c>
      <c r="AQ637" s="6" t="s">
        <v>19</v>
      </c>
      <c r="AR637" s="6" t="s">
        <v>19</v>
      </c>
      <c r="AS637" s="6" t="s">
        <v>19</v>
      </c>
      <c r="AT637" s="6" t="s">
        <v>19</v>
      </c>
      <c r="AU637" s="6" t="s">
        <v>3153</v>
      </c>
      <c r="AV637" s="36" t="s">
        <v>19</v>
      </c>
    </row>
    <row r="638" spans="1:264" ht="71.25" hidden="1" customHeight="1" x14ac:dyDescent="0.3">
      <c r="A638" s="4" t="s">
        <v>2268</v>
      </c>
      <c r="B638" s="4" t="s">
        <v>2277</v>
      </c>
      <c r="C638" s="4" t="s">
        <v>2026</v>
      </c>
      <c r="D638" s="6" t="s">
        <v>109</v>
      </c>
      <c r="E638" s="6" t="s">
        <v>19</v>
      </c>
      <c r="F638" s="6" t="s">
        <v>19</v>
      </c>
      <c r="G638" s="6" t="s">
        <v>19</v>
      </c>
      <c r="H638" s="6" t="s">
        <v>19</v>
      </c>
      <c r="I638" s="6" t="s">
        <v>19</v>
      </c>
      <c r="J638" s="6" t="s">
        <v>19</v>
      </c>
      <c r="K638" s="6" t="s">
        <v>19</v>
      </c>
      <c r="L638" s="6" t="s">
        <v>19</v>
      </c>
      <c r="M638" s="15" t="s">
        <v>2027</v>
      </c>
      <c r="N638" s="4" t="s">
        <v>2233</v>
      </c>
      <c r="O638" s="4"/>
      <c r="P638" s="4" t="s">
        <v>2224</v>
      </c>
      <c r="S638" s="15" t="e" cm="1">
        <f t="array" aca="1" ref="S638" ca="1">COMMONMARKETCOUNT(H638:AV638)</f>
        <v>#NAME?</v>
      </c>
      <c r="T638" s="15" t="e" cm="1">
        <f t="array" aca="1" ref="T638" ca="1">AUTOMATEDCOUNT(H638:AU638)</f>
        <v>#NAME?</v>
      </c>
      <c r="V638" s="6" t="s">
        <v>19</v>
      </c>
      <c r="W638" s="6" t="s">
        <v>19</v>
      </c>
      <c r="X638" s="6" t="s">
        <v>19</v>
      </c>
      <c r="Y638" s="6" t="s">
        <v>19</v>
      </c>
      <c r="Z638" s="6" t="s">
        <v>19</v>
      </c>
      <c r="AA638" s="6" t="s">
        <v>19</v>
      </c>
      <c r="AB638" s="6" t="s">
        <v>19</v>
      </c>
      <c r="AC638" s="6" t="s">
        <v>19</v>
      </c>
      <c r="AD638" s="6" t="s">
        <v>19</v>
      </c>
      <c r="AE638" s="6" t="s">
        <v>19</v>
      </c>
      <c r="AF638" s="6" t="s">
        <v>19</v>
      </c>
      <c r="AG638" s="6" t="s">
        <v>19</v>
      </c>
      <c r="AH638" s="6" t="s">
        <v>19</v>
      </c>
      <c r="AI638" s="6" t="s">
        <v>19</v>
      </c>
      <c r="AJ638" s="6" t="s">
        <v>19</v>
      </c>
      <c r="AK638" s="6" t="s">
        <v>19</v>
      </c>
      <c r="AL638" s="6" t="s">
        <v>19</v>
      </c>
      <c r="AM638" s="6" t="s">
        <v>19</v>
      </c>
      <c r="AN638" s="6" t="s">
        <v>19</v>
      </c>
      <c r="AO638" s="6" t="s">
        <v>19</v>
      </c>
      <c r="AP638" s="6" t="s">
        <v>19</v>
      </c>
      <c r="AQ638" s="6" t="s">
        <v>19</v>
      </c>
      <c r="AR638" s="6" t="s">
        <v>19</v>
      </c>
      <c r="AS638" s="6" t="s">
        <v>19</v>
      </c>
      <c r="AT638" s="6" t="s">
        <v>19</v>
      </c>
      <c r="AU638" s="6" t="s">
        <v>3153</v>
      </c>
      <c r="AV638" s="36" t="s">
        <v>19</v>
      </c>
    </row>
    <row r="639" spans="1:264" ht="70.5" hidden="1" customHeight="1" x14ac:dyDescent="0.3">
      <c r="A639" s="4" t="s">
        <v>2268</v>
      </c>
      <c r="B639" s="4" t="s">
        <v>2277</v>
      </c>
      <c r="C639" s="4" t="s">
        <v>2028</v>
      </c>
      <c r="D639" s="6" t="s">
        <v>109</v>
      </c>
      <c r="E639" s="6" t="s">
        <v>19</v>
      </c>
      <c r="F639" s="6" t="s">
        <v>19</v>
      </c>
      <c r="G639" s="6" t="s">
        <v>19</v>
      </c>
      <c r="H639" s="6" t="s">
        <v>19</v>
      </c>
      <c r="I639" s="6" t="s">
        <v>19</v>
      </c>
      <c r="J639" s="6" t="s">
        <v>19</v>
      </c>
      <c r="K639" s="6" t="s">
        <v>19</v>
      </c>
      <c r="L639" s="6" t="s">
        <v>19</v>
      </c>
      <c r="M639" s="15" t="s">
        <v>2029</v>
      </c>
      <c r="N639" s="4" t="s">
        <v>2236</v>
      </c>
      <c r="O639" s="4"/>
      <c r="P639" s="4" t="s">
        <v>2225</v>
      </c>
      <c r="S639" s="15" t="e" cm="1">
        <f t="array" aca="1" ref="S639" ca="1">COMMONMARKETCOUNT(H639:AV639)</f>
        <v>#NAME?</v>
      </c>
      <c r="T639" s="15" t="e" cm="1">
        <f t="array" aca="1" ref="T639" ca="1">AUTOMATEDCOUNT(H639:AU639)</f>
        <v>#NAME?</v>
      </c>
      <c r="V639" s="6" t="s">
        <v>19</v>
      </c>
      <c r="W639" s="6" t="s">
        <v>19</v>
      </c>
      <c r="X639" s="6" t="s">
        <v>19</v>
      </c>
      <c r="Y639" s="6" t="s">
        <v>19</v>
      </c>
      <c r="Z639" s="6" t="s">
        <v>19</v>
      </c>
      <c r="AA639" s="6" t="s">
        <v>19</v>
      </c>
      <c r="AB639" s="6" t="s">
        <v>19</v>
      </c>
      <c r="AC639" s="6" t="s">
        <v>19</v>
      </c>
      <c r="AD639" s="6" t="s">
        <v>19</v>
      </c>
      <c r="AE639" s="6" t="s">
        <v>19</v>
      </c>
      <c r="AF639" s="6" t="s">
        <v>19</v>
      </c>
      <c r="AG639" s="6" t="s">
        <v>19</v>
      </c>
      <c r="AH639" s="6" t="s">
        <v>19</v>
      </c>
      <c r="AI639" s="6" t="s">
        <v>19</v>
      </c>
      <c r="AJ639" s="6" t="s">
        <v>19</v>
      </c>
      <c r="AK639" s="6" t="s">
        <v>19</v>
      </c>
      <c r="AL639" s="6" t="s">
        <v>19</v>
      </c>
      <c r="AM639" s="6" t="s">
        <v>19</v>
      </c>
      <c r="AN639" s="6" t="s">
        <v>19</v>
      </c>
      <c r="AO639" s="6" t="s">
        <v>19</v>
      </c>
      <c r="AP639" s="6" t="s">
        <v>19</v>
      </c>
      <c r="AQ639" s="6" t="s">
        <v>19</v>
      </c>
      <c r="AR639" s="6" t="s">
        <v>19</v>
      </c>
      <c r="AS639" s="6" t="s">
        <v>19</v>
      </c>
      <c r="AT639" s="6" t="s">
        <v>19</v>
      </c>
      <c r="AU639" s="6" t="s">
        <v>3153</v>
      </c>
      <c r="AV639" s="36" t="s">
        <v>19</v>
      </c>
    </row>
    <row r="640" spans="1:264" ht="116.25" hidden="1" customHeight="1" x14ac:dyDescent="0.3">
      <c r="A640" s="4" t="s">
        <v>2268</v>
      </c>
      <c r="B640" s="4" t="s">
        <v>683</v>
      </c>
      <c r="C640" s="4" t="s">
        <v>2030</v>
      </c>
      <c r="D640" s="6" t="s">
        <v>109</v>
      </c>
      <c r="E640" s="6" t="s">
        <v>19</v>
      </c>
      <c r="F640" s="6" t="s">
        <v>19</v>
      </c>
      <c r="G640" s="6" t="s">
        <v>19</v>
      </c>
      <c r="H640" s="6" t="s">
        <v>19</v>
      </c>
      <c r="I640" s="6" t="s">
        <v>19</v>
      </c>
      <c r="J640" s="6" t="s">
        <v>19</v>
      </c>
      <c r="K640" s="6" t="s">
        <v>19</v>
      </c>
      <c r="L640" s="6" t="s">
        <v>19</v>
      </c>
      <c r="M640" s="15" t="s">
        <v>2031</v>
      </c>
      <c r="N640" s="4" t="s">
        <v>2237</v>
      </c>
      <c r="O640" s="4"/>
      <c r="P640" s="4" t="s">
        <v>2226</v>
      </c>
      <c r="S640" s="15" t="e" cm="1">
        <f t="array" aca="1" ref="S640" ca="1">COMMONMARKETCOUNT(H640:AV640)</f>
        <v>#NAME?</v>
      </c>
      <c r="T640" s="15" t="e" cm="1">
        <f t="array" aca="1" ref="T640" ca="1">AUTOMATEDCOUNT(H640:AU640)</f>
        <v>#NAME?</v>
      </c>
      <c r="V640" s="6" t="s">
        <v>19</v>
      </c>
      <c r="W640" s="6" t="s">
        <v>19</v>
      </c>
      <c r="X640" s="6" t="s">
        <v>19</v>
      </c>
      <c r="Y640" s="6" t="s">
        <v>19</v>
      </c>
      <c r="Z640" s="6" t="s">
        <v>19</v>
      </c>
      <c r="AA640" s="6" t="s">
        <v>19</v>
      </c>
      <c r="AB640" s="6" t="s">
        <v>19</v>
      </c>
      <c r="AC640" s="6" t="s">
        <v>19</v>
      </c>
      <c r="AD640" s="18" t="s">
        <v>109</v>
      </c>
      <c r="AE640" s="18" t="s">
        <v>109</v>
      </c>
      <c r="AF640" s="6" t="s">
        <v>19</v>
      </c>
      <c r="AG640" s="6" t="s">
        <v>19</v>
      </c>
      <c r="AH640" s="6" t="s">
        <v>19</v>
      </c>
      <c r="AI640" s="6" t="s">
        <v>19</v>
      </c>
      <c r="AJ640" s="6" t="s">
        <v>19</v>
      </c>
      <c r="AK640" s="6" t="s">
        <v>19</v>
      </c>
      <c r="AL640" s="6" t="s">
        <v>19</v>
      </c>
      <c r="AM640" s="6" t="s">
        <v>19</v>
      </c>
      <c r="AN640" s="6" t="s">
        <v>19</v>
      </c>
      <c r="AO640" s="6" t="s">
        <v>19</v>
      </c>
      <c r="AP640" s="6" t="s">
        <v>19</v>
      </c>
      <c r="AQ640" s="6" t="s">
        <v>19</v>
      </c>
      <c r="AR640" s="6" t="s">
        <v>19</v>
      </c>
      <c r="AS640" s="6" t="s">
        <v>19</v>
      </c>
      <c r="AT640" s="6" t="s">
        <v>19</v>
      </c>
      <c r="AU640" s="6" t="s">
        <v>3153</v>
      </c>
      <c r="AV640" s="36" t="s">
        <v>19</v>
      </c>
      <c r="AW640" s="5"/>
      <c r="AX640" s="5"/>
      <c r="AY640" s="5"/>
      <c r="AZ640" s="5"/>
      <c r="BA640" s="5"/>
      <c r="BB640" s="5"/>
      <c r="BC640" s="5"/>
      <c r="BD640" s="5"/>
      <c r="BE640" s="5"/>
      <c r="BF640" s="5"/>
      <c r="BG640" s="5"/>
      <c r="BH640" s="5"/>
      <c r="BI640" s="5"/>
      <c r="BJ640" s="5"/>
      <c r="BK640" s="5"/>
      <c r="BL640" s="5"/>
      <c r="BM640" s="5"/>
      <c r="BN640" s="5"/>
      <c r="BO640" s="5"/>
      <c r="BP640" s="5"/>
      <c r="BQ640" s="5"/>
      <c r="BR640" s="5"/>
      <c r="BS640" s="5"/>
      <c r="BT640" s="5"/>
      <c r="BU640" s="5"/>
      <c r="BV640" s="5"/>
      <c r="BW640" s="5"/>
      <c r="BX640" s="5"/>
      <c r="BY640" s="5"/>
      <c r="BZ640" s="5"/>
      <c r="CA640" s="5"/>
      <c r="CB640" s="5"/>
      <c r="CC640" s="5"/>
      <c r="CD640" s="5"/>
      <c r="CE640" s="5"/>
      <c r="CF640" s="5"/>
      <c r="CG640" s="5"/>
      <c r="CH640" s="5"/>
      <c r="CI640" s="5"/>
      <c r="CJ640" s="5"/>
      <c r="CK640" s="5"/>
      <c r="CL640" s="5"/>
      <c r="CM640" s="5"/>
      <c r="CN640" s="5"/>
      <c r="CO640" s="5"/>
      <c r="CP640" s="5"/>
      <c r="CQ640" s="5"/>
      <c r="CR640" s="5"/>
      <c r="CS640" s="5"/>
      <c r="CT640" s="5"/>
      <c r="CU640" s="5"/>
      <c r="CV640" s="5"/>
      <c r="CW640" s="5"/>
      <c r="CX640" s="5"/>
      <c r="CY640" s="5"/>
      <c r="CZ640" s="5"/>
      <c r="DA640" s="5"/>
      <c r="DB640" s="5"/>
      <c r="DC640" s="5"/>
      <c r="DD640" s="5"/>
      <c r="DE640" s="5"/>
      <c r="DF640" s="5"/>
      <c r="DG640" s="5"/>
      <c r="DH640" s="5"/>
      <c r="DI640" s="5"/>
      <c r="DJ640" s="5"/>
      <c r="DK640" s="5"/>
      <c r="DL640" s="5"/>
      <c r="DM640" s="5"/>
      <c r="DN640" s="5"/>
      <c r="DO640" s="5"/>
      <c r="DP640" s="5"/>
      <c r="DQ640" s="5"/>
      <c r="DR640" s="5"/>
      <c r="DS640" s="5"/>
      <c r="DT640" s="5"/>
      <c r="DU640" s="5"/>
      <c r="DV640" s="5"/>
      <c r="DW640" s="5"/>
      <c r="DX640" s="5"/>
      <c r="DY640" s="5"/>
      <c r="DZ640" s="5"/>
      <c r="EA640" s="5"/>
      <c r="EB640" s="5"/>
      <c r="EC640" s="5"/>
      <c r="ED640" s="5"/>
      <c r="EE640" s="5"/>
      <c r="EF640" s="5"/>
      <c r="EG640" s="5"/>
      <c r="EH640" s="5"/>
      <c r="EI640" s="5"/>
      <c r="EJ640" s="5"/>
      <c r="EK640" s="5"/>
      <c r="EL640" s="5"/>
      <c r="EM640" s="5"/>
      <c r="EN640" s="5"/>
      <c r="EO640" s="5"/>
      <c r="EP640" s="5"/>
      <c r="EQ640" s="5"/>
      <c r="ER640" s="5"/>
      <c r="ES640" s="5"/>
      <c r="ET640" s="5"/>
      <c r="EU640" s="5"/>
      <c r="EV640" s="5"/>
      <c r="EW640" s="5"/>
      <c r="EX640" s="5"/>
      <c r="EY640" s="5"/>
      <c r="EZ640" s="5"/>
      <c r="FA640" s="5"/>
      <c r="FB640" s="5"/>
      <c r="FC640" s="5"/>
      <c r="FD640" s="5"/>
      <c r="FE640" s="5"/>
      <c r="FF640" s="5"/>
      <c r="FG640" s="5"/>
      <c r="FH640" s="5"/>
      <c r="FI640" s="5"/>
      <c r="FJ640" s="5"/>
      <c r="FK640" s="5"/>
      <c r="FL640" s="5"/>
      <c r="FM640" s="5"/>
      <c r="FN640" s="5"/>
      <c r="FO640" s="5"/>
      <c r="FP640" s="5"/>
      <c r="FQ640" s="5"/>
      <c r="FR640" s="5"/>
      <c r="FS640" s="5"/>
      <c r="FT640" s="5"/>
      <c r="FU640" s="5"/>
      <c r="FV640" s="5"/>
      <c r="FW640" s="5"/>
      <c r="FX640" s="5"/>
      <c r="FY640" s="5"/>
      <c r="FZ640" s="5"/>
      <c r="GA640" s="5"/>
      <c r="GB640" s="5"/>
      <c r="GC640" s="5"/>
      <c r="GD640" s="5"/>
      <c r="GE640" s="5"/>
      <c r="GF640" s="5"/>
      <c r="GG640" s="5"/>
      <c r="GH640" s="5"/>
      <c r="GI640" s="5"/>
      <c r="GJ640" s="5"/>
      <c r="GK640" s="5"/>
      <c r="GL640" s="5"/>
      <c r="GM640" s="5"/>
      <c r="GN640" s="5"/>
      <c r="GO640" s="5"/>
      <c r="GP640" s="5"/>
      <c r="GQ640" s="5"/>
      <c r="GR640" s="5"/>
      <c r="GS640" s="5"/>
      <c r="GT640" s="5"/>
      <c r="GU640" s="5"/>
      <c r="GV640" s="5"/>
      <c r="GW640" s="5"/>
      <c r="GX640" s="5"/>
      <c r="GY640" s="5"/>
      <c r="GZ640" s="5"/>
      <c r="HA640" s="5"/>
      <c r="HB640" s="5"/>
      <c r="HC640" s="5"/>
      <c r="HD640" s="5"/>
      <c r="HE640" s="5"/>
      <c r="HF640" s="5"/>
      <c r="HG640" s="5"/>
      <c r="HH640" s="5"/>
      <c r="HI640" s="5"/>
      <c r="HJ640" s="5"/>
      <c r="HK640" s="5"/>
      <c r="HL640" s="5"/>
      <c r="HM640" s="5"/>
      <c r="HN640" s="5"/>
      <c r="HO640" s="5"/>
      <c r="HP640" s="5"/>
      <c r="HQ640" s="5"/>
      <c r="HR640" s="5"/>
      <c r="HS640" s="5"/>
      <c r="HT640" s="5"/>
      <c r="HU640" s="5"/>
      <c r="HV640" s="5"/>
      <c r="HW640" s="5"/>
      <c r="HX640" s="5"/>
      <c r="HY640" s="5"/>
      <c r="HZ640" s="5"/>
      <c r="IA640" s="5"/>
      <c r="IB640" s="5"/>
      <c r="IC640" s="5"/>
      <c r="ID640" s="5"/>
      <c r="IE640" s="5"/>
      <c r="IF640" s="5"/>
      <c r="IG640" s="5"/>
      <c r="IH640" s="5"/>
      <c r="II640" s="5"/>
      <c r="IJ640" s="5"/>
      <c r="IK640" s="5"/>
      <c r="IL640" s="5"/>
      <c r="IM640" s="5"/>
      <c r="IN640" s="5"/>
      <c r="IO640" s="5"/>
      <c r="IP640" s="5"/>
      <c r="IQ640" s="5"/>
      <c r="IR640" s="5"/>
      <c r="IS640" s="5"/>
      <c r="IT640" s="5"/>
      <c r="IU640" s="5"/>
      <c r="IV640" s="5"/>
      <c r="IW640" s="5"/>
      <c r="IX640" s="5"/>
      <c r="IY640" s="5"/>
      <c r="IZ640" s="5"/>
      <c r="JA640" s="5"/>
      <c r="JB640" s="5"/>
      <c r="JC640" s="5"/>
      <c r="JD640" s="5"/>
    </row>
    <row r="641" spans="1:264" ht="100.5" hidden="1" customHeight="1" x14ac:dyDescent="0.3">
      <c r="A641" s="4" t="s">
        <v>2268</v>
      </c>
      <c r="B641" s="4" t="s">
        <v>683</v>
      </c>
      <c r="C641" s="4" t="s">
        <v>2032</v>
      </c>
      <c r="D641" s="6" t="s">
        <v>109</v>
      </c>
      <c r="E641" s="6" t="s">
        <v>19</v>
      </c>
      <c r="F641" s="6" t="s">
        <v>19</v>
      </c>
      <c r="G641" s="6" t="s">
        <v>19</v>
      </c>
      <c r="H641" s="6" t="s">
        <v>19</v>
      </c>
      <c r="I641" s="6" t="s">
        <v>19</v>
      </c>
      <c r="J641" s="6" t="s">
        <v>19</v>
      </c>
      <c r="K641" s="6" t="s">
        <v>19</v>
      </c>
      <c r="L641" s="6" t="s">
        <v>19</v>
      </c>
      <c r="M641" s="15" t="s">
        <v>2033</v>
      </c>
      <c r="N641" s="4" t="s">
        <v>2238</v>
      </c>
      <c r="O641" s="4"/>
      <c r="P641" s="4" t="s">
        <v>2227</v>
      </c>
      <c r="S641" s="15" t="e" cm="1">
        <f t="array" aca="1" ref="S641" ca="1">COMMONMARKETCOUNT(H641:AV641)</f>
        <v>#NAME?</v>
      </c>
      <c r="T641" s="15" t="e" cm="1">
        <f t="array" aca="1" ref="T641" ca="1">AUTOMATEDCOUNT(H641:AU641)</f>
        <v>#NAME?</v>
      </c>
      <c r="V641" s="6" t="s">
        <v>19</v>
      </c>
      <c r="W641" s="6" t="s">
        <v>19</v>
      </c>
      <c r="X641" s="6" t="s">
        <v>19</v>
      </c>
      <c r="Y641" s="6" t="s">
        <v>19</v>
      </c>
      <c r="Z641" s="6" t="s">
        <v>19</v>
      </c>
      <c r="AA641" s="6" t="s">
        <v>19</v>
      </c>
      <c r="AB641" s="6" t="s">
        <v>19</v>
      </c>
      <c r="AC641" s="6" t="s">
        <v>19</v>
      </c>
      <c r="AD641" s="18" t="s">
        <v>109</v>
      </c>
      <c r="AE641" s="18" t="s">
        <v>109</v>
      </c>
      <c r="AF641" s="6" t="s">
        <v>19</v>
      </c>
      <c r="AG641" s="6" t="s">
        <v>19</v>
      </c>
      <c r="AH641" s="6" t="s">
        <v>19</v>
      </c>
      <c r="AI641" s="6" t="s">
        <v>19</v>
      </c>
      <c r="AJ641" s="6" t="s">
        <v>19</v>
      </c>
      <c r="AK641" s="6" t="s">
        <v>19</v>
      </c>
      <c r="AL641" s="6" t="s">
        <v>19</v>
      </c>
      <c r="AM641" s="6" t="s">
        <v>19</v>
      </c>
      <c r="AN641" s="6" t="s">
        <v>19</v>
      </c>
      <c r="AO641" s="6" t="s">
        <v>19</v>
      </c>
      <c r="AP641" s="6" t="s">
        <v>19</v>
      </c>
      <c r="AQ641" s="6" t="s">
        <v>19</v>
      </c>
      <c r="AR641" s="6" t="s">
        <v>19</v>
      </c>
      <c r="AS641" s="6" t="s">
        <v>19</v>
      </c>
      <c r="AT641" s="6" t="s">
        <v>19</v>
      </c>
      <c r="AU641" s="6" t="s">
        <v>3153</v>
      </c>
      <c r="AV641" s="36" t="s">
        <v>19</v>
      </c>
      <c r="AW641" s="5"/>
      <c r="AX641" s="5"/>
      <c r="AY641" s="5"/>
      <c r="AZ641" s="5"/>
      <c r="BA641" s="5"/>
      <c r="BB641" s="5"/>
      <c r="BC641" s="5"/>
      <c r="BD641" s="5"/>
      <c r="BE641" s="5"/>
      <c r="BF641" s="5"/>
      <c r="BG641" s="5"/>
      <c r="BH641" s="5"/>
      <c r="BI641" s="5"/>
      <c r="BJ641" s="5"/>
      <c r="BK641" s="5"/>
      <c r="BL641" s="5"/>
      <c r="BM641" s="5"/>
      <c r="BN641" s="5"/>
      <c r="BO641" s="5"/>
      <c r="BP641" s="5"/>
      <c r="BQ641" s="5"/>
      <c r="BR641" s="5"/>
      <c r="BS641" s="5"/>
      <c r="BT641" s="5"/>
      <c r="BU641" s="5"/>
      <c r="BV641" s="5"/>
      <c r="BW641" s="5"/>
      <c r="BX641" s="5"/>
      <c r="BY641" s="5"/>
      <c r="BZ641" s="5"/>
      <c r="CA641" s="5"/>
      <c r="CB641" s="5"/>
      <c r="CC641" s="5"/>
      <c r="CD641" s="5"/>
      <c r="CE641" s="5"/>
      <c r="CF641" s="5"/>
      <c r="CG641" s="5"/>
      <c r="CH641" s="5"/>
      <c r="CI641" s="5"/>
      <c r="CJ641" s="5"/>
      <c r="CK641" s="5"/>
      <c r="CL641" s="5"/>
      <c r="CM641" s="5"/>
      <c r="CN641" s="5"/>
      <c r="CO641" s="5"/>
      <c r="CP641" s="5"/>
      <c r="CQ641" s="5"/>
      <c r="CR641" s="5"/>
      <c r="CS641" s="5"/>
      <c r="CT641" s="5"/>
      <c r="CU641" s="5"/>
      <c r="CV641" s="5"/>
      <c r="CW641" s="5"/>
      <c r="CX641" s="5"/>
      <c r="CY641" s="5"/>
      <c r="CZ641" s="5"/>
      <c r="DA641" s="5"/>
      <c r="DB641" s="5"/>
      <c r="DC641" s="5"/>
      <c r="DD641" s="5"/>
      <c r="DE641" s="5"/>
      <c r="DF641" s="5"/>
      <c r="DG641" s="5"/>
      <c r="DH641" s="5"/>
      <c r="DI641" s="5"/>
      <c r="DJ641" s="5"/>
      <c r="DK641" s="5"/>
      <c r="DL641" s="5"/>
      <c r="DM641" s="5"/>
      <c r="DN641" s="5"/>
      <c r="DO641" s="5"/>
      <c r="DP641" s="5"/>
      <c r="DQ641" s="5"/>
      <c r="DR641" s="5"/>
      <c r="DS641" s="5"/>
      <c r="DT641" s="5"/>
      <c r="DU641" s="5"/>
      <c r="DV641" s="5"/>
      <c r="DW641" s="5"/>
      <c r="DX641" s="5"/>
      <c r="DY641" s="5"/>
      <c r="DZ641" s="5"/>
      <c r="EA641" s="5"/>
      <c r="EB641" s="5"/>
      <c r="EC641" s="5"/>
      <c r="ED641" s="5"/>
      <c r="EE641" s="5"/>
      <c r="EF641" s="5"/>
      <c r="EG641" s="5"/>
      <c r="EH641" s="5"/>
      <c r="EI641" s="5"/>
      <c r="EJ641" s="5"/>
      <c r="EK641" s="5"/>
      <c r="EL641" s="5"/>
      <c r="EM641" s="5"/>
      <c r="EN641" s="5"/>
      <c r="EO641" s="5"/>
      <c r="EP641" s="5"/>
      <c r="EQ641" s="5"/>
      <c r="ER641" s="5"/>
      <c r="ES641" s="5"/>
      <c r="ET641" s="5"/>
      <c r="EU641" s="5"/>
      <c r="EV641" s="5"/>
      <c r="EW641" s="5"/>
      <c r="EX641" s="5"/>
      <c r="EY641" s="5"/>
      <c r="EZ641" s="5"/>
      <c r="FA641" s="5"/>
      <c r="FB641" s="5"/>
      <c r="FC641" s="5"/>
      <c r="FD641" s="5"/>
      <c r="FE641" s="5"/>
      <c r="FF641" s="5"/>
      <c r="FG641" s="5"/>
      <c r="FH641" s="5"/>
      <c r="FI641" s="5"/>
      <c r="FJ641" s="5"/>
      <c r="FK641" s="5"/>
      <c r="FL641" s="5"/>
      <c r="FM641" s="5"/>
      <c r="FN641" s="5"/>
      <c r="FO641" s="5"/>
      <c r="FP641" s="5"/>
      <c r="FQ641" s="5"/>
      <c r="FR641" s="5"/>
      <c r="FS641" s="5"/>
      <c r="FT641" s="5"/>
      <c r="FU641" s="5"/>
      <c r="FV641" s="5"/>
      <c r="FW641" s="5"/>
      <c r="FX641" s="5"/>
      <c r="FY641" s="5"/>
      <c r="FZ641" s="5"/>
      <c r="GA641" s="5"/>
      <c r="GB641" s="5"/>
      <c r="GC641" s="5"/>
      <c r="GD641" s="5"/>
      <c r="GE641" s="5"/>
      <c r="GF641" s="5"/>
      <c r="GG641" s="5"/>
      <c r="GH641" s="5"/>
      <c r="GI641" s="5"/>
      <c r="GJ641" s="5"/>
      <c r="GK641" s="5"/>
      <c r="GL641" s="5"/>
      <c r="GM641" s="5"/>
      <c r="GN641" s="5"/>
      <c r="GO641" s="5"/>
      <c r="GP641" s="5"/>
      <c r="GQ641" s="5"/>
      <c r="GR641" s="5"/>
      <c r="GS641" s="5"/>
      <c r="GT641" s="5"/>
      <c r="GU641" s="5"/>
      <c r="GV641" s="5"/>
      <c r="GW641" s="5"/>
      <c r="GX641" s="5"/>
      <c r="GY641" s="5"/>
      <c r="GZ641" s="5"/>
      <c r="HA641" s="5"/>
      <c r="HB641" s="5"/>
      <c r="HC641" s="5"/>
      <c r="HD641" s="5"/>
      <c r="HE641" s="5"/>
      <c r="HF641" s="5"/>
      <c r="HG641" s="5"/>
      <c r="HH641" s="5"/>
      <c r="HI641" s="5"/>
      <c r="HJ641" s="5"/>
      <c r="HK641" s="5"/>
      <c r="HL641" s="5"/>
      <c r="HM641" s="5"/>
      <c r="HN641" s="5"/>
      <c r="HO641" s="5"/>
      <c r="HP641" s="5"/>
      <c r="HQ641" s="5"/>
      <c r="HR641" s="5"/>
      <c r="HS641" s="5"/>
      <c r="HT641" s="5"/>
      <c r="HU641" s="5"/>
      <c r="HV641" s="5"/>
      <c r="HW641" s="5"/>
      <c r="HX641" s="5"/>
      <c r="HY641" s="5"/>
      <c r="HZ641" s="5"/>
      <c r="IA641" s="5"/>
      <c r="IB641" s="5"/>
      <c r="IC641" s="5"/>
      <c r="ID641" s="5"/>
      <c r="IE641" s="5"/>
      <c r="IF641" s="5"/>
      <c r="IG641" s="5"/>
      <c r="IH641" s="5"/>
      <c r="II641" s="5"/>
      <c r="IJ641" s="5"/>
      <c r="IK641" s="5"/>
      <c r="IL641" s="5"/>
      <c r="IM641" s="5"/>
      <c r="IN641" s="5"/>
      <c r="IO641" s="5"/>
      <c r="IP641" s="5"/>
      <c r="IQ641" s="5"/>
      <c r="IR641" s="5"/>
      <c r="IS641" s="5"/>
      <c r="IT641" s="5"/>
      <c r="IU641" s="5"/>
      <c r="IV641" s="5"/>
      <c r="IW641" s="5"/>
      <c r="IX641" s="5"/>
      <c r="IY641" s="5"/>
      <c r="IZ641" s="5"/>
      <c r="JA641" s="5"/>
      <c r="JB641" s="5"/>
      <c r="JC641" s="5"/>
      <c r="JD641" s="5"/>
    </row>
    <row r="642" spans="1:264" ht="64.5" hidden="1" customHeight="1" x14ac:dyDescent="0.3">
      <c r="A642" s="4" t="s">
        <v>2268</v>
      </c>
      <c r="B642" s="4" t="s">
        <v>1310</v>
      </c>
      <c r="C642" s="4" t="s">
        <v>2034</v>
      </c>
      <c r="D642" s="6" t="s">
        <v>109</v>
      </c>
      <c r="E642" s="6" t="s">
        <v>19</v>
      </c>
      <c r="F642" s="6" t="s">
        <v>19</v>
      </c>
      <c r="G642" s="6" t="s">
        <v>19</v>
      </c>
      <c r="H642" s="6" t="s">
        <v>19</v>
      </c>
      <c r="I642" s="6" t="s">
        <v>19</v>
      </c>
      <c r="J642" s="6" t="s">
        <v>19</v>
      </c>
      <c r="K642" s="6" t="s">
        <v>19</v>
      </c>
      <c r="L642" s="6" t="s">
        <v>19</v>
      </c>
      <c r="M642" s="15" t="s">
        <v>2035</v>
      </c>
      <c r="N642" s="4" t="s">
        <v>2239</v>
      </c>
      <c r="O642" s="4"/>
      <c r="P642" s="4" t="s">
        <v>2228</v>
      </c>
      <c r="S642" s="15" t="e" cm="1">
        <f t="array" aca="1" ref="S642" ca="1">COMMONMARKETCOUNT(H642:AV642)</f>
        <v>#NAME?</v>
      </c>
      <c r="T642" s="15" t="e" cm="1">
        <f t="array" aca="1" ref="T642" ca="1">AUTOMATEDCOUNT(H642:AU642)</f>
        <v>#NAME?</v>
      </c>
      <c r="V642" s="6" t="s">
        <v>19</v>
      </c>
      <c r="W642" s="6" t="s">
        <v>19</v>
      </c>
      <c r="X642" s="6" t="s">
        <v>19</v>
      </c>
      <c r="Y642" s="6" t="s">
        <v>19</v>
      </c>
      <c r="Z642" s="6" t="s">
        <v>19</v>
      </c>
      <c r="AA642" s="6" t="s">
        <v>19</v>
      </c>
      <c r="AB642" s="6" t="s">
        <v>19</v>
      </c>
      <c r="AC642" s="6" t="s">
        <v>19</v>
      </c>
      <c r="AD642" s="18" t="s">
        <v>109</v>
      </c>
      <c r="AE642" s="18" t="s">
        <v>109</v>
      </c>
      <c r="AF642" s="6" t="s">
        <v>19</v>
      </c>
      <c r="AG642" s="6" t="s">
        <v>19</v>
      </c>
      <c r="AH642" s="6" t="s">
        <v>19</v>
      </c>
      <c r="AI642" s="6" t="s">
        <v>19</v>
      </c>
      <c r="AJ642" s="6" t="s">
        <v>19</v>
      </c>
      <c r="AK642" s="6" t="s">
        <v>19</v>
      </c>
      <c r="AL642" s="6" t="s">
        <v>19</v>
      </c>
      <c r="AM642" s="6" t="s">
        <v>19</v>
      </c>
      <c r="AN642" s="6" t="s">
        <v>19</v>
      </c>
      <c r="AO642" s="6" t="s">
        <v>19</v>
      </c>
      <c r="AP642" s="6" t="s">
        <v>19</v>
      </c>
      <c r="AQ642" s="6" t="s">
        <v>19</v>
      </c>
      <c r="AR642" s="6" t="s">
        <v>19</v>
      </c>
      <c r="AS642" s="6" t="s">
        <v>19</v>
      </c>
      <c r="AT642" s="6" t="s">
        <v>19</v>
      </c>
      <c r="AU642" s="6" t="s">
        <v>3153</v>
      </c>
      <c r="AV642" s="36" t="s">
        <v>19</v>
      </c>
      <c r="AW642" s="5"/>
      <c r="AX642" s="5"/>
      <c r="AY642" s="5"/>
      <c r="AZ642" s="5"/>
      <c r="BA642" s="5"/>
      <c r="BB642" s="5"/>
      <c r="BC642" s="5"/>
      <c r="BD642" s="5"/>
      <c r="BE642" s="5"/>
      <c r="BF642" s="5"/>
      <c r="BG642" s="5"/>
      <c r="BH642" s="5"/>
      <c r="BI642" s="5"/>
      <c r="BJ642" s="5"/>
      <c r="BK642" s="5"/>
      <c r="BL642" s="5"/>
      <c r="BM642" s="5"/>
      <c r="BN642" s="5"/>
      <c r="BO642" s="5"/>
      <c r="BP642" s="5"/>
      <c r="BQ642" s="5"/>
      <c r="BR642" s="5"/>
      <c r="BS642" s="5"/>
      <c r="BT642" s="5"/>
      <c r="BU642" s="5"/>
      <c r="BV642" s="5"/>
      <c r="BW642" s="5"/>
      <c r="BX642" s="5"/>
      <c r="BY642" s="5"/>
      <c r="BZ642" s="5"/>
      <c r="CA642" s="5"/>
      <c r="CB642" s="5"/>
      <c r="CC642" s="5"/>
      <c r="CD642" s="5"/>
      <c r="CE642" s="5"/>
      <c r="CF642" s="5"/>
      <c r="CG642" s="5"/>
      <c r="CH642" s="5"/>
      <c r="CI642" s="5"/>
      <c r="CJ642" s="5"/>
      <c r="CK642" s="5"/>
      <c r="CL642" s="5"/>
      <c r="CM642" s="5"/>
      <c r="CN642" s="5"/>
      <c r="CO642" s="5"/>
      <c r="CP642" s="5"/>
      <c r="CQ642" s="5"/>
      <c r="CR642" s="5"/>
      <c r="CS642" s="5"/>
      <c r="CT642" s="5"/>
      <c r="CU642" s="5"/>
      <c r="CV642" s="5"/>
      <c r="CW642" s="5"/>
      <c r="CX642" s="5"/>
      <c r="CY642" s="5"/>
      <c r="CZ642" s="5"/>
      <c r="DA642" s="5"/>
      <c r="DB642" s="5"/>
      <c r="DC642" s="5"/>
      <c r="DD642" s="5"/>
      <c r="DE642" s="5"/>
      <c r="DF642" s="5"/>
      <c r="DG642" s="5"/>
      <c r="DH642" s="5"/>
      <c r="DI642" s="5"/>
      <c r="DJ642" s="5"/>
      <c r="DK642" s="5"/>
      <c r="DL642" s="5"/>
      <c r="DM642" s="5"/>
      <c r="DN642" s="5"/>
      <c r="DO642" s="5"/>
      <c r="DP642" s="5"/>
      <c r="DQ642" s="5"/>
      <c r="DR642" s="5"/>
      <c r="DS642" s="5"/>
      <c r="DT642" s="5"/>
      <c r="DU642" s="5"/>
      <c r="DV642" s="5"/>
      <c r="DW642" s="5"/>
      <c r="DX642" s="5"/>
      <c r="DY642" s="5"/>
      <c r="DZ642" s="5"/>
      <c r="EA642" s="5"/>
      <c r="EB642" s="5"/>
      <c r="EC642" s="5"/>
      <c r="ED642" s="5"/>
      <c r="EE642" s="5"/>
      <c r="EF642" s="5"/>
      <c r="EG642" s="5"/>
      <c r="EH642" s="5"/>
      <c r="EI642" s="5"/>
      <c r="EJ642" s="5"/>
      <c r="EK642" s="5"/>
      <c r="EL642" s="5"/>
      <c r="EM642" s="5"/>
      <c r="EN642" s="5"/>
      <c r="EO642" s="5"/>
      <c r="EP642" s="5"/>
      <c r="EQ642" s="5"/>
      <c r="ER642" s="5"/>
      <c r="ES642" s="5"/>
      <c r="ET642" s="5"/>
      <c r="EU642" s="5"/>
      <c r="EV642" s="5"/>
      <c r="EW642" s="5"/>
      <c r="EX642" s="5"/>
      <c r="EY642" s="5"/>
      <c r="EZ642" s="5"/>
      <c r="FA642" s="5"/>
      <c r="FB642" s="5"/>
      <c r="FC642" s="5"/>
      <c r="FD642" s="5"/>
      <c r="FE642" s="5"/>
      <c r="FF642" s="5"/>
      <c r="FG642" s="5"/>
      <c r="FH642" s="5"/>
      <c r="FI642" s="5"/>
      <c r="FJ642" s="5"/>
      <c r="FK642" s="5"/>
      <c r="FL642" s="5"/>
      <c r="FM642" s="5"/>
      <c r="FN642" s="5"/>
      <c r="FO642" s="5"/>
      <c r="FP642" s="5"/>
      <c r="FQ642" s="5"/>
      <c r="FR642" s="5"/>
      <c r="FS642" s="5"/>
      <c r="FT642" s="5"/>
      <c r="FU642" s="5"/>
      <c r="FV642" s="5"/>
      <c r="FW642" s="5"/>
      <c r="FX642" s="5"/>
      <c r="FY642" s="5"/>
      <c r="FZ642" s="5"/>
      <c r="GA642" s="5"/>
      <c r="GB642" s="5"/>
      <c r="GC642" s="5"/>
      <c r="GD642" s="5"/>
      <c r="GE642" s="5"/>
      <c r="GF642" s="5"/>
      <c r="GG642" s="5"/>
      <c r="GH642" s="5"/>
      <c r="GI642" s="5"/>
      <c r="GJ642" s="5"/>
      <c r="GK642" s="5"/>
      <c r="GL642" s="5"/>
      <c r="GM642" s="5"/>
      <c r="GN642" s="5"/>
      <c r="GO642" s="5"/>
      <c r="GP642" s="5"/>
      <c r="GQ642" s="5"/>
      <c r="GR642" s="5"/>
      <c r="GS642" s="5"/>
      <c r="GT642" s="5"/>
      <c r="GU642" s="5"/>
      <c r="GV642" s="5"/>
      <c r="GW642" s="5"/>
      <c r="GX642" s="5"/>
      <c r="GY642" s="5"/>
      <c r="GZ642" s="5"/>
      <c r="HA642" s="5"/>
      <c r="HB642" s="5"/>
      <c r="HC642" s="5"/>
      <c r="HD642" s="5"/>
      <c r="HE642" s="5"/>
      <c r="HF642" s="5"/>
      <c r="HG642" s="5"/>
      <c r="HH642" s="5"/>
      <c r="HI642" s="5"/>
      <c r="HJ642" s="5"/>
      <c r="HK642" s="5"/>
      <c r="HL642" s="5"/>
      <c r="HM642" s="5"/>
      <c r="HN642" s="5"/>
      <c r="HO642" s="5"/>
      <c r="HP642" s="5"/>
      <c r="HQ642" s="5"/>
      <c r="HR642" s="5"/>
      <c r="HS642" s="5"/>
      <c r="HT642" s="5"/>
      <c r="HU642" s="5"/>
      <c r="HV642" s="5"/>
      <c r="HW642" s="5"/>
      <c r="HX642" s="5"/>
      <c r="HY642" s="5"/>
      <c r="HZ642" s="5"/>
      <c r="IA642" s="5"/>
      <c r="IB642" s="5"/>
      <c r="IC642" s="5"/>
      <c r="ID642" s="5"/>
      <c r="IE642" s="5"/>
      <c r="IF642" s="5"/>
      <c r="IG642" s="5"/>
      <c r="IH642" s="5"/>
      <c r="II642" s="5"/>
      <c r="IJ642" s="5"/>
      <c r="IK642" s="5"/>
      <c r="IL642" s="5"/>
      <c r="IM642" s="5"/>
      <c r="IN642" s="5"/>
      <c r="IO642" s="5"/>
      <c r="IP642" s="5"/>
      <c r="IQ642" s="5"/>
      <c r="IR642" s="5"/>
      <c r="IS642" s="5"/>
      <c r="IT642" s="5"/>
      <c r="IU642" s="5"/>
      <c r="IV642" s="5"/>
      <c r="IW642" s="5"/>
      <c r="IX642" s="5"/>
      <c r="IY642" s="5"/>
      <c r="IZ642" s="5"/>
      <c r="JA642" s="5"/>
      <c r="JB642" s="5"/>
      <c r="JC642" s="5"/>
      <c r="JD642" s="5"/>
    </row>
    <row r="643" spans="1:264" ht="47.25" hidden="1" customHeight="1" x14ac:dyDescent="0.3">
      <c r="A643" s="4" t="s">
        <v>2268</v>
      </c>
      <c r="B643" s="4" t="s">
        <v>2274</v>
      </c>
      <c r="C643" s="4" t="s">
        <v>2036</v>
      </c>
      <c r="D643" s="6" t="s">
        <v>109</v>
      </c>
      <c r="E643" s="6" t="s">
        <v>19</v>
      </c>
      <c r="F643" s="6" t="s">
        <v>19</v>
      </c>
      <c r="G643" s="6" t="s">
        <v>19</v>
      </c>
      <c r="H643" s="6" t="s">
        <v>19</v>
      </c>
      <c r="I643" s="6" t="s">
        <v>19</v>
      </c>
      <c r="J643" s="6" t="s">
        <v>19</v>
      </c>
      <c r="K643" s="6" t="s">
        <v>19</v>
      </c>
      <c r="L643" s="6" t="s">
        <v>19</v>
      </c>
      <c r="M643" s="15" t="s">
        <v>2037</v>
      </c>
      <c r="N643" s="4" t="s">
        <v>2240</v>
      </c>
      <c r="O643" s="4"/>
      <c r="P643" s="4" t="s">
        <v>2229</v>
      </c>
      <c r="S643" s="15" t="e" cm="1">
        <f t="array" aca="1" ref="S643" ca="1">COMMONMARKETCOUNT(H643:AV643)</f>
        <v>#NAME?</v>
      </c>
      <c r="T643" s="15" t="e" cm="1">
        <f t="array" aca="1" ref="T643" ca="1">AUTOMATEDCOUNT(H643:AU643)</f>
        <v>#NAME?</v>
      </c>
      <c r="V643" s="6" t="s">
        <v>19</v>
      </c>
      <c r="W643" s="6" t="s">
        <v>19</v>
      </c>
      <c r="X643" s="6" t="s">
        <v>19</v>
      </c>
      <c r="Y643" s="6" t="s">
        <v>19</v>
      </c>
      <c r="Z643" s="6" t="s">
        <v>19</v>
      </c>
      <c r="AA643" s="6" t="s">
        <v>19</v>
      </c>
      <c r="AB643" s="6" t="s">
        <v>19</v>
      </c>
      <c r="AC643" s="6" t="s">
        <v>19</v>
      </c>
      <c r="AD643" s="18" t="s">
        <v>109</v>
      </c>
      <c r="AE643" s="18" t="s">
        <v>109</v>
      </c>
      <c r="AF643" s="6" t="s">
        <v>19</v>
      </c>
      <c r="AG643" s="6" t="s">
        <v>19</v>
      </c>
      <c r="AH643" s="6" t="s">
        <v>19</v>
      </c>
      <c r="AI643" s="6" t="s">
        <v>19</v>
      </c>
      <c r="AJ643" s="6" t="s">
        <v>19</v>
      </c>
      <c r="AK643" s="6" t="s">
        <v>19</v>
      </c>
      <c r="AL643" s="6" t="s">
        <v>19</v>
      </c>
      <c r="AM643" s="6" t="s">
        <v>19</v>
      </c>
      <c r="AN643" s="6" t="s">
        <v>19</v>
      </c>
      <c r="AO643" s="6" t="s">
        <v>19</v>
      </c>
      <c r="AP643" s="6" t="s">
        <v>19</v>
      </c>
      <c r="AQ643" s="6" t="s">
        <v>19</v>
      </c>
      <c r="AR643" s="6" t="s">
        <v>19</v>
      </c>
      <c r="AS643" s="6" t="s">
        <v>19</v>
      </c>
      <c r="AT643" s="6" t="s">
        <v>19</v>
      </c>
      <c r="AU643" s="6" t="s">
        <v>3153</v>
      </c>
      <c r="AV643" s="36" t="s">
        <v>19</v>
      </c>
    </row>
    <row r="644" spans="1:264" ht="65.25" hidden="1" customHeight="1" x14ac:dyDescent="0.3">
      <c r="A644" s="4" t="s">
        <v>2268</v>
      </c>
      <c r="B644" s="4" t="s">
        <v>2275</v>
      </c>
      <c r="C644" s="4" t="s">
        <v>2038</v>
      </c>
      <c r="D644" s="6" t="s">
        <v>109</v>
      </c>
      <c r="E644" s="6" t="s">
        <v>19</v>
      </c>
      <c r="F644" s="6" t="s">
        <v>19</v>
      </c>
      <c r="G644" s="6" t="s">
        <v>19</v>
      </c>
      <c r="H644" s="6" t="s">
        <v>19</v>
      </c>
      <c r="I644" s="6" t="s">
        <v>19</v>
      </c>
      <c r="J644" s="6" t="s">
        <v>19</v>
      </c>
      <c r="K644" s="6" t="s">
        <v>19</v>
      </c>
      <c r="L644" s="6" t="s">
        <v>19</v>
      </c>
      <c r="M644" s="15" t="s">
        <v>2039</v>
      </c>
      <c r="N644" s="4"/>
      <c r="O644" s="4"/>
      <c r="P644" s="4" t="s">
        <v>236</v>
      </c>
      <c r="S644" s="15" t="e" cm="1">
        <f t="array" aca="1" ref="S644" ca="1">COMMONMARKETCOUNT(H644:AV644)</f>
        <v>#NAME?</v>
      </c>
      <c r="T644" s="15" t="e" cm="1">
        <f t="array" aca="1" ref="T644" ca="1">AUTOMATEDCOUNT(H644:AU644)</f>
        <v>#NAME?</v>
      </c>
      <c r="V644" s="6" t="s">
        <v>19</v>
      </c>
      <c r="W644" s="6" t="s">
        <v>19</v>
      </c>
      <c r="X644" s="6" t="s">
        <v>19</v>
      </c>
      <c r="Y644" s="6" t="s">
        <v>19</v>
      </c>
      <c r="Z644" s="6" t="s">
        <v>19</v>
      </c>
      <c r="AA644" s="6" t="s">
        <v>19</v>
      </c>
      <c r="AB644" s="6" t="s">
        <v>19</v>
      </c>
      <c r="AC644" s="6" t="s">
        <v>19</v>
      </c>
      <c r="AD644" s="18" t="s">
        <v>109</v>
      </c>
      <c r="AE644" s="18" t="s">
        <v>109</v>
      </c>
      <c r="AF644" s="6" t="s">
        <v>19</v>
      </c>
      <c r="AG644" s="6" t="s">
        <v>19</v>
      </c>
      <c r="AH644" s="6" t="s">
        <v>19</v>
      </c>
      <c r="AI644" s="6" t="s">
        <v>19</v>
      </c>
      <c r="AJ644" s="6" t="s">
        <v>19</v>
      </c>
      <c r="AK644" s="6" t="s">
        <v>19</v>
      </c>
      <c r="AL644" s="6" t="s">
        <v>19</v>
      </c>
      <c r="AM644" s="6" t="s">
        <v>19</v>
      </c>
      <c r="AN644" s="6" t="s">
        <v>19</v>
      </c>
      <c r="AO644" s="6" t="s">
        <v>19</v>
      </c>
      <c r="AP644" s="6" t="s">
        <v>19</v>
      </c>
      <c r="AQ644" s="6" t="s">
        <v>19</v>
      </c>
      <c r="AR644" s="6" t="s">
        <v>19</v>
      </c>
      <c r="AS644" s="6" t="s">
        <v>19</v>
      </c>
      <c r="AT644" s="6" t="s">
        <v>19</v>
      </c>
      <c r="AU644" s="6" t="s">
        <v>3153</v>
      </c>
      <c r="AV644" s="36" t="s">
        <v>19</v>
      </c>
    </row>
    <row r="645" spans="1:264" ht="64.5" hidden="1" customHeight="1" x14ac:dyDescent="0.3">
      <c r="A645" s="4" t="s">
        <v>2268</v>
      </c>
      <c r="B645" s="4" t="s">
        <v>2275</v>
      </c>
      <c r="C645" s="4" t="s">
        <v>2040</v>
      </c>
      <c r="D645" s="6" t="s">
        <v>109</v>
      </c>
      <c r="E645" s="6" t="s">
        <v>19</v>
      </c>
      <c r="F645" s="6" t="s">
        <v>19</v>
      </c>
      <c r="G645" s="6" t="s">
        <v>19</v>
      </c>
      <c r="H645" s="6" t="s">
        <v>19</v>
      </c>
      <c r="I645" s="6" t="s">
        <v>19</v>
      </c>
      <c r="J645" s="6" t="s">
        <v>19</v>
      </c>
      <c r="K645" s="6" t="s">
        <v>19</v>
      </c>
      <c r="L645" s="6" t="s">
        <v>19</v>
      </c>
      <c r="M645" s="15" t="s">
        <v>2041</v>
      </c>
      <c r="N645" s="4"/>
      <c r="O645" s="4"/>
      <c r="P645" s="4" t="s">
        <v>236</v>
      </c>
      <c r="S645" s="15" t="e" cm="1">
        <f t="array" aca="1" ref="S645" ca="1">COMMONMARKETCOUNT(H645:AV645)</f>
        <v>#NAME?</v>
      </c>
      <c r="T645" s="15" t="e" cm="1">
        <f t="array" aca="1" ref="T645" ca="1">AUTOMATEDCOUNT(H645:AU645)</f>
        <v>#NAME?</v>
      </c>
      <c r="V645" s="6" t="s">
        <v>19</v>
      </c>
      <c r="W645" s="6" t="s">
        <v>19</v>
      </c>
      <c r="X645" s="6" t="s">
        <v>19</v>
      </c>
      <c r="Y645" s="6" t="s">
        <v>19</v>
      </c>
      <c r="Z645" s="6" t="s">
        <v>19</v>
      </c>
      <c r="AA645" s="6" t="s">
        <v>19</v>
      </c>
      <c r="AB645" s="6" t="s">
        <v>19</v>
      </c>
      <c r="AC645" s="6" t="s">
        <v>19</v>
      </c>
      <c r="AD645" s="18" t="s">
        <v>109</v>
      </c>
      <c r="AE645" s="18" t="s">
        <v>109</v>
      </c>
      <c r="AF645" s="6" t="s">
        <v>19</v>
      </c>
      <c r="AG645" s="6" t="s">
        <v>19</v>
      </c>
      <c r="AH645" s="6" t="s">
        <v>19</v>
      </c>
      <c r="AI645" s="6" t="s">
        <v>19</v>
      </c>
      <c r="AJ645" s="6" t="s">
        <v>19</v>
      </c>
      <c r="AK645" s="6" t="s">
        <v>19</v>
      </c>
      <c r="AL645" s="6" t="s">
        <v>19</v>
      </c>
      <c r="AM645" s="6" t="s">
        <v>19</v>
      </c>
      <c r="AN645" s="6" t="s">
        <v>19</v>
      </c>
      <c r="AO645" s="6" t="s">
        <v>19</v>
      </c>
      <c r="AP645" s="6" t="s">
        <v>19</v>
      </c>
      <c r="AQ645" s="6" t="s">
        <v>19</v>
      </c>
      <c r="AR645" s="6" t="s">
        <v>19</v>
      </c>
      <c r="AS645" s="6" t="s">
        <v>19</v>
      </c>
      <c r="AT645" s="6" t="s">
        <v>19</v>
      </c>
      <c r="AU645" s="6" t="s">
        <v>3153</v>
      </c>
      <c r="AV645" s="36" t="s">
        <v>19</v>
      </c>
    </row>
    <row r="646" spans="1:264" ht="53.25" customHeight="1" x14ac:dyDescent="0.3">
      <c r="A646" s="15" t="s">
        <v>674</v>
      </c>
      <c r="B646" s="15" t="s">
        <v>673</v>
      </c>
      <c r="C646" s="19" t="s">
        <v>671</v>
      </c>
      <c r="D646" s="15" t="s">
        <v>19</v>
      </c>
      <c r="E646" s="20" t="s">
        <v>19</v>
      </c>
      <c r="F646" s="20" t="s">
        <v>19</v>
      </c>
      <c r="G646" s="15" t="s">
        <v>19</v>
      </c>
      <c r="H646" s="15" t="s">
        <v>19</v>
      </c>
      <c r="I646" s="18" t="s">
        <v>19</v>
      </c>
      <c r="J646" s="18" t="s">
        <v>19</v>
      </c>
      <c r="K646" s="18" t="s">
        <v>19</v>
      </c>
      <c r="L646" s="18" t="s">
        <v>19</v>
      </c>
      <c r="M646" s="15" t="s">
        <v>1775</v>
      </c>
      <c r="N646" s="15" t="s">
        <v>676</v>
      </c>
      <c r="O646" s="15"/>
      <c r="P646" s="4" t="s">
        <v>672</v>
      </c>
      <c r="S646" s="15" t="e" cm="1">
        <f t="array" aca="1" ref="S646" ca="1">COMMONMARKETCOUNT(H646:AV646)</f>
        <v>#NAME?</v>
      </c>
      <c r="T646" s="15" t="e" cm="1">
        <f t="array" aca="1" ref="T646" ca="1">AUTOMATEDCOUNT(H646:AU646)</f>
        <v>#NAME?</v>
      </c>
      <c r="V646" s="15" t="s">
        <v>19</v>
      </c>
      <c r="W646" s="15" t="s">
        <v>19</v>
      </c>
      <c r="X646" s="20" t="s">
        <v>19</v>
      </c>
      <c r="Y646" s="20" t="s">
        <v>19</v>
      </c>
      <c r="Z646" s="20" t="s">
        <v>19</v>
      </c>
      <c r="AA646" s="18" t="s">
        <v>19</v>
      </c>
      <c r="AB646" s="18" t="s">
        <v>19</v>
      </c>
      <c r="AC646" s="18" t="s">
        <v>19</v>
      </c>
      <c r="AD646" s="6" t="s">
        <v>19</v>
      </c>
      <c r="AE646" s="6" t="s">
        <v>19</v>
      </c>
      <c r="AF646" s="18" t="s">
        <v>19</v>
      </c>
      <c r="AG646" s="18" t="s">
        <v>19</v>
      </c>
      <c r="AH646" s="18" t="s">
        <v>19</v>
      </c>
      <c r="AI646" s="18" t="s">
        <v>19</v>
      </c>
      <c r="AJ646" s="18" t="s">
        <v>19</v>
      </c>
      <c r="AK646" s="18" t="s">
        <v>19</v>
      </c>
      <c r="AL646" s="18" t="s">
        <v>19</v>
      </c>
      <c r="AM646" s="18" t="s">
        <v>19</v>
      </c>
      <c r="AN646" s="18" t="s">
        <v>19</v>
      </c>
      <c r="AO646" s="18" t="s">
        <v>19</v>
      </c>
      <c r="AP646" s="18" t="s">
        <v>19</v>
      </c>
      <c r="AQ646" s="18" t="s">
        <v>19</v>
      </c>
      <c r="AR646" s="18" t="s">
        <v>19</v>
      </c>
      <c r="AS646" s="18" t="s">
        <v>19</v>
      </c>
      <c r="AT646" s="18" t="s">
        <v>19</v>
      </c>
      <c r="AU646" s="18" t="s">
        <v>3153</v>
      </c>
      <c r="AV646" s="36" t="s">
        <v>19</v>
      </c>
    </row>
    <row r="647" spans="1:264" ht="60.75" customHeight="1" x14ac:dyDescent="0.3">
      <c r="A647" s="15" t="s">
        <v>674</v>
      </c>
      <c r="B647" s="15" t="s">
        <v>673</v>
      </c>
      <c r="C647" s="19" t="s">
        <v>675</v>
      </c>
      <c r="D647" s="15" t="s">
        <v>19</v>
      </c>
      <c r="E647" s="20" t="s">
        <v>19</v>
      </c>
      <c r="F647" s="20" t="s">
        <v>19</v>
      </c>
      <c r="G647" s="15" t="s">
        <v>19</v>
      </c>
      <c r="H647" s="15" t="s">
        <v>19</v>
      </c>
      <c r="I647" s="18" t="s">
        <v>19</v>
      </c>
      <c r="J647" s="18" t="s">
        <v>19</v>
      </c>
      <c r="K647" s="18" t="s">
        <v>19</v>
      </c>
      <c r="L647" s="18" t="s">
        <v>19</v>
      </c>
      <c r="M647" s="15" t="s">
        <v>1776</v>
      </c>
      <c r="N647" s="15" t="s">
        <v>679</v>
      </c>
      <c r="O647" s="15"/>
      <c r="P647" s="4" t="s">
        <v>677</v>
      </c>
      <c r="S647" s="15" t="e" cm="1">
        <f t="array" aca="1" ref="S647" ca="1">COMMONMARKETCOUNT(H647:AV647)</f>
        <v>#NAME?</v>
      </c>
      <c r="T647" s="15" t="e" cm="1">
        <f t="array" aca="1" ref="T647" ca="1">AUTOMATEDCOUNT(H647:AU647)</f>
        <v>#NAME?</v>
      </c>
      <c r="V647" s="15" t="s">
        <v>19</v>
      </c>
      <c r="W647" s="15" t="s">
        <v>19</v>
      </c>
      <c r="X647" s="20" t="s">
        <v>19</v>
      </c>
      <c r="Y647" s="20" t="s">
        <v>19</v>
      </c>
      <c r="Z647" s="20" t="s">
        <v>19</v>
      </c>
      <c r="AA647" s="18" t="s">
        <v>19</v>
      </c>
      <c r="AB647" s="18" t="s">
        <v>19</v>
      </c>
      <c r="AC647" s="18" t="s">
        <v>19</v>
      </c>
      <c r="AD647" s="6" t="s">
        <v>19</v>
      </c>
      <c r="AE647" s="6" t="s">
        <v>19</v>
      </c>
      <c r="AF647" s="18" t="s">
        <v>19</v>
      </c>
      <c r="AG647" s="18" t="s">
        <v>19</v>
      </c>
      <c r="AH647" s="18" t="s">
        <v>19</v>
      </c>
      <c r="AI647" s="18" t="s">
        <v>19</v>
      </c>
      <c r="AJ647" s="18" t="s">
        <v>19</v>
      </c>
      <c r="AK647" s="18" t="s">
        <v>19</v>
      </c>
      <c r="AL647" s="18" t="s">
        <v>19</v>
      </c>
      <c r="AM647" s="18" t="s">
        <v>19</v>
      </c>
      <c r="AN647" s="18" t="s">
        <v>19</v>
      </c>
      <c r="AO647" s="18" t="s">
        <v>19</v>
      </c>
      <c r="AP647" s="18" t="s">
        <v>19</v>
      </c>
      <c r="AQ647" s="18" t="s">
        <v>19</v>
      </c>
      <c r="AR647" s="18" t="s">
        <v>19</v>
      </c>
      <c r="AS647" s="18" t="s">
        <v>19</v>
      </c>
      <c r="AT647" s="18" t="s">
        <v>19</v>
      </c>
      <c r="AU647" s="18" t="s">
        <v>3153</v>
      </c>
      <c r="AV647" s="36" t="s">
        <v>19</v>
      </c>
      <c r="AW647" s="5"/>
      <c r="AX647" s="5"/>
      <c r="AY647" s="5"/>
      <c r="AZ647" s="5"/>
      <c r="BA647" s="5"/>
      <c r="BB647" s="5"/>
      <c r="BC647" s="5"/>
      <c r="BD647" s="5"/>
      <c r="BE647" s="5"/>
      <c r="BF647" s="5"/>
      <c r="BG647" s="5"/>
      <c r="BH647" s="5"/>
      <c r="BI647" s="5"/>
      <c r="BJ647" s="5"/>
      <c r="BK647" s="5"/>
      <c r="BL647" s="5"/>
      <c r="BM647" s="5"/>
      <c r="BN647" s="5"/>
      <c r="BO647" s="5"/>
      <c r="BP647" s="5"/>
      <c r="BQ647" s="5"/>
      <c r="BR647" s="5"/>
      <c r="BS647" s="5"/>
      <c r="BT647" s="5"/>
      <c r="BU647" s="5"/>
      <c r="BV647" s="5"/>
      <c r="BW647" s="5"/>
      <c r="BX647" s="5"/>
      <c r="BY647" s="5"/>
      <c r="BZ647" s="5"/>
      <c r="CA647" s="5"/>
      <c r="CB647" s="5"/>
      <c r="CC647" s="5"/>
      <c r="CD647" s="5"/>
      <c r="CE647" s="5"/>
      <c r="CF647" s="5"/>
      <c r="CG647" s="5"/>
      <c r="CH647" s="5"/>
      <c r="CI647" s="5"/>
      <c r="CJ647" s="5"/>
      <c r="CK647" s="5"/>
      <c r="CL647" s="5"/>
      <c r="CM647" s="5"/>
      <c r="CN647" s="5"/>
      <c r="CO647" s="5"/>
      <c r="CP647" s="5"/>
      <c r="CQ647" s="5"/>
      <c r="CR647" s="5"/>
      <c r="CS647" s="5"/>
      <c r="CT647" s="5"/>
      <c r="CU647" s="5"/>
      <c r="CV647" s="5"/>
      <c r="CW647" s="5"/>
      <c r="CX647" s="5"/>
      <c r="CY647" s="5"/>
      <c r="CZ647" s="5"/>
      <c r="DA647" s="5"/>
      <c r="DB647" s="5"/>
      <c r="DC647" s="5"/>
      <c r="DD647" s="5"/>
      <c r="DE647" s="5"/>
      <c r="DF647" s="5"/>
      <c r="DG647" s="5"/>
      <c r="DH647" s="5"/>
      <c r="DI647" s="5"/>
      <c r="DJ647" s="5"/>
      <c r="DK647" s="5"/>
      <c r="DL647" s="5"/>
      <c r="DM647" s="5"/>
      <c r="DN647" s="5"/>
      <c r="DO647" s="5"/>
      <c r="DP647" s="5"/>
      <c r="DQ647" s="5"/>
      <c r="DR647" s="5"/>
      <c r="DS647" s="5"/>
      <c r="DT647" s="5"/>
      <c r="DU647" s="5"/>
      <c r="DV647" s="5"/>
      <c r="DW647" s="5"/>
      <c r="DX647" s="5"/>
      <c r="DY647" s="5"/>
      <c r="DZ647" s="5"/>
      <c r="EA647" s="5"/>
      <c r="EB647" s="5"/>
      <c r="EC647" s="5"/>
      <c r="ED647" s="5"/>
      <c r="EE647" s="5"/>
      <c r="EF647" s="5"/>
      <c r="EG647" s="5"/>
      <c r="EH647" s="5"/>
      <c r="EI647" s="5"/>
      <c r="EJ647" s="5"/>
      <c r="EK647" s="5"/>
      <c r="EL647" s="5"/>
      <c r="EM647" s="5"/>
      <c r="EN647" s="5"/>
      <c r="EO647" s="5"/>
      <c r="EP647" s="5"/>
      <c r="EQ647" s="5"/>
      <c r="ER647" s="5"/>
      <c r="ES647" s="5"/>
      <c r="ET647" s="5"/>
      <c r="EU647" s="5"/>
      <c r="EV647" s="5"/>
      <c r="EW647" s="5"/>
      <c r="EX647" s="5"/>
      <c r="EY647" s="5"/>
      <c r="EZ647" s="5"/>
      <c r="FA647" s="5"/>
      <c r="FB647" s="5"/>
      <c r="FC647" s="5"/>
      <c r="FD647" s="5"/>
      <c r="FE647" s="5"/>
      <c r="FF647" s="5"/>
      <c r="FG647" s="5"/>
      <c r="FH647" s="5"/>
      <c r="FI647" s="5"/>
      <c r="FJ647" s="5"/>
      <c r="FK647" s="5"/>
      <c r="FL647" s="5"/>
      <c r="FM647" s="5"/>
      <c r="FN647" s="5"/>
      <c r="FO647" s="5"/>
      <c r="FP647" s="5"/>
      <c r="FQ647" s="5"/>
      <c r="FR647" s="5"/>
      <c r="FS647" s="5"/>
      <c r="FT647" s="5"/>
      <c r="FU647" s="5"/>
      <c r="FV647" s="5"/>
      <c r="FW647" s="5"/>
      <c r="FX647" s="5"/>
      <c r="FY647" s="5"/>
      <c r="FZ647" s="5"/>
      <c r="GA647" s="5"/>
      <c r="GB647" s="5"/>
      <c r="GC647" s="5"/>
      <c r="GD647" s="5"/>
      <c r="GE647" s="5"/>
      <c r="GF647" s="5"/>
      <c r="GG647" s="5"/>
      <c r="GH647" s="5"/>
      <c r="GI647" s="5"/>
      <c r="GJ647" s="5"/>
      <c r="GK647" s="5"/>
      <c r="GL647" s="5"/>
      <c r="GM647" s="5"/>
      <c r="GN647" s="5"/>
      <c r="GO647" s="5"/>
      <c r="GP647" s="5"/>
      <c r="GQ647" s="5"/>
      <c r="GR647" s="5"/>
      <c r="GS647" s="5"/>
      <c r="GT647" s="5"/>
      <c r="GU647" s="5"/>
      <c r="GV647" s="5"/>
      <c r="GW647" s="5"/>
      <c r="GX647" s="5"/>
      <c r="GY647" s="5"/>
      <c r="GZ647" s="5"/>
      <c r="HA647" s="5"/>
      <c r="HB647" s="5"/>
      <c r="HC647" s="5"/>
      <c r="HD647" s="5"/>
      <c r="HE647" s="5"/>
      <c r="HF647" s="5"/>
      <c r="HG647" s="5"/>
      <c r="HH647" s="5"/>
      <c r="HI647" s="5"/>
      <c r="HJ647" s="5"/>
      <c r="HK647" s="5"/>
      <c r="HL647" s="5"/>
      <c r="HM647" s="5"/>
      <c r="HN647" s="5"/>
      <c r="HO647" s="5"/>
      <c r="HP647" s="5"/>
      <c r="HQ647" s="5"/>
      <c r="HR647" s="5"/>
      <c r="HS647" s="5"/>
      <c r="HT647" s="5"/>
      <c r="HU647" s="5"/>
      <c r="HV647" s="5"/>
      <c r="HW647" s="5"/>
      <c r="HX647" s="5"/>
      <c r="HY647" s="5"/>
      <c r="HZ647" s="5"/>
      <c r="IA647" s="5"/>
      <c r="IB647" s="5"/>
      <c r="IC647" s="5"/>
      <c r="ID647" s="5"/>
      <c r="IE647" s="5"/>
      <c r="IF647" s="5"/>
      <c r="IG647" s="5"/>
      <c r="IH647" s="5"/>
      <c r="II647" s="5"/>
      <c r="IJ647" s="5"/>
      <c r="IK647" s="5"/>
      <c r="IL647" s="5"/>
      <c r="IM647" s="5"/>
      <c r="IN647" s="5"/>
      <c r="IO647" s="5"/>
      <c r="IP647" s="5"/>
      <c r="IQ647" s="5"/>
      <c r="IR647" s="5"/>
      <c r="IS647" s="5"/>
      <c r="IT647" s="5"/>
      <c r="IU647" s="5"/>
      <c r="IV647" s="5"/>
      <c r="IW647" s="5"/>
      <c r="IX647" s="5"/>
      <c r="IY647" s="5"/>
      <c r="IZ647" s="5"/>
      <c r="JA647" s="5"/>
      <c r="JB647" s="5"/>
      <c r="JC647" s="5"/>
      <c r="JD647" s="5"/>
    </row>
    <row r="648" spans="1:264" ht="78.75" customHeight="1" x14ac:dyDescent="0.3">
      <c r="A648" s="15" t="s">
        <v>674</v>
      </c>
      <c r="B648" s="15" t="s">
        <v>673</v>
      </c>
      <c r="C648" s="15" t="s">
        <v>678</v>
      </c>
      <c r="D648" s="15" t="s">
        <v>19</v>
      </c>
      <c r="E648" s="20" t="s">
        <v>19</v>
      </c>
      <c r="F648" s="20" t="s">
        <v>19</v>
      </c>
      <c r="G648" s="15" t="s">
        <v>19</v>
      </c>
      <c r="H648" s="15" t="s">
        <v>19</v>
      </c>
      <c r="I648" s="18" t="s">
        <v>19</v>
      </c>
      <c r="J648" s="18" t="s">
        <v>19</v>
      </c>
      <c r="K648" s="18" t="s">
        <v>19</v>
      </c>
      <c r="L648" s="18" t="s">
        <v>19</v>
      </c>
      <c r="M648" s="15" t="s">
        <v>1777</v>
      </c>
      <c r="N648" s="15" t="s">
        <v>681</v>
      </c>
      <c r="O648" s="15"/>
      <c r="P648" s="4" t="s">
        <v>680</v>
      </c>
      <c r="S648" s="15" t="e" cm="1">
        <f t="array" aca="1" ref="S648" ca="1">COMMONMARKETCOUNT(H648:AV648)</f>
        <v>#NAME?</v>
      </c>
      <c r="T648" s="15" t="e" cm="1">
        <f t="array" aca="1" ref="T648" ca="1">AUTOMATEDCOUNT(H648:AU648)</f>
        <v>#NAME?</v>
      </c>
      <c r="V648" s="15" t="s">
        <v>19</v>
      </c>
      <c r="W648" s="15" t="s">
        <v>19</v>
      </c>
      <c r="X648" s="20" t="s">
        <v>19</v>
      </c>
      <c r="Y648" s="20" t="s">
        <v>19</v>
      </c>
      <c r="Z648" s="20" t="s">
        <v>19</v>
      </c>
      <c r="AA648" s="18" t="s">
        <v>19</v>
      </c>
      <c r="AB648" s="18" t="s">
        <v>19</v>
      </c>
      <c r="AC648" s="18" t="s">
        <v>19</v>
      </c>
      <c r="AD648" s="6" t="s">
        <v>19</v>
      </c>
      <c r="AE648" s="6" t="s">
        <v>19</v>
      </c>
      <c r="AF648" s="18" t="s">
        <v>19</v>
      </c>
      <c r="AG648" s="18" t="s">
        <v>19</v>
      </c>
      <c r="AH648" s="18" t="s">
        <v>19</v>
      </c>
      <c r="AI648" s="18" t="s">
        <v>19</v>
      </c>
      <c r="AJ648" s="18" t="s">
        <v>19</v>
      </c>
      <c r="AK648" s="18" t="s">
        <v>19</v>
      </c>
      <c r="AL648" s="18" t="s">
        <v>19</v>
      </c>
      <c r="AM648" s="18" t="s">
        <v>19</v>
      </c>
      <c r="AN648" s="18" t="s">
        <v>19</v>
      </c>
      <c r="AO648" s="18" t="s">
        <v>19</v>
      </c>
      <c r="AP648" s="18" t="s">
        <v>19</v>
      </c>
      <c r="AQ648" s="18" t="s">
        <v>19</v>
      </c>
      <c r="AR648" s="18" t="s">
        <v>19</v>
      </c>
      <c r="AS648" s="18" t="s">
        <v>19</v>
      </c>
      <c r="AT648" s="18" t="s">
        <v>19</v>
      </c>
      <c r="AU648" s="18" t="s">
        <v>3153</v>
      </c>
      <c r="AV648" s="36" t="s">
        <v>19</v>
      </c>
    </row>
    <row r="649" spans="1:264" ht="53.25" customHeight="1" x14ac:dyDescent="0.3">
      <c r="A649" s="6" t="s">
        <v>705</v>
      </c>
      <c r="B649" s="6" t="s">
        <v>683</v>
      </c>
      <c r="C649" s="4" t="s">
        <v>2261</v>
      </c>
      <c r="D649" s="6" t="s">
        <v>19</v>
      </c>
      <c r="E649" s="70" t="s">
        <v>19</v>
      </c>
      <c r="F649" s="70" t="s">
        <v>19</v>
      </c>
      <c r="G649" s="44" t="s">
        <v>19</v>
      </c>
      <c r="H649" s="44" t="s">
        <v>19</v>
      </c>
      <c r="I649" s="72" t="s">
        <v>19</v>
      </c>
      <c r="J649" s="72" t="s">
        <v>19</v>
      </c>
      <c r="K649" s="96" t="s">
        <v>19</v>
      </c>
      <c r="L649" s="96" t="s">
        <v>19</v>
      </c>
      <c r="M649" s="15" t="s">
        <v>2258</v>
      </c>
      <c r="N649" s="4" t="s">
        <v>681</v>
      </c>
      <c r="O649" s="4"/>
      <c r="P649" s="4" t="s">
        <v>2355</v>
      </c>
      <c r="S649" s="15" t="e" cm="1">
        <f t="array" aca="1" ref="S649" ca="1">COMMONMARKETCOUNT(H649:AV649)</f>
        <v>#NAME?</v>
      </c>
      <c r="T649" s="15" t="e" cm="1">
        <f t="array" aca="1" ref="T649" ca="1">AUTOMATEDCOUNT(H649:AU649)</f>
        <v>#NAME?</v>
      </c>
      <c r="V649" s="44" t="s">
        <v>19</v>
      </c>
      <c r="W649" s="44" t="s">
        <v>19</v>
      </c>
      <c r="X649" s="70" t="s">
        <v>19</v>
      </c>
      <c r="Y649" s="70" t="s">
        <v>19</v>
      </c>
      <c r="Z649" s="70" t="s">
        <v>19</v>
      </c>
      <c r="AA649" s="72" t="s">
        <v>19</v>
      </c>
      <c r="AB649" s="72" t="s">
        <v>19</v>
      </c>
      <c r="AC649" s="72" t="s">
        <v>19</v>
      </c>
      <c r="AD649" s="18" t="s">
        <v>109</v>
      </c>
      <c r="AE649" s="18" t="s">
        <v>109</v>
      </c>
      <c r="AF649" s="6" t="s">
        <v>19</v>
      </c>
      <c r="AG649" s="6" t="s">
        <v>19</v>
      </c>
      <c r="AH649" s="6" t="s">
        <v>19</v>
      </c>
      <c r="AI649" s="6" t="s">
        <v>19</v>
      </c>
      <c r="AJ649" s="6" t="s">
        <v>19</v>
      </c>
      <c r="AK649" s="6" t="s">
        <v>19</v>
      </c>
      <c r="AL649" s="6" t="s">
        <v>19</v>
      </c>
      <c r="AM649" s="6" t="s">
        <v>19</v>
      </c>
      <c r="AN649" s="6" t="s">
        <v>19</v>
      </c>
      <c r="AO649" s="6" t="s">
        <v>19</v>
      </c>
      <c r="AP649" s="6" t="s">
        <v>19</v>
      </c>
      <c r="AQ649" s="6" t="s">
        <v>19</v>
      </c>
      <c r="AR649" s="6" t="s">
        <v>19</v>
      </c>
      <c r="AS649" s="6" t="s">
        <v>19</v>
      </c>
      <c r="AT649" s="6" t="s">
        <v>19</v>
      </c>
      <c r="AU649" s="6" t="s">
        <v>3153</v>
      </c>
      <c r="AV649" s="36" t="s">
        <v>19</v>
      </c>
    </row>
    <row r="650" spans="1:264" ht="61.65" customHeight="1" x14ac:dyDescent="0.3">
      <c r="A650" s="15" t="s">
        <v>682</v>
      </c>
      <c r="B650" s="15" t="s">
        <v>683</v>
      </c>
      <c r="C650" s="15" t="s">
        <v>2042</v>
      </c>
      <c r="D650" s="15" t="s">
        <v>19</v>
      </c>
      <c r="E650" s="70" t="s">
        <v>19</v>
      </c>
      <c r="F650" s="70" t="s">
        <v>19</v>
      </c>
      <c r="G650" s="70" t="s">
        <v>19</v>
      </c>
      <c r="H650" s="70" t="s">
        <v>19</v>
      </c>
      <c r="I650" s="72" t="s">
        <v>19</v>
      </c>
      <c r="J650" s="72" t="s">
        <v>19</v>
      </c>
      <c r="K650" s="70" t="s">
        <v>19</v>
      </c>
      <c r="L650" s="70" t="s">
        <v>19</v>
      </c>
      <c r="M650" s="15" t="s">
        <v>2986</v>
      </c>
      <c r="N650" s="4" t="s">
        <v>2059</v>
      </c>
      <c r="O650" s="15"/>
      <c r="P650" s="4" t="s">
        <v>1779</v>
      </c>
      <c r="S650" s="15" t="e" cm="1">
        <f t="array" aca="1" ref="S650" ca="1">COMMONMARKETCOUNT(H650:AV650)</f>
        <v>#NAME?</v>
      </c>
      <c r="T650" s="15" t="e" cm="1">
        <f t="array" aca="1" ref="T650" ca="1">AUTOMATEDCOUNT(H650:AU650)</f>
        <v>#NAME?</v>
      </c>
      <c r="V650" s="70" t="s">
        <v>19</v>
      </c>
      <c r="W650" s="70" t="s">
        <v>19</v>
      </c>
      <c r="X650" s="70" t="s">
        <v>19</v>
      </c>
      <c r="Y650" s="70" t="s">
        <v>19</v>
      </c>
      <c r="Z650" s="70" t="s">
        <v>19</v>
      </c>
      <c r="AA650" s="72" t="s">
        <v>19</v>
      </c>
      <c r="AB650" s="72" t="s">
        <v>19</v>
      </c>
      <c r="AC650" s="72" t="s">
        <v>19</v>
      </c>
      <c r="AD650" s="96" t="s">
        <v>19</v>
      </c>
      <c r="AE650" s="6" t="s">
        <v>19</v>
      </c>
      <c r="AF650" s="15" t="s">
        <v>19</v>
      </c>
      <c r="AG650" s="15" t="s">
        <v>19</v>
      </c>
      <c r="AH650" s="15" t="s">
        <v>19</v>
      </c>
      <c r="AI650" s="15" t="s">
        <v>19</v>
      </c>
      <c r="AJ650" s="15" t="s">
        <v>19</v>
      </c>
      <c r="AK650" s="15" t="s">
        <v>19</v>
      </c>
      <c r="AL650" s="15" t="s">
        <v>19</v>
      </c>
      <c r="AM650" s="18" t="s">
        <v>19</v>
      </c>
      <c r="AN650" s="18" t="s">
        <v>19</v>
      </c>
      <c r="AO650" s="18" t="s">
        <v>19</v>
      </c>
      <c r="AP650" s="15" t="s">
        <v>19</v>
      </c>
      <c r="AQ650" s="15" t="s">
        <v>19</v>
      </c>
      <c r="AR650" s="15" t="s">
        <v>19</v>
      </c>
      <c r="AS650" s="70" t="s">
        <v>19</v>
      </c>
      <c r="AT650" s="70" t="s">
        <v>19</v>
      </c>
      <c r="AU650" s="15" t="s">
        <v>3153</v>
      </c>
      <c r="AV650" s="36" t="s">
        <v>19</v>
      </c>
    </row>
    <row r="651" spans="1:264" ht="102" customHeight="1" x14ac:dyDescent="0.3">
      <c r="A651" s="15" t="s">
        <v>682</v>
      </c>
      <c r="B651" s="15" t="s">
        <v>1780</v>
      </c>
      <c r="C651" s="15" t="s">
        <v>685</v>
      </c>
      <c r="D651" s="15" t="s">
        <v>19</v>
      </c>
      <c r="E651" s="70" t="s">
        <v>19</v>
      </c>
      <c r="F651" s="70" t="s">
        <v>19</v>
      </c>
      <c r="G651" s="70" t="s">
        <v>19</v>
      </c>
      <c r="H651" s="70" t="s">
        <v>19</v>
      </c>
      <c r="I651" s="72" t="s">
        <v>19</v>
      </c>
      <c r="J651" s="72" t="s">
        <v>19</v>
      </c>
      <c r="K651" s="72" t="s">
        <v>19</v>
      </c>
      <c r="L651" s="72" t="s">
        <v>19</v>
      </c>
      <c r="M651" s="15" t="s">
        <v>684</v>
      </c>
      <c r="N651" s="15" t="s">
        <v>688</v>
      </c>
      <c r="O651" s="15"/>
      <c r="P651" s="4" t="s">
        <v>985</v>
      </c>
      <c r="S651" s="15" t="e" cm="1">
        <f t="array" aca="1" ref="S651" ca="1">COMMONMARKETCOUNT(H651:AV651)</f>
        <v>#NAME?</v>
      </c>
      <c r="T651" s="15" t="e" cm="1">
        <f t="array" aca="1" ref="T651" ca="1">AUTOMATEDCOUNT(H651:AU651)</f>
        <v>#NAME?</v>
      </c>
      <c r="V651" s="70" t="s">
        <v>19</v>
      </c>
      <c r="W651" s="70" t="s">
        <v>19</v>
      </c>
      <c r="X651" s="70" t="s">
        <v>19</v>
      </c>
      <c r="Y651" s="70" t="s">
        <v>19</v>
      </c>
      <c r="Z651" s="70" t="s">
        <v>19</v>
      </c>
      <c r="AA651" s="72" t="s">
        <v>19</v>
      </c>
      <c r="AB651" s="72" t="s">
        <v>19</v>
      </c>
      <c r="AC651" s="72" t="s">
        <v>19</v>
      </c>
      <c r="AD651" s="72" t="s">
        <v>19</v>
      </c>
      <c r="AE651" s="18" t="s">
        <v>19</v>
      </c>
      <c r="AF651" s="18" t="s">
        <v>19</v>
      </c>
      <c r="AG651" s="18" t="s">
        <v>19</v>
      </c>
      <c r="AH651" s="18" t="s">
        <v>19</v>
      </c>
      <c r="AI651" s="18" t="s">
        <v>19</v>
      </c>
      <c r="AJ651" s="18" t="s">
        <v>19</v>
      </c>
      <c r="AK651" s="18" t="s">
        <v>19</v>
      </c>
      <c r="AL651" s="18" t="s">
        <v>19</v>
      </c>
      <c r="AM651" s="18" t="s">
        <v>19</v>
      </c>
      <c r="AN651" s="18" t="s">
        <v>19</v>
      </c>
      <c r="AO651" s="18" t="s">
        <v>19</v>
      </c>
      <c r="AP651" s="18" t="s">
        <v>19</v>
      </c>
      <c r="AQ651" s="18" t="s">
        <v>19</v>
      </c>
      <c r="AR651" s="18" t="s">
        <v>19</v>
      </c>
      <c r="AS651" s="70" t="s">
        <v>19</v>
      </c>
      <c r="AT651" s="72" t="s">
        <v>19</v>
      </c>
      <c r="AU651" s="18" t="s">
        <v>3153</v>
      </c>
      <c r="AV651" s="36" t="s">
        <v>19</v>
      </c>
    </row>
    <row r="652" spans="1:264" ht="99" customHeight="1" x14ac:dyDescent="0.3">
      <c r="A652" s="15" t="s">
        <v>682</v>
      </c>
      <c r="B652" s="15" t="s">
        <v>1780</v>
      </c>
      <c r="C652" s="15" t="s">
        <v>687</v>
      </c>
      <c r="D652" s="15" t="s">
        <v>19</v>
      </c>
      <c r="E652" s="70" t="s">
        <v>19</v>
      </c>
      <c r="F652" s="70" t="s">
        <v>19</v>
      </c>
      <c r="G652" s="70" t="s">
        <v>19</v>
      </c>
      <c r="H652" s="70" t="s">
        <v>19</v>
      </c>
      <c r="I652" s="72" t="s">
        <v>19</v>
      </c>
      <c r="J652" s="72" t="s">
        <v>19</v>
      </c>
      <c r="K652" s="72" t="s">
        <v>19</v>
      </c>
      <c r="L652" s="72" t="s">
        <v>19</v>
      </c>
      <c r="M652" s="15" t="s">
        <v>686</v>
      </c>
      <c r="N652" s="15" t="s">
        <v>691</v>
      </c>
      <c r="O652" s="15"/>
      <c r="P652" s="4" t="s">
        <v>1781</v>
      </c>
      <c r="S652" s="15" t="e" cm="1">
        <f t="array" aca="1" ref="S652" ca="1">COMMONMARKETCOUNT(H652:AV652)</f>
        <v>#NAME?</v>
      </c>
      <c r="T652" s="15" t="e" cm="1">
        <f t="array" aca="1" ref="T652" ca="1">AUTOMATEDCOUNT(H652:AU652)</f>
        <v>#NAME?</v>
      </c>
      <c r="V652" s="70" t="s">
        <v>19</v>
      </c>
      <c r="W652" s="70" t="s">
        <v>19</v>
      </c>
      <c r="X652" s="70" t="s">
        <v>19</v>
      </c>
      <c r="Y652" s="70" t="s">
        <v>19</v>
      </c>
      <c r="Z652" s="70" t="s">
        <v>19</v>
      </c>
      <c r="AA652" s="72" t="s">
        <v>19</v>
      </c>
      <c r="AB652" s="72" t="s">
        <v>19</v>
      </c>
      <c r="AC652" s="72" t="s">
        <v>19</v>
      </c>
      <c r="AD652" s="72" t="s">
        <v>19</v>
      </c>
      <c r="AE652" s="18" t="s">
        <v>19</v>
      </c>
      <c r="AF652" s="18" t="s">
        <v>19</v>
      </c>
      <c r="AG652" s="18" t="s">
        <v>19</v>
      </c>
      <c r="AH652" s="18" t="s">
        <v>19</v>
      </c>
      <c r="AI652" s="18" t="s">
        <v>19</v>
      </c>
      <c r="AJ652" s="18" t="s">
        <v>19</v>
      </c>
      <c r="AK652" s="18" t="s">
        <v>19</v>
      </c>
      <c r="AL652" s="18" t="s">
        <v>19</v>
      </c>
      <c r="AM652" s="18" t="s">
        <v>19</v>
      </c>
      <c r="AN652" s="18" t="s">
        <v>19</v>
      </c>
      <c r="AO652" s="18" t="s">
        <v>19</v>
      </c>
      <c r="AP652" s="18" t="s">
        <v>19</v>
      </c>
      <c r="AQ652" s="18" t="s">
        <v>19</v>
      </c>
      <c r="AR652" s="18" t="s">
        <v>19</v>
      </c>
      <c r="AS652" s="70" t="s">
        <v>19</v>
      </c>
      <c r="AT652" s="72" t="s">
        <v>19</v>
      </c>
      <c r="AU652" s="18" t="s">
        <v>3153</v>
      </c>
      <c r="AV652" s="36" t="s">
        <v>19</v>
      </c>
    </row>
    <row r="653" spans="1:264" ht="94.35" customHeight="1" x14ac:dyDescent="0.3">
      <c r="A653" s="15" t="s">
        <v>682</v>
      </c>
      <c r="B653" s="15" t="s">
        <v>1780</v>
      </c>
      <c r="C653" s="15" t="s">
        <v>690</v>
      </c>
      <c r="D653" s="15" t="s">
        <v>19</v>
      </c>
      <c r="E653" s="70" t="s">
        <v>19</v>
      </c>
      <c r="F653" s="70" t="s">
        <v>19</v>
      </c>
      <c r="G653" s="70" t="s">
        <v>19</v>
      </c>
      <c r="H653" s="70" t="s">
        <v>19</v>
      </c>
      <c r="I653" s="72" t="s">
        <v>19</v>
      </c>
      <c r="J653" s="72" t="s">
        <v>19</v>
      </c>
      <c r="K653" s="72" t="s">
        <v>19</v>
      </c>
      <c r="L653" s="72" t="s">
        <v>19</v>
      </c>
      <c r="M653" s="15" t="s">
        <v>689</v>
      </c>
      <c r="N653" s="15" t="s">
        <v>694</v>
      </c>
      <c r="O653" s="15"/>
      <c r="P653" s="4" t="s">
        <v>986</v>
      </c>
      <c r="S653" s="15" t="e" cm="1">
        <f t="array" aca="1" ref="S653" ca="1">COMMONMARKETCOUNT(H653:AV653)</f>
        <v>#NAME?</v>
      </c>
      <c r="T653" s="15" t="e" cm="1">
        <f t="array" aca="1" ref="T653" ca="1">AUTOMATEDCOUNT(H653:AU653)</f>
        <v>#NAME?</v>
      </c>
      <c r="V653" s="70" t="s">
        <v>19</v>
      </c>
      <c r="W653" s="70" t="s">
        <v>19</v>
      </c>
      <c r="X653" s="70" t="s">
        <v>19</v>
      </c>
      <c r="Y653" s="70" t="s">
        <v>19</v>
      </c>
      <c r="Z653" s="70" t="s">
        <v>19</v>
      </c>
      <c r="AA653" s="72" t="s">
        <v>19</v>
      </c>
      <c r="AB653" s="72" t="s">
        <v>19</v>
      </c>
      <c r="AC653" s="72" t="s">
        <v>19</v>
      </c>
      <c r="AD653" s="72" t="s">
        <v>19</v>
      </c>
      <c r="AE653" s="18" t="s">
        <v>19</v>
      </c>
      <c r="AF653" s="18" t="s">
        <v>19</v>
      </c>
      <c r="AG653" s="18" t="s">
        <v>19</v>
      </c>
      <c r="AH653" s="18" t="s">
        <v>19</v>
      </c>
      <c r="AI653" s="18" t="s">
        <v>19</v>
      </c>
      <c r="AJ653" s="18" t="s">
        <v>19</v>
      </c>
      <c r="AK653" s="18" t="s">
        <v>19</v>
      </c>
      <c r="AL653" s="18" t="s">
        <v>19</v>
      </c>
      <c r="AM653" s="18" t="s">
        <v>19</v>
      </c>
      <c r="AN653" s="18" t="s">
        <v>19</v>
      </c>
      <c r="AO653" s="18" t="s">
        <v>19</v>
      </c>
      <c r="AP653" s="18" t="s">
        <v>19</v>
      </c>
      <c r="AQ653" s="18" t="s">
        <v>19</v>
      </c>
      <c r="AR653" s="18" t="s">
        <v>19</v>
      </c>
      <c r="AS653" s="70" t="s">
        <v>19</v>
      </c>
      <c r="AT653" s="72" t="s">
        <v>19</v>
      </c>
      <c r="AU653" s="18" t="s">
        <v>3153</v>
      </c>
      <c r="AV653" s="36" t="s">
        <v>19</v>
      </c>
    </row>
    <row r="654" spans="1:264" ht="93.75" customHeight="1" x14ac:dyDescent="0.3">
      <c r="A654" s="15" t="s">
        <v>682</v>
      </c>
      <c r="B654" s="15" t="s">
        <v>227</v>
      </c>
      <c r="C654" s="15" t="s">
        <v>692</v>
      </c>
      <c r="D654" s="15" t="s">
        <v>19</v>
      </c>
      <c r="E654" s="70" t="s">
        <v>19</v>
      </c>
      <c r="F654" s="70" t="s">
        <v>19</v>
      </c>
      <c r="G654" s="70" t="s">
        <v>19</v>
      </c>
      <c r="H654" s="70" t="s">
        <v>19</v>
      </c>
      <c r="I654" s="72" t="s">
        <v>19</v>
      </c>
      <c r="J654" s="72" t="s">
        <v>19</v>
      </c>
      <c r="K654" s="72" t="s">
        <v>19</v>
      </c>
      <c r="L654" s="72" t="s">
        <v>19</v>
      </c>
      <c r="M654" s="15" t="s">
        <v>693</v>
      </c>
      <c r="N654" s="15" t="s">
        <v>697</v>
      </c>
      <c r="O654" s="15"/>
      <c r="P654" s="4" t="s">
        <v>3123</v>
      </c>
      <c r="S654" s="15" t="e" cm="1">
        <f t="array" aca="1" ref="S654" ca="1">COMMONMARKETCOUNT(H654:AV654)</f>
        <v>#NAME?</v>
      </c>
      <c r="T654" s="15" t="e" cm="1">
        <f t="array" aca="1" ref="T654" ca="1">AUTOMATEDCOUNT(H654:AU654)</f>
        <v>#NAME?</v>
      </c>
      <c r="V654" s="70" t="s">
        <v>19</v>
      </c>
      <c r="W654" s="70" t="s">
        <v>19</v>
      </c>
      <c r="X654" s="70" t="s">
        <v>19</v>
      </c>
      <c r="Y654" s="70" t="s">
        <v>19</v>
      </c>
      <c r="Z654" s="70" t="s">
        <v>19</v>
      </c>
      <c r="AA654" s="72" t="s">
        <v>19</v>
      </c>
      <c r="AB654" s="72" t="s">
        <v>19</v>
      </c>
      <c r="AC654" s="72" t="s">
        <v>19</v>
      </c>
      <c r="AD654" s="72" t="s">
        <v>19</v>
      </c>
      <c r="AE654" s="18" t="s">
        <v>19</v>
      </c>
      <c r="AF654" s="18" t="s">
        <v>19</v>
      </c>
      <c r="AG654" s="18" t="s">
        <v>19</v>
      </c>
      <c r="AH654" s="18" t="s">
        <v>19</v>
      </c>
      <c r="AI654" s="18" t="s">
        <v>19</v>
      </c>
      <c r="AJ654" s="18" t="s">
        <v>19</v>
      </c>
      <c r="AK654" s="18" t="s">
        <v>19</v>
      </c>
      <c r="AL654" s="18" t="s">
        <v>19</v>
      </c>
      <c r="AM654" s="18" t="s">
        <v>19</v>
      </c>
      <c r="AN654" s="18" t="s">
        <v>19</v>
      </c>
      <c r="AO654" s="18" t="s">
        <v>19</v>
      </c>
      <c r="AP654" s="18" t="s">
        <v>19</v>
      </c>
      <c r="AQ654" s="18" t="s">
        <v>19</v>
      </c>
      <c r="AR654" s="18" t="s">
        <v>19</v>
      </c>
      <c r="AS654" s="70" t="s">
        <v>19</v>
      </c>
      <c r="AT654" s="72" t="s">
        <v>19</v>
      </c>
      <c r="AU654" s="18" t="s">
        <v>3153</v>
      </c>
      <c r="AV654" s="36" t="s">
        <v>19</v>
      </c>
    </row>
    <row r="655" spans="1:264" ht="93.75" customHeight="1" x14ac:dyDescent="0.3">
      <c r="A655" s="15" t="s">
        <v>682</v>
      </c>
      <c r="B655" s="15" t="s">
        <v>1778</v>
      </c>
      <c r="C655" s="15" t="s">
        <v>696</v>
      </c>
      <c r="D655" s="15" t="s">
        <v>19</v>
      </c>
      <c r="E655" s="70" t="s">
        <v>19</v>
      </c>
      <c r="F655" s="70" t="s">
        <v>19</v>
      </c>
      <c r="G655" s="70" t="s">
        <v>19</v>
      </c>
      <c r="H655" s="70" t="s">
        <v>19</v>
      </c>
      <c r="I655" s="72" t="s">
        <v>19</v>
      </c>
      <c r="J655" s="72" t="s">
        <v>19</v>
      </c>
      <c r="K655" s="72" t="s">
        <v>19</v>
      </c>
      <c r="L655" s="72" t="s">
        <v>19</v>
      </c>
      <c r="M655" s="15" t="s">
        <v>695</v>
      </c>
      <c r="N655" s="15" t="s">
        <v>701</v>
      </c>
      <c r="O655" s="15"/>
      <c r="P655" s="4" t="s">
        <v>698</v>
      </c>
      <c r="S655" s="15" t="e" cm="1">
        <f t="array" aca="1" ref="S655" ca="1">COMMONMARKETCOUNT(H655:AV655)</f>
        <v>#NAME?</v>
      </c>
      <c r="T655" s="15" t="e" cm="1">
        <f t="array" aca="1" ref="T655" ca="1">AUTOMATEDCOUNT(H655:AU655)</f>
        <v>#NAME?</v>
      </c>
      <c r="V655" s="70" t="s">
        <v>19</v>
      </c>
      <c r="W655" s="70" t="s">
        <v>19</v>
      </c>
      <c r="X655" s="70" t="s">
        <v>19</v>
      </c>
      <c r="Y655" s="70" t="s">
        <v>19</v>
      </c>
      <c r="Z655" s="70" t="s">
        <v>19</v>
      </c>
      <c r="AA655" s="72" t="s">
        <v>19</v>
      </c>
      <c r="AB655" s="72" t="s">
        <v>19</v>
      </c>
      <c r="AC655" s="72" t="s">
        <v>19</v>
      </c>
      <c r="AD655" s="96" t="s">
        <v>19</v>
      </c>
      <c r="AE655" s="6" t="s">
        <v>19</v>
      </c>
      <c r="AF655" s="18" t="s">
        <v>19</v>
      </c>
      <c r="AG655" s="18" t="s">
        <v>19</v>
      </c>
      <c r="AH655" s="18" t="s">
        <v>19</v>
      </c>
      <c r="AI655" s="18" t="s">
        <v>19</v>
      </c>
      <c r="AJ655" s="18" t="s">
        <v>19</v>
      </c>
      <c r="AK655" s="18" t="s">
        <v>19</v>
      </c>
      <c r="AL655" s="18" t="s">
        <v>19</v>
      </c>
      <c r="AM655" s="18" t="s">
        <v>19</v>
      </c>
      <c r="AN655" s="18" t="s">
        <v>19</v>
      </c>
      <c r="AO655" s="18" t="s">
        <v>19</v>
      </c>
      <c r="AP655" s="18" t="s">
        <v>19</v>
      </c>
      <c r="AQ655" s="18" t="s">
        <v>19</v>
      </c>
      <c r="AR655" s="18" t="s">
        <v>19</v>
      </c>
      <c r="AS655" s="70" t="s">
        <v>19</v>
      </c>
      <c r="AT655" s="18" t="s">
        <v>19</v>
      </c>
      <c r="AU655" s="18" t="s">
        <v>3153</v>
      </c>
      <c r="AV655" s="36" t="s">
        <v>19</v>
      </c>
    </row>
    <row r="656" spans="1:264" ht="40.5" hidden="1" customHeight="1" x14ac:dyDescent="0.3">
      <c r="A656" s="15" t="s">
        <v>682</v>
      </c>
      <c r="B656" s="15" t="s">
        <v>702</v>
      </c>
      <c r="C656" s="15" t="s">
        <v>700</v>
      </c>
      <c r="D656" s="15" t="s">
        <v>32</v>
      </c>
      <c r="E656" s="15" t="s">
        <v>19</v>
      </c>
      <c r="F656" s="15" t="s">
        <v>19</v>
      </c>
      <c r="G656" s="15" t="s">
        <v>109</v>
      </c>
      <c r="H656" s="15" t="s">
        <v>109</v>
      </c>
      <c r="I656" s="15" t="s">
        <v>109</v>
      </c>
      <c r="J656" s="15" t="s">
        <v>109</v>
      </c>
      <c r="K656" s="15" t="s">
        <v>109</v>
      </c>
      <c r="L656" s="15" t="s">
        <v>109</v>
      </c>
      <c r="M656" s="15" t="s">
        <v>699</v>
      </c>
      <c r="N656" s="15" t="s">
        <v>704</v>
      </c>
      <c r="O656" s="15"/>
      <c r="P656" s="4" t="s">
        <v>3124</v>
      </c>
      <c r="S656" s="15" t="e" cm="1">
        <f t="array" aca="1" ref="S656" ca="1">COMMONMARKETCOUNT(H656:AV656)</f>
        <v>#NAME?</v>
      </c>
      <c r="T656" s="15" t="e" cm="1">
        <f t="array" aca="1" ref="T656" ca="1">AUTOMATEDCOUNT(H656:AU656)</f>
        <v>#NAME?</v>
      </c>
      <c r="V656" s="15" t="s">
        <v>109</v>
      </c>
      <c r="W656" s="15" t="s">
        <v>109</v>
      </c>
      <c r="X656" s="15" t="s">
        <v>109</v>
      </c>
      <c r="Y656" s="15" t="s">
        <v>109</v>
      </c>
      <c r="Z656" s="15" t="s">
        <v>109</v>
      </c>
      <c r="AA656" s="15" t="s">
        <v>109</v>
      </c>
      <c r="AB656" s="15" t="s">
        <v>109</v>
      </c>
      <c r="AC656" s="15" t="s">
        <v>109</v>
      </c>
      <c r="AD656" s="18" t="s">
        <v>19</v>
      </c>
      <c r="AE656" s="18" t="s">
        <v>19</v>
      </c>
      <c r="AF656" s="15" t="s">
        <v>109</v>
      </c>
      <c r="AG656" s="15" t="s">
        <v>109</v>
      </c>
      <c r="AH656" s="15" t="s">
        <v>109</v>
      </c>
      <c r="AI656" s="15" t="s">
        <v>109</v>
      </c>
      <c r="AJ656" s="15" t="s">
        <v>109</v>
      </c>
      <c r="AK656" s="15" t="s">
        <v>109</v>
      </c>
      <c r="AL656" s="15" t="s">
        <v>109</v>
      </c>
      <c r="AM656" s="15" t="s">
        <v>109</v>
      </c>
      <c r="AN656" s="15" t="s">
        <v>109</v>
      </c>
      <c r="AO656" s="15" t="s">
        <v>109</v>
      </c>
      <c r="AP656" s="18" t="s">
        <v>19</v>
      </c>
      <c r="AQ656" s="18" t="s">
        <v>19</v>
      </c>
      <c r="AR656" s="18" t="s">
        <v>19</v>
      </c>
      <c r="AS656" s="18" t="s">
        <v>19</v>
      </c>
      <c r="AT656" s="18" t="s">
        <v>19</v>
      </c>
      <c r="AU656" s="18" t="s">
        <v>109</v>
      </c>
      <c r="AV656" s="36" t="s">
        <v>19</v>
      </c>
    </row>
    <row r="657" spans="1:264" ht="60" hidden="1" customHeight="1" x14ac:dyDescent="0.3">
      <c r="A657" s="15" t="s">
        <v>705</v>
      </c>
      <c r="B657" s="15" t="s">
        <v>239</v>
      </c>
      <c r="C657" s="15" t="s">
        <v>703</v>
      </c>
      <c r="D657" s="15" t="s">
        <v>32</v>
      </c>
      <c r="E657" s="15" t="s">
        <v>19</v>
      </c>
      <c r="F657" s="15" t="s">
        <v>19</v>
      </c>
      <c r="G657" s="15" t="s">
        <v>109</v>
      </c>
      <c r="H657" s="15" t="s">
        <v>109</v>
      </c>
      <c r="I657" s="18" t="s">
        <v>109</v>
      </c>
      <c r="J657" s="18" t="s">
        <v>109</v>
      </c>
      <c r="K657" s="18" t="s">
        <v>109</v>
      </c>
      <c r="L657" s="18" t="s">
        <v>109</v>
      </c>
      <c r="M657" s="15" t="s">
        <v>2987</v>
      </c>
      <c r="N657" s="15" t="s">
        <v>707</v>
      </c>
      <c r="O657" s="15"/>
      <c r="P657" s="4" t="s">
        <v>1782</v>
      </c>
      <c r="S657" s="15" t="e" cm="1">
        <f t="array" aca="1" ref="S657" ca="1">COMMONMARKETCOUNT(H657:AV657)</f>
        <v>#NAME?</v>
      </c>
      <c r="T657" s="15" t="e" cm="1">
        <f t="array" aca="1" ref="T657" ca="1">AUTOMATEDCOUNT(H657:AU657)</f>
        <v>#NAME?</v>
      </c>
      <c r="V657" s="15" t="s">
        <v>109</v>
      </c>
      <c r="W657" s="15" t="s">
        <v>109</v>
      </c>
      <c r="X657" s="15" t="s">
        <v>19</v>
      </c>
      <c r="Y657" s="15" t="s">
        <v>19</v>
      </c>
      <c r="Z657" s="15" t="s">
        <v>19</v>
      </c>
      <c r="AA657" s="18" t="s">
        <v>109</v>
      </c>
      <c r="AB657" s="18" t="s">
        <v>109</v>
      </c>
      <c r="AC657" s="18" t="s">
        <v>109</v>
      </c>
      <c r="AD657" s="6" t="s">
        <v>19</v>
      </c>
      <c r="AE657" s="6" t="s">
        <v>19</v>
      </c>
      <c r="AF657" s="15" t="s">
        <v>109</v>
      </c>
      <c r="AG657" s="18" t="s">
        <v>109</v>
      </c>
      <c r="AH657" s="18" t="s">
        <v>109</v>
      </c>
      <c r="AI657" s="18" t="s">
        <v>109</v>
      </c>
      <c r="AJ657" s="18" t="s">
        <v>109</v>
      </c>
      <c r="AK657" s="18" t="s">
        <v>109</v>
      </c>
      <c r="AL657" s="18" t="s">
        <v>109</v>
      </c>
      <c r="AM657" s="18" t="s">
        <v>109</v>
      </c>
      <c r="AN657" s="18" t="s">
        <v>109</v>
      </c>
      <c r="AO657" s="18" t="s">
        <v>109</v>
      </c>
      <c r="AP657" s="18" t="s">
        <v>109</v>
      </c>
      <c r="AQ657" s="18" t="s">
        <v>109</v>
      </c>
      <c r="AR657" s="18" t="s">
        <v>109</v>
      </c>
      <c r="AS657" s="18" t="s">
        <v>109</v>
      </c>
      <c r="AT657" s="18" t="s">
        <v>109</v>
      </c>
      <c r="AU657" s="18" t="s">
        <v>109</v>
      </c>
      <c r="AV657" s="36" t="s">
        <v>109</v>
      </c>
    </row>
    <row r="658" spans="1:264" ht="66" hidden="1" customHeight="1" x14ac:dyDescent="0.3">
      <c r="A658" s="15" t="s">
        <v>705</v>
      </c>
      <c r="B658" s="15" t="s">
        <v>64</v>
      </c>
      <c r="C658" s="15" t="s">
        <v>706</v>
      </c>
      <c r="D658" s="15" t="s">
        <v>32</v>
      </c>
      <c r="E658" s="15" t="s">
        <v>19</v>
      </c>
      <c r="F658" s="15" t="s">
        <v>19</v>
      </c>
      <c r="G658" s="15" t="s">
        <v>109</v>
      </c>
      <c r="H658" s="15" t="s">
        <v>109</v>
      </c>
      <c r="I658" s="18" t="s">
        <v>109</v>
      </c>
      <c r="J658" s="18" t="s">
        <v>109</v>
      </c>
      <c r="K658" s="18" t="s">
        <v>109</v>
      </c>
      <c r="L658" s="18" t="s">
        <v>109</v>
      </c>
      <c r="M658" s="15" t="s">
        <v>2988</v>
      </c>
      <c r="N658" s="15" t="s">
        <v>709</v>
      </c>
      <c r="O658" s="15"/>
      <c r="P658" s="4" t="s">
        <v>1783</v>
      </c>
      <c r="S658" s="15" t="e" cm="1">
        <f t="array" aca="1" ref="S658" ca="1">COMMONMARKETCOUNT(H658:AV658)</f>
        <v>#NAME?</v>
      </c>
      <c r="T658" s="15" t="e" cm="1">
        <f t="array" aca="1" ref="T658" ca="1">AUTOMATEDCOUNT(H658:AU658)</f>
        <v>#NAME?</v>
      </c>
      <c r="V658" s="15" t="s">
        <v>109</v>
      </c>
      <c r="W658" s="15" t="s">
        <v>109</v>
      </c>
      <c r="X658" s="15" t="s">
        <v>19</v>
      </c>
      <c r="Y658" s="15" t="s">
        <v>19</v>
      </c>
      <c r="Z658" s="15" t="s">
        <v>19</v>
      </c>
      <c r="AA658" s="18" t="s">
        <v>109</v>
      </c>
      <c r="AB658" s="18" t="s">
        <v>109</v>
      </c>
      <c r="AC658" s="18" t="s">
        <v>109</v>
      </c>
      <c r="AD658" s="18" t="s">
        <v>19</v>
      </c>
      <c r="AE658" s="18" t="s">
        <v>19</v>
      </c>
      <c r="AF658" s="18" t="s">
        <v>109</v>
      </c>
      <c r="AG658" s="18" t="s">
        <v>109</v>
      </c>
      <c r="AH658" s="18" t="s">
        <v>109</v>
      </c>
      <c r="AI658" s="18" t="s">
        <v>109</v>
      </c>
      <c r="AJ658" s="18" t="s">
        <v>109</v>
      </c>
      <c r="AK658" s="18" t="s">
        <v>109</v>
      </c>
      <c r="AL658" s="18" t="s">
        <v>109</v>
      </c>
      <c r="AM658" s="18" t="s">
        <v>109</v>
      </c>
      <c r="AN658" s="18" t="s">
        <v>109</v>
      </c>
      <c r="AO658" s="18" t="s">
        <v>109</v>
      </c>
      <c r="AP658" s="18" t="s">
        <v>109</v>
      </c>
      <c r="AQ658" s="18" t="s">
        <v>109</v>
      </c>
      <c r="AR658" s="18" t="s">
        <v>109</v>
      </c>
      <c r="AS658" s="18" t="s">
        <v>109</v>
      </c>
      <c r="AT658" s="18" t="s">
        <v>109</v>
      </c>
      <c r="AU658" s="18" t="s">
        <v>109</v>
      </c>
      <c r="AV658" s="36" t="s">
        <v>109</v>
      </c>
    </row>
    <row r="659" spans="1:264" ht="56.25" hidden="1" customHeight="1" x14ac:dyDescent="0.3">
      <c r="A659" s="15" t="s">
        <v>705</v>
      </c>
      <c r="B659" s="15" t="s">
        <v>710</v>
      </c>
      <c r="C659" s="15" t="s">
        <v>708</v>
      </c>
      <c r="D659" s="15" t="s">
        <v>32</v>
      </c>
      <c r="E659" s="15" t="s">
        <v>19</v>
      </c>
      <c r="F659" s="15" t="s">
        <v>19</v>
      </c>
      <c r="G659" s="15" t="s">
        <v>109</v>
      </c>
      <c r="H659" s="15" t="s">
        <v>109</v>
      </c>
      <c r="I659" s="18" t="s">
        <v>109</v>
      </c>
      <c r="J659" s="18" t="s">
        <v>109</v>
      </c>
      <c r="K659" s="18" t="s">
        <v>109</v>
      </c>
      <c r="L659" s="18" t="s">
        <v>109</v>
      </c>
      <c r="M659" s="15" t="s">
        <v>2989</v>
      </c>
      <c r="N659" s="15" t="s">
        <v>713</v>
      </c>
      <c r="O659" s="15"/>
      <c r="P659" s="4" t="s">
        <v>3125</v>
      </c>
      <c r="S659" s="15" t="e" cm="1">
        <f t="array" aca="1" ref="S659" ca="1">COMMONMARKETCOUNT(H659:AV659)</f>
        <v>#NAME?</v>
      </c>
      <c r="T659" s="15" t="e" cm="1">
        <f t="array" aca="1" ref="T659" ca="1">AUTOMATEDCOUNT(H659:AU659)</f>
        <v>#NAME?</v>
      </c>
      <c r="V659" s="15" t="s">
        <v>109</v>
      </c>
      <c r="W659" s="15" t="s">
        <v>109</v>
      </c>
      <c r="X659" s="15" t="s">
        <v>19</v>
      </c>
      <c r="Y659" s="15" t="s">
        <v>19</v>
      </c>
      <c r="Z659" s="15" t="s">
        <v>19</v>
      </c>
      <c r="AA659" s="18" t="s">
        <v>109</v>
      </c>
      <c r="AB659" s="18" t="s">
        <v>109</v>
      </c>
      <c r="AC659" s="18" t="s">
        <v>109</v>
      </c>
      <c r="AD659" s="18" t="s">
        <v>19</v>
      </c>
      <c r="AE659" s="18" t="s">
        <v>19</v>
      </c>
      <c r="AF659" s="18" t="s">
        <v>109</v>
      </c>
      <c r="AG659" s="18" t="s">
        <v>109</v>
      </c>
      <c r="AH659" s="18" t="s">
        <v>109</v>
      </c>
      <c r="AI659" s="18" t="s">
        <v>109</v>
      </c>
      <c r="AJ659" s="18" t="s">
        <v>109</v>
      </c>
      <c r="AK659" s="18" t="s">
        <v>109</v>
      </c>
      <c r="AL659" s="18" t="s">
        <v>109</v>
      </c>
      <c r="AM659" s="18" t="s">
        <v>109</v>
      </c>
      <c r="AN659" s="18" t="s">
        <v>109</v>
      </c>
      <c r="AO659" s="18" t="s">
        <v>109</v>
      </c>
      <c r="AP659" s="18" t="s">
        <v>19</v>
      </c>
      <c r="AQ659" s="18" t="s">
        <v>19</v>
      </c>
      <c r="AR659" s="18" t="s">
        <v>19</v>
      </c>
      <c r="AS659" s="18" t="s">
        <v>19</v>
      </c>
      <c r="AT659" s="18" t="s">
        <v>19</v>
      </c>
      <c r="AU659" s="18" t="s">
        <v>109</v>
      </c>
      <c r="AV659" s="36" t="s">
        <v>19</v>
      </c>
    </row>
    <row r="660" spans="1:264" ht="54" hidden="1" customHeight="1" x14ac:dyDescent="0.3">
      <c r="A660" s="6" t="s">
        <v>705</v>
      </c>
      <c r="B660" s="6" t="s">
        <v>1778</v>
      </c>
      <c r="C660" s="110" t="s">
        <v>2819</v>
      </c>
      <c r="D660" s="6" t="s">
        <v>32</v>
      </c>
      <c r="E660" s="6" t="s">
        <v>109</v>
      </c>
      <c r="F660" s="6" t="s">
        <v>109</v>
      </c>
      <c r="G660" s="6" t="s">
        <v>109</v>
      </c>
      <c r="H660" s="6" t="s">
        <v>109</v>
      </c>
      <c r="I660" s="6" t="s">
        <v>19</v>
      </c>
      <c r="J660" s="6" t="s">
        <v>19</v>
      </c>
      <c r="K660" s="6" t="s">
        <v>19</v>
      </c>
      <c r="L660" s="6" t="s">
        <v>19</v>
      </c>
      <c r="M660" s="15" t="s">
        <v>2820</v>
      </c>
      <c r="N660" s="105" t="s">
        <v>2821</v>
      </c>
      <c r="O660" s="4"/>
      <c r="P660" s="4">
        <v>0</v>
      </c>
      <c r="S660" s="15" t="e" cm="1">
        <f t="array" aca="1" ref="S660" ca="1">COMMONMARKETCOUNT(H660:AV660)</f>
        <v>#NAME?</v>
      </c>
      <c r="T660" s="6">
        <v>0</v>
      </c>
      <c r="V660" s="6" t="s">
        <v>109</v>
      </c>
      <c r="W660" s="6" t="s">
        <v>109</v>
      </c>
      <c r="X660" s="6" t="s">
        <v>109</v>
      </c>
      <c r="Y660" s="6" t="s">
        <v>109</v>
      </c>
      <c r="Z660" s="6" t="s">
        <v>109</v>
      </c>
      <c r="AA660" s="6" t="s">
        <v>19</v>
      </c>
      <c r="AB660" s="6" t="s">
        <v>19</v>
      </c>
      <c r="AC660" s="6" t="s">
        <v>19</v>
      </c>
      <c r="AD660" s="6" t="s">
        <v>19</v>
      </c>
      <c r="AE660" s="6" t="s">
        <v>19</v>
      </c>
      <c r="AF660" s="6" t="s">
        <v>19</v>
      </c>
      <c r="AG660" s="6" t="s">
        <v>19</v>
      </c>
      <c r="AH660" s="6" t="s">
        <v>19</v>
      </c>
      <c r="AI660" s="6" t="s">
        <v>19</v>
      </c>
      <c r="AJ660" s="6" t="s">
        <v>19</v>
      </c>
      <c r="AK660" s="6" t="s">
        <v>19</v>
      </c>
      <c r="AL660" s="6" t="s">
        <v>19</v>
      </c>
      <c r="AM660" s="6" t="s">
        <v>19</v>
      </c>
      <c r="AN660" s="6" t="s">
        <v>19</v>
      </c>
      <c r="AO660" s="6" t="s">
        <v>19</v>
      </c>
      <c r="AP660" s="3" t="s">
        <v>109</v>
      </c>
      <c r="AQ660" s="3" t="s">
        <v>109</v>
      </c>
      <c r="AR660" s="3" t="s">
        <v>109</v>
      </c>
      <c r="AS660" s="3" t="s">
        <v>109</v>
      </c>
      <c r="AT660" s="3" t="s">
        <v>109</v>
      </c>
      <c r="AU660" s="3" t="s">
        <v>109</v>
      </c>
      <c r="AV660" s="36"/>
    </row>
    <row r="661" spans="1:264" ht="87.75" hidden="1" customHeight="1" x14ac:dyDescent="0.3">
      <c r="A661" s="15" t="s">
        <v>682</v>
      </c>
      <c r="B661" s="15" t="s">
        <v>714</v>
      </c>
      <c r="C661" s="15" t="s">
        <v>711</v>
      </c>
      <c r="D661" s="15" t="s">
        <v>19</v>
      </c>
      <c r="E661" s="70" t="s">
        <v>19</v>
      </c>
      <c r="F661" s="70" t="s">
        <v>3178</v>
      </c>
      <c r="G661" s="70" t="s">
        <v>19</v>
      </c>
      <c r="H661" s="70" t="s">
        <v>3178</v>
      </c>
      <c r="I661" s="72" t="s">
        <v>19</v>
      </c>
      <c r="J661" s="120" t="s">
        <v>3192</v>
      </c>
      <c r="K661" s="72" t="s">
        <v>19</v>
      </c>
      <c r="L661" s="120" t="s">
        <v>3192</v>
      </c>
      <c r="M661" s="15" t="s">
        <v>712</v>
      </c>
      <c r="N661" s="15" t="s">
        <v>717</v>
      </c>
      <c r="O661" s="15"/>
      <c r="P661" s="4" t="s">
        <v>1784</v>
      </c>
      <c r="S661" s="15" t="e" cm="1">
        <f t="array" aca="1" ref="S661" ca="1">COMMONMARKETCOUNT(H661:AV661)</f>
        <v>#NAME?</v>
      </c>
      <c r="T661" s="15" t="e" cm="1">
        <f t="array" aca="1" ref="T661" ca="1">AUTOMATEDCOUNT(H661:AU661)</f>
        <v>#NAME?</v>
      </c>
      <c r="V661" s="70" t="s">
        <v>19</v>
      </c>
      <c r="W661" s="70" t="s">
        <v>19</v>
      </c>
      <c r="X661" s="70" t="s">
        <v>19</v>
      </c>
      <c r="Y661" s="70" t="s">
        <v>19</v>
      </c>
      <c r="Z661" s="70" t="s">
        <v>19</v>
      </c>
      <c r="AA661" s="72" t="s">
        <v>19</v>
      </c>
      <c r="AB661" s="72" t="s">
        <v>19</v>
      </c>
      <c r="AC661" s="72" t="s">
        <v>19</v>
      </c>
      <c r="AD661" s="96" t="s">
        <v>19</v>
      </c>
      <c r="AE661" s="6" t="s">
        <v>19</v>
      </c>
      <c r="AF661" s="18" t="s">
        <v>19</v>
      </c>
      <c r="AG661" s="18" t="s">
        <v>19</v>
      </c>
      <c r="AH661" s="18" t="s">
        <v>19</v>
      </c>
      <c r="AI661" s="18" t="s">
        <v>19</v>
      </c>
      <c r="AJ661" s="18" t="s">
        <v>19</v>
      </c>
      <c r="AK661" s="18" t="s">
        <v>19</v>
      </c>
      <c r="AL661" s="18" t="s">
        <v>19</v>
      </c>
      <c r="AM661" s="18" t="s">
        <v>19</v>
      </c>
      <c r="AN661" s="18" t="s">
        <v>19</v>
      </c>
      <c r="AO661" s="18" t="s">
        <v>19</v>
      </c>
      <c r="AP661" s="18" t="s">
        <v>19</v>
      </c>
      <c r="AQ661" s="18" t="s">
        <v>19</v>
      </c>
      <c r="AR661" s="18" t="s">
        <v>19</v>
      </c>
      <c r="AS661" s="70" t="s">
        <v>19</v>
      </c>
      <c r="AT661" s="72" t="s">
        <v>19</v>
      </c>
      <c r="AU661" s="18" t="s">
        <v>3153</v>
      </c>
      <c r="AV661" s="36" t="s">
        <v>19</v>
      </c>
    </row>
    <row r="662" spans="1:264" ht="64.5" hidden="1" customHeight="1" x14ac:dyDescent="0.3">
      <c r="A662" s="15" t="s">
        <v>682</v>
      </c>
      <c r="B662" s="15" t="s">
        <v>714</v>
      </c>
      <c r="C662" s="15" t="s">
        <v>715</v>
      </c>
      <c r="D662" s="15" t="s">
        <v>19</v>
      </c>
      <c r="E662" s="70" t="s">
        <v>19</v>
      </c>
      <c r="F662" s="70" t="s">
        <v>3178</v>
      </c>
      <c r="G662" s="70" t="s">
        <v>19</v>
      </c>
      <c r="H662" s="70" t="s">
        <v>3178</v>
      </c>
      <c r="I662" s="72" t="s">
        <v>19</v>
      </c>
      <c r="J662" s="120" t="s">
        <v>3192</v>
      </c>
      <c r="K662" s="72" t="s">
        <v>19</v>
      </c>
      <c r="L662" s="120" t="s">
        <v>3192</v>
      </c>
      <c r="M662" s="15" t="s">
        <v>716</v>
      </c>
      <c r="N662" s="15" t="s">
        <v>721</v>
      </c>
      <c r="O662" s="15"/>
      <c r="P662" s="4" t="s">
        <v>718</v>
      </c>
      <c r="S662" s="15" t="e" cm="1">
        <f t="array" aca="1" ref="S662" ca="1">COMMONMARKETCOUNT(H662:AV662)</f>
        <v>#NAME?</v>
      </c>
      <c r="T662" s="15" t="e" cm="1">
        <f t="array" aca="1" ref="T662" ca="1">AUTOMATEDCOUNT(H662:AU662)</f>
        <v>#NAME?</v>
      </c>
      <c r="V662" s="70" t="s">
        <v>19</v>
      </c>
      <c r="W662" s="70" t="s">
        <v>19</v>
      </c>
      <c r="X662" s="70" t="s">
        <v>19</v>
      </c>
      <c r="Y662" s="70" t="s">
        <v>19</v>
      </c>
      <c r="Z662" s="70" t="s">
        <v>19</v>
      </c>
      <c r="AA662" s="72" t="s">
        <v>19</v>
      </c>
      <c r="AB662" s="72" t="s">
        <v>19</v>
      </c>
      <c r="AC662" s="72" t="s">
        <v>19</v>
      </c>
      <c r="AD662" s="96" t="s">
        <v>19</v>
      </c>
      <c r="AE662" s="6" t="s">
        <v>19</v>
      </c>
      <c r="AF662" s="18" t="s">
        <v>19</v>
      </c>
      <c r="AG662" s="18" t="s">
        <v>19</v>
      </c>
      <c r="AH662" s="18" t="s">
        <v>19</v>
      </c>
      <c r="AI662" s="18" t="s">
        <v>19</v>
      </c>
      <c r="AJ662" s="18" t="s">
        <v>19</v>
      </c>
      <c r="AK662" s="18" t="s">
        <v>19</v>
      </c>
      <c r="AL662" s="18" t="s">
        <v>19</v>
      </c>
      <c r="AM662" s="18" t="s">
        <v>19</v>
      </c>
      <c r="AN662" s="18" t="s">
        <v>19</v>
      </c>
      <c r="AO662" s="18" t="s">
        <v>19</v>
      </c>
      <c r="AP662" s="18" t="s">
        <v>19</v>
      </c>
      <c r="AQ662" s="18" t="s">
        <v>19</v>
      </c>
      <c r="AR662" s="18" t="s">
        <v>19</v>
      </c>
      <c r="AS662" s="70" t="s">
        <v>19</v>
      </c>
      <c r="AT662" s="72" t="s">
        <v>19</v>
      </c>
      <c r="AU662" s="18" t="s">
        <v>3153</v>
      </c>
      <c r="AV662" s="36" t="s">
        <v>19</v>
      </c>
    </row>
    <row r="663" spans="1:264" ht="63" hidden="1" customHeight="1" x14ac:dyDescent="0.3">
      <c r="A663" s="15" t="s">
        <v>682</v>
      </c>
      <c r="B663" s="15" t="s">
        <v>714</v>
      </c>
      <c r="C663" s="15" t="s">
        <v>719</v>
      </c>
      <c r="D663" s="15" t="s">
        <v>19</v>
      </c>
      <c r="E663" s="70" t="s">
        <v>19</v>
      </c>
      <c r="F663" s="70" t="s">
        <v>3178</v>
      </c>
      <c r="G663" s="70" t="s">
        <v>19</v>
      </c>
      <c r="H663" s="70" t="s">
        <v>3178</v>
      </c>
      <c r="I663" s="72" t="s">
        <v>19</v>
      </c>
      <c r="J663" s="120" t="s">
        <v>3192</v>
      </c>
      <c r="K663" s="72" t="s">
        <v>19</v>
      </c>
      <c r="L663" s="120" t="s">
        <v>3192</v>
      </c>
      <c r="M663" s="15" t="s">
        <v>720</v>
      </c>
      <c r="N663" s="15" t="s">
        <v>725</v>
      </c>
      <c r="O663" s="15"/>
      <c r="P663" s="4" t="s">
        <v>722</v>
      </c>
      <c r="S663" s="15" t="e" cm="1">
        <f t="array" aca="1" ref="S663" ca="1">COMMONMARKETCOUNT(H663:AV663)</f>
        <v>#NAME?</v>
      </c>
      <c r="T663" s="15" t="e" cm="1">
        <f t="array" aca="1" ref="T663" ca="1">AUTOMATEDCOUNT(H663:AU663)</f>
        <v>#NAME?</v>
      </c>
      <c r="V663" s="70" t="s">
        <v>19</v>
      </c>
      <c r="W663" s="70" t="s">
        <v>19</v>
      </c>
      <c r="X663" s="70" t="s">
        <v>19</v>
      </c>
      <c r="Y663" s="70" t="s">
        <v>19</v>
      </c>
      <c r="Z663" s="70" t="s">
        <v>19</v>
      </c>
      <c r="AA663" s="72" t="s">
        <v>19</v>
      </c>
      <c r="AB663" s="72" t="s">
        <v>19</v>
      </c>
      <c r="AC663" s="72" t="s">
        <v>19</v>
      </c>
      <c r="AD663" s="96" t="s">
        <v>19</v>
      </c>
      <c r="AE663" s="6" t="s">
        <v>19</v>
      </c>
      <c r="AF663" s="18" t="s">
        <v>19</v>
      </c>
      <c r="AG663" s="18" t="s">
        <v>19</v>
      </c>
      <c r="AH663" s="18" t="s">
        <v>19</v>
      </c>
      <c r="AI663" s="18" t="s">
        <v>19</v>
      </c>
      <c r="AJ663" s="18" t="s">
        <v>19</v>
      </c>
      <c r="AK663" s="18" t="s">
        <v>19</v>
      </c>
      <c r="AL663" s="18" t="s">
        <v>19</v>
      </c>
      <c r="AM663" s="18" t="s">
        <v>19</v>
      </c>
      <c r="AN663" s="18" t="s">
        <v>19</v>
      </c>
      <c r="AO663" s="18" t="s">
        <v>19</v>
      </c>
      <c r="AP663" s="18" t="s">
        <v>19</v>
      </c>
      <c r="AQ663" s="18" t="s">
        <v>19</v>
      </c>
      <c r="AR663" s="18" t="s">
        <v>19</v>
      </c>
      <c r="AS663" s="70" t="s">
        <v>19</v>
      </c>
      <c r="AT663" s="72" t="s">
        <v>19</v>
      </c>
      <c r="AU663" s="18" t="s">
        <v>3153</v>
      </c>
      <c r="AV663" s="36" t="s">
        <v>19</v>
      </c>
    </row>
    <row r="664" spans="1:264" ht="75.75" hidden="1" customHeight="1" x14ac:dyDescent="0.3">
      <c r="A664" s="15" t="s">
        <v>682</v>
      </c>
      <c r="B664" s="15" t="s">
        <v>714</v>
      </c>
      <c r="C664" s="19" t="s">
        <v>723</v>
      </c>
      <c r="D664" s="15" t="s">
        <v>19</v>
      </c>
      <c r="E664" s="70" t="s">
        <v>19</v>
      </c>
      <c r="F664" s="70" t="s">
        <v>3178</v>
      </c>
      <c r="G664" s="70" t="s">
        <v>19</v>
      </c>
      <c r="H664" s="70" t="s">
        <v>3178</v>
      </c>
      <c r="I664" s="72" t="s">
        <v>19</v>
      </c>
      <c r="J664" s="120" t="s">
        <v>3192</v>
      </c>
      <c r="K664" s="72" t="s">
        <v>19</v>
      </c>
      <c r="L664" s="120" t="s">
        <v>3192</v>
      </c>
      <c r="M664" s="15" t="s">
        <v>724</v>
      </c>
      <c r="N664" s="15" t="s">
        <v>728</v>
      </c>
      <c r="O664" s="15"/>
      <c r="P664" s="4" t="s">
        <v>1582</v>
      </c>
      <c r="S664" s="15" t="e" cm="1">
        <f t="array" aca="1" ref="S664" ca="1">COMMONMARKETCOUNT(H664:AV664)</f>
        <v>#NAME?</v>
      </c>
      <c r="T664" s="15" t="e" cm="1">
        <f t="array" aca="1" ref="T664" ca="1">AUTOMATEDCOUNT(H664:AU664)</f>
        <v>#NAME?</v>
      </c>
      <c r="V664" s="70" t="s">
        <v>19</v>
      </c>
      <c r="W664" s="70" t="s">
        <v>19</v>
      </c>
      <c r="X664" s="70" t="s">
        <v>19</v>
      </c>
      <c r="Y664" s="70" t="s">
        <v>19</v>
      </c>
      <c r="Z664" s="70" t="s">
        <v>19</v>
      </c>
      <c r="AA664" s="72" t="s">
        <v>19</v>
      </c>
      <c r="AB664" s="72" t="s">
        <v>19</v>
      </c>
      <c r="AC664" s="72" t="s">
        <v>19</v>
      </c>
      <c r="AD664" s="96" t="s">
        <v>19</v>
      </c>
      <c r="AE664" s="6" t="s">
        <v>19</v>
      </c>
      <c r="AF664" s="18" t="s">
        <v>19</v>
      </c>
      <c r="AG664" s="18" t="s">
        <v>19</v>
      </c>
      <c r="AH664" s="18" t="s">
        <v>19</v>
      </c>
      <c r="AI664" s="18" t="s">
        <v>19</v>
      </c>
      <c r="AJ664" s="18" t="s">
        <v>19</v>
      </c>
      <c r="AK664" s="18" t="s">
        <v>19</v>
      </c>
      <c r="AL664" s="18" t="s">
        <v>19</v>
      </c>
      <c r="AM664" s="18" t="s">
        <v>19</v>
      </c>
      <c r="AN664" s="18" t="s">
        <v>19</v>
      </c>
      <c r="AO664" s="18" t="s">
        <v>19</v>
      </c>
      <c r="AP664" s="18" t="s">
        <v>19</v>
      </c>
      <c r="AQ664" s="18" t="s">
        <v>19</v>
      </c>
      <c r="AR664" s="18" t="s">
        <v>19</v>
      </c>
      <c r="AS664" s="70" t="s">
        <v>19</v>
      </c>
      <c r="AT664" s="72" t="s">
        <v>19</v>
      </c>
      <c r="AU664" s="18" t="s">
        <v>3153</v>
      </c>
      <c r="AV664" s="36" t="s">
        <v>19</v>
      </c>
    </row>
    <row r="665" spans="1:264" ht="40.5" hidden="1" customHeight="1" x14ac:dyDescent="0.3">
      <c r="A665" s="15" t="s">
        <v>682</v>
      </c>
      <c r="B665" s="15" t="s">
        <v>714</v>
      </c>
      <c r="C665" s="19" t="s">
        <v>726</v>
      </c>
      <c r="D665" s="15" t="s">
        <v>19</v>
      </c>
      <c r="E665" s="70" t="s">
        <v>19</v>
      </c>
      <c r="F665" s="70" t="s">
        <v>3178</v>
      </c>
      <c r="G665" s="70" t="s">
        <v>19</v>
      </c>
      <c r="H665" s="70" t="s">
        <v>3178</v>
      </c>
      <c r="I665" s="72" t="s">
        <v>19</v>
      </c>
      <c r="J665" s="120" t="s">
        <v>3192</v>
      </c>
      <c r="K665" s="72" t="s">
        <v>19</v>
      </c>
      <c r="L665" s="120" t="s">
        <v>3192</v>
      </c>
      <c r="M665" s="15" t="s">
        <v>727</v>
      </c>
      <c r="N665" s="15" t="s">
        <v>730</v>
      </c>
      <c r="O665" s="15"/>
      <c r="P665" s="4" t="s">
        <v>1583</v>
      </c>
      <c r="S665" s="15" t="e" cm="1">
        <f t="array" aca="1" ref="S665" ca="1">COMMONMARKETCOUNT(H665:AV665)</f>
        <v>#NAME?</v>
      </c>
      <c r="T665" s="15" t="e" cm="1">
        <f t="array" aca="1" ref="T665" ca="1">AUTOMATEDCOUNT(H665:AU665)</f>
        <v>#NAME?</v>
      </c>
      <c r="V665" s="70" t="s">
        <v>19</v>
      </c>
      <c r="W665" s="70" t="s">
        <v>19</v>
      </c>
      <c r="X665" s="70" t="s">
        <v>19</v>
      </c>
      <c r="Y665" s="70" t="s">
        <v>19</v>
      </c>
      <c r="Z665" s="70" t="s">
        <v>19</v>
      </c>
      <c r="AA665" s="72" t="s">
        <v>19</v>
      </c>
      <c r="AB665" s="72" t="s">
        <v>19</v>
      </c>
      <c r="AC665" s="72" t="s">
        <v>19</v>
      </c>
      <c r="AD665" s="96" t="s">
        <v>19</v>
      </c>
      <c r="AE665" s="6" t="s">
        <v>19</v>
      </c>
      <c r="AF665" s="18" t="s">
        <v>19</v>
      </c>
      <c r="AG665" s="18" t="s">
        <v>19</v>
      </c>
      <c r="AH665" s="18" t="s">
        <v>19</v>
      </c>
      <c r="AI665" s="18" t="s">
        <v>19</v>
      </c>
      <c r="AJ665" s="18" t="s">
        <v>19</v>
      </c>
      <c r="AK665" s="18" t="s">
        <v>19</v>
      </c>
      <c r="AL665" s="18" t="s">
        <v>19</v>
      </c>
      <c r="AM665" s="18" t="s">
        <v>19</v>
      </c>
      <c r="AN665" s="18" t="s">
        <v>19</v>
      </c>
      <c r="AO665" s="18" t="s">
        <v>19</v>
      </c>
      <c r="AP665" s="18" t="s">
        <v>19</v>
      </c>
      <c r="AQ665" s="18" t="s">
        <v>19</v>
      </c>
      <c r="AR665" s="18" t="s">
        <v>19</v>
      </c>
      <c r="AS665" s="70" t="s">
        <v>19</v>
      </c>
      <c r="AT665" s="72" t="s">
        <v>19</v>
      </c>
      <c r="AU665" s="18" t="s">
        <v>3153</v>
      </c>
      <c r="AV665" s="36" t="s">
        <v>19</v>
      </c>
    </row>
    <row r="666" spans="1:264" ht="114" hidden="1" customHeight="1" x14ac:dyDescent="0.3">
      <c r="A666" s="15" t="s">
        <v>682</v>
      </c>
      <c r="B666" s="15" t="s">
        <v>683</v>
      </c>
      <c r="C666" s="19" t="s">
        <v>729</v>
      </c>
      <c r="D666" s="15" t="s">
        <v>19</v>
      </c>
      <c r="E666" s="70" t="s">
        <v>19</v>
      </c>
      <c r="F666" s="20" t="s">
        <v>3190</v>
      </c>
      <c r="G666" s="70" t="s">
        <v>19</v>
      </c>
      <c r="H666" s="20" t="s">
        <v>3190</v>
      </c>
      <c r="I666" s="72" t="s">
        <v>19</v>
      </c>
      <c r="J666" s="72" t="s">
        <v>19</v>
      </c>
      <c r="K666" s="72" t="s">
        <v>19</v>
      </c>
      <c r="L666" s="72" t="s">
        <v>19</v>
      </c>
      <c r="M666" s="15" t="s">
        <v>2990</v>
      </c>
      <c r="N666" s="15" t="s">
        <v>732</v>
      </c>
      <c r="O666" s="15"/>
      <c r="P666" s="4" t="s">
        <v>1001</v>
      </c>
      <c r="S666" s="15" t="e" cm="1">
        <f t="array" aca="1" ref="S666" ca="1">COMMONMARKETCOUNT(H666:AV666)</f>
        <v>#NAME?</v>
      </c>
      <c r="T666" s="15" t="e" cm="1">
        <f t="array" aca="1" ref="T666" ca="1">AUTOMATEDCOUNT(H666:AU666)</f>
        <v>#NAME?</v>
      </c>
      <c r="V666" s="70" t="s">
        <v>19</v>
      </c>
      <c r="W666" s="70" t="s">
        <v>19</v>
      </c>
      <c r="X666" s="70" t="s">
        <v>19</v>
      </c>
      <c r="Y666" s="70" t="s">
        <v>19</v>
      </c>
      <c r="Z666" s="70" t="s">
        <v>19</v>
      </c>
      <c r="AA666" s="72" t="s">
        <v>19</v>
      </c>
      <c r="AB666" s="72" t="s">
        <v>19</v>
      </c>
      <c r="AC666" s="72" t="s">
        <v>19</v>
      </c>
      <c r="AD666" s="96" t="s">
        <v>19</v>
      </c>
      <c r="AE666" s="6" t="s">
        <v>19</v>
      </c>
      <c r="AF666" s="18" t="s">
        <v>19</v>
      </c>
      <c r="AG666" s="18" t="s">
        <v>19</v>
      </c>
      <c r="AH666" s="18" t="s">
        <v>19</v>
      </c>
      <c r="AI666" s="18" t="s">
        <v>19</v>
      </c>
      <c r="AJ666" s="18" t="s">
        <v>19</v>
      </c>
      <c r="AK666" s="18" t="s">
        <v>19</v>
      </c>
      <c r="AL666" s="18" t="s">
        <v>19</v>
      </c>
      <c r="AM666" s="18" t="s">
        <v>19</v>
      </c>
      <c r="AN666" s="18" t="s">
        <v>19</v>
      </c>
      <c r="AO666" s="18" t="s">
        <v>19</v>
      </c>
      <c r="AP666" s="18" t="s">
        <v>19</v>
      </c>
      <c r="AQ666" s="18" t="s">
        <v>19</v>
      </c>
      <c r="AR666" s="18" t="s">
        <v>19</v>
      </c>
      <c r="AS666" s="70" t="s">
        <v>19</v>
      </c>
      <c r="AT666" s="72" t="s">
        <v>19</v>
      </c>
      <c r="AU666" s="18" t="s">
        <v>3153</v>
      </c>
      <c r="AV666" s="36" t="s">
        <v>19</v>
      </c>
    </row>
    <row r="667" spans="1:264" ht="96.75" hidden="1" customHeight="1" x14ac:dyDescent="0.3">
      <c r="A667" s="15" t="s">
        <v>705</v>
      </c>
      <c r="B667" s="15" t="s">
        <v>714</v>
      </c>
      <c r="C667" s="15" t="s">
        <v>731</v>
      </c>
      <c r="D667" s="15" t="s">
        <v>19</v>
      </c>
      <c r="E667" s="15" t="s">
        <v>19</v>
      </c>
      <c r="F667" s="15" t="s">
        <v>19</v>
      </c>
      <c r="G667" s="15" t="s">
        <v>19</v>
      </c>
      <c r="H667" s="70" t="s">
        <v>3178</v>
      </c>
      <c r="I667" s="15" t="s">
        <v>19</v>
      </c>
      <c r="J667" s="15" t="s">
        <v>19</v>
      </c>
      <c r="K667" s="15" t="s">
        <v>19</v>
      </c>
      <c r="L667" s="15" t="s">
        <v>19</v>
      </c>
      <c r="M667" s="15" t="s">
        <v>2991</v>
      </c>
      <c r="N667" s="15" t="s">
        <v>735</v>
      </c>
      <c r="O667" s="33" t="s">
        <v>1645</v>
      </c>
      <c r="P667" s="4" t="s">
        <v>3126</v>
      </c>
      <c r="S667" s="15" t="e" cm="1">
        <f t="array" aca="1" ref="S667" ca="1">COMMONMARKETCOUNT(H667:AV667)</f>
        <v>#NAME?</v>
      </c>
      <c r="T667" s="15" t="e" cm="1">
        <f t="array" aca="1" ref="T667" ca="1">AUTOMATEDCOUNT(H667:AU667)</f>
        <v>#NAME?</v>
      </c>
      <c r="V667" s="15" t="s">
        <v>19</v>
      </c>
      <c r="W667" s="15" t="s">
        <v>19</v>
      </c>
      <c r="X667" s="15" t="s">
        <v>19</v>
      </c>
      <c r="Y667" s="15" t="s">
        <v>19</v>
      </c>
      <c r="Z667" s="15" t="s">
        <v>19</v>
      </c>
      <c r="AA667" s="15" t="s">
        <v>19</v>
      </c>
      <c r="AB667" s="15" t="s">
        <v>19</v>
      </c>
      <c r="AC667" s="15" t="s">
        <v>19</v>
      </c>
      <c r="AD667" s="18" t="s">
        <v>19</v>
      </c>
      <c r="AE667" s="18" t="s">
        <v>19</v>
      </c>
      <c r="AF667" s="15" t="s">
        <v>19</v>
      </c>
      <c r="AG667" s="15" t="s">
        <v>19</v>
      </c>
      <c r="AH667" s="15" t="s">
        <v>19</v>
      </c>
      <c r="AI667" s="15" t="s">
        <v>19</v>
      </c>
      <c r="AJ667" s="15" t="s">
        <v>19</v>
      </c>
      <c r="AK667" s="15" t="s">
        <v>19</v>
      </c>
      <c r="AL667" s="15" t="s">
        <v>19</v>
      </c>
      <c r="AM667" s="15" t="s">
        <v>19</v>
      </c>
      <c r="AN667" s="15" t="s">
        <v>19</v>
      </c>
      <c r="AO667" s="15" t="s">
        <v>19</v>
      </c>
      <c r="AP667" s="15" t="s">
        <v>19</v>
      </c>
      <c r="AQ667" s="15" t="s">
        <v>19</v>
      </c>
      <c r="AR667" s="15" t="s">
        <v>19</v>
      </c>
      <c r="AS667" s="15" t="s">
        <v>19</v>
      </c>
      <c r="AT667" s="15" t="s">
        <v>19</v>
      </c>
      <c r="AU667" s="15" t="s">
        <v>3153</v>
      </c>
      <c r="AV667" s="36" t="s">
        <v>19</v>
      </c>
      <c r="AW667" s="5"/>
      <c r="AX667" s="5"/>
      <c r="AY667" s="5"/>
      <c r="AZ667" s="5"/>
      <c r="BA667" s="5"/>
      <c r="BB667" s="5"/>
      <c r="BC667" s="5"/>
      <c r="BD667" s="5"/>
      <c r="BE667" s="5"/>
      <c r="BF667" s="5"/>
      <c r="BG667" s="5"/>
      <c r="BH667" s="5"/>
      <c r="BI667" s="5"/>
      <c r="BJ667" s="5"/>
      <c r="BK667" s="5"/>
      <c r="BL667" s="5"/>
      <c r="BM667" s="5"/>
      <c r="BN667" s="5"/>
      <c r="BO667" s="5"/>
      <c r="BP667" s="5"/>
      <c r="BQ667" s="5"/>
      <c r="BR667" s="5"/>
      <c r="BS667" s="5"/>
      <c r="BT667" s="5"/>
      <c r="BU667" s="5"/>
      <c r="BV667" s="5"/>
      <c r="BW667" s="5"/>
      <c r="BX667" s="5"/>
      <c r="BY667" s="5"/>
      <c r="BZ667" s="5"/>
      <c r="CA667" s="5"/>
      <c r="CB667" s="5"/>
      <c r="CC667" s="5"/>
      <c r="CD667" s="5"/>
      <c r="CE667" s="5"/>
      <c r="CF667" s="5"/>
      <c r="CG667" s="5"/>
      <c r="CH667" s="5"/>
      <c r="CI667" s="5"/>
      <c r="CJ667" s="5"/>
      <c r="CK667" s="5"/>
      <c r="CL667" s="5"/>
      <c r="CM667" s="5"/>
      <c r="CN667" s="5"/>
      <c r="CO667" s="5"/>
      <c r="CP667" s="5"/>
      <c r="CQ667" s="5"/>
      <c r="CR667" s="5"/>
      <c r="CS667" s="5"/>
      <c r="CT667" s="5"/>
      <c r="CU667" s="5"/>
      <c r="CV667" s="5"/>
      <c r="CW667" s="5"/>
      <c r="CX667" s="5"/>
      <c r="CY667" s="5"/>
      <c r="CZ667" s="5"/>
      <c r="DA667" s="5"/>
      <c r="DB667" s="5"/>
      <c r="DC667" s="5"/>
      <c r="DD667" s="5"/>
      <c r="DE667" s="5"/>
      <c r="DF667" s="5"/>
      <c r="DG667" s="5"/>
      <c r="DH667" s="5"/>
      <c r="DI667" s="5"/>
      <c r="DJ667" s="5"/>
      <c r="DK667" s="5"/>
      <c r="DL667" s="5"/>
      <c r="DM667" s="5"/>
      <c r="DN667" s="5"/>
      <c r="DO667" s="5"/>
      <c r="DP667" s="5"/>
      <c r="DQ667" s="5"/>
      <c r="DR667" s="5"/>
      <c r="DS667" s="5"/>
      <c r="DT667" s="5"/>
      <c r="DU667" s="5"/>
      <c r="DV667" s="5"/>
      <c r="DW667" s="5"/>
      <c r="DX667" s="5"/>
      <c r="DY667" s="5"/>
      <c r="DZ667" s="5"/>
      <c r="EA667" s="5"/>
      <c r="EB667" s="5"/>
      <c r="EC667" s="5"/>
      <c r="ED667" s="5"/>
      <c r="EE667" s="5"/>
      <c r="EF667" s="5"/>
      <c r="EG667" s="5"/>
      <c r="EH667" s="5"/>
      <c r="EI667" s="5"/>
      <c r="EJ667" s="5"/>
      <c r="EK667" s="5"/>
      <c r="EL667" s="5"/>
      <c r="EM667" s="5"/>
      <c r="EN667" s="5"/>
      <c r="EO667" s="5"/>
      <c r="EP667" s="5"/>
      <c r="EQ667" s="5"/>
      <c r="ER667" s="5"/>
      <c r="ES667" s="5"/>
      <c r="ET667" s="5"/>
      <c r="EU667" s="5"/>
      <c r="EV667" s="5"/>
      <c r="EW667" s="5"/>
      <c r="EX667" s="5"/>
      <c r="EY667" s="5"/>
      <c r="EZ667" s="5"/>
      <c r="FA667" s="5"/>
      <c r="FB667" s="5"/>
      <c r="FC667" s="5"/>
      <c r="FD667" s="5"/>
      <c r="FE667" s="5"/>
      <c r="FF667" s="5"/>
      <c r="FG667" s="5"/>
      <c r="FH667" s="5"/>
      <c r="FI667" s="5"/>
      <c r="FJ667" s="5"/>
      <c r="FK667" s="5"/>
      <c r="FL667" s="5"/>
      <c r="FM667" s="5"/>
      <c r="FN667" s="5"/>
      <c r="FO667" s="5"/>
      <c r="FP667" s="5"/>
      <c r="FQ667" s="5"/>
      <c r="FR667" s="5"/>
      <c r="FS667" s="5"/>
      <c r="FT667" s="5"/>
      <c r="FU667" s="5"/>
      <c r="FV667" s="5"/>
      <c r="FW667" s="5"/>
      <c r="FX667" s="5"/>
      <c r="FY667" s="5"/>
      <c r="FZ667" s="5"/>
      <c r="GA667" s="5"/>
      <c r="GB667" s="5"/>
      <c r="GC667" s="5"/>
      <c r="GD667" s="5"/>
      <c r="GE667" s="5"/>
      <c r="GF667" s="5"/>
      <c r="GG667" s="5"/>
      <c r="GH667" s="5"/>
      <c r="GI667" s="5"/>
      <c r="GJ667" s="5"/>
      <c r="GK667" s="5"/>
      <c r="GL667" s="5"/>
      <c r="GM667" s="5"/>
      <c r="GN667" s="5"/>
      <c r="GO667" s="5"/>
      <c r="GP667" s="5"/>
      <c r="GQ667" s="5"/>
      <c r="GR667" s="5"/>
      <c r="GS667" s="5"/>
      <c r="GT667" s="5"/>
      <c r="GU667" s="5"/>
      <c r="GV667" s="5"/>
      <c r="GW667" s="5"/>
      <c r="GX667" s="5"/>
      <c r="GY667" s="5"/>
      <c r="GZ667" s="5"/>
      <c r="HA667" s="5"/>
      <c r="HB667" s="5"/>
      <c r="HC667" s="5"/>
      <c r="HD667" s="5"/>
      <c r="HE667" s="5"/>
      <c r="HF667" s="5"/>
      <c r="HG667" s="5"/>
      <c r="HH667" s="5"/>
      <c r="HI667" s="5"/>
      <c r="HJ667" s="5"/>
      <c r="HK667" s="5"/>
      <c r="HL667" s="5"/>
      <c r="HM667" s="5"/>
      <c r="HN667" s="5"/>
      <c r="HO667" s="5"/>
      <c r="HP667" s="5"/>
      <c r="HQ667" s="5"/>
      <c r="HR667" s="5"/>
      <c r="HS667" s="5"/>
      <c r="HT667" s="5"/>
      <c r="HU667" s="5"/>
      <c r="HV667" s="5"/>
      <c r="HW667" s="5"/>
      <c r="HX667" s="5"/>
      <c r="HY667" s="5"/>
      <c r="HZ667" s="5"/>
      <c r="IA667" s="5"/>
      <c r="IB667" s="5"/>
      <c r="IC667" s="5"/>
      <c r="ID667" s="5"/>
      <c r="IE667" s="5"/>
      <c r="IF667" s="5"/>
      <c r="IG667" s="5"/>
      <c r="IH667" s="5"/>
      <c r="II667" s="5"/>
      <c r="IJ667" s="5"/>
      <c r="IK667" s="5"/>
      <c r="IL667" s="5"/>
      <c r="IM667" s="5"/>
      <c r="IN667" s="5"/>
      <c r="IO667" s="5"/>
      <c r="IP667" s="5"/>
      <c r="IQ667" s="5"/>
      <c r="IR667" s="5"/>
      <c r="IS667" s="5"/>
      <c r="IT667" s="5"/>
      <c r="IU667" s="5"/>
      <c r="IV667" s="5"/>
      <c r="IW667" s="5"/>
      <c r="IX667" s="5"/>
      <c r="IY667" s="5"/>
      <c r="IZ667" s="5"/>
      <c r="JA667" s="5"/>
      <c r="JB667" s="5"/>
      <c r="JC667" s="5"/>
      <c r="JD667" s="5"/>
    </row>
    <row r="668" spans="1:264" ht="75" customHeight="1" x14ac:dyDescent="0.3">
      <c r="A668" s="15" t="s">
        <v>682</v>
      </c>
      <c r="B668" s="15" t="s">
        <v>55</v>
      </c>
      <c r="C668" s="19" t="s">
        <v>734</v>
      </c>
      <c r="D668" s="15" t="s">
        <v>19</v>
      </c>
      <c r="E668" s="70" t="s">
        <v>19</v>
      </c>
      <c r="F668" s="70" t="s">
        <v>19</v>
      </c>
      <c r="G668" s="70" t="s">
        <v>19</v>
      </c>
      <c r="H668" s="70" t="s">
        <v>19</v>
      </c>
      <c r="I668" s="72" t="s">
        <v>19</v>
      </c>
      <c r="J668" s="72" t="s">
        <v>19</v>
      </c>
      <c r="K668" s="72" t="s">
        <v>19</v>
      </c>
      <c r="L668" s="72" t="s">
        <v>19</v>
      </c>
      <c r="M668" s="15" t="s">
        <v>2992</v>
      </c>
      <c r="N668" s="15" t="s">
        <v>906</v>
      </c>
      <c r="O668" s="15"/>
      <c r="P668" s="4" t="s">
        <v>1785</v>
      </c>
      <c r="S668" s="15" t="e" cm="1">
        <f t="array" aca="1" ref="S668" ca="1">COMMONMARKETCOUNT(H668:AV668)</f>
        <v>#NAME?</v>
      </c>
      <c r="T668" s="15" t="e" cm="1">
        <f t="array" aca="1" ref="T668" ca="1">AUTOMATEDCOUNT(H668:AU668)</f>
        <v>#NAME?</v>
      </c>
      <c r="V668" s="70" t="s">
        <v>19</v>
      </c>
      <c r="W668" s="70" t="s">
        <v>19</v>
      </c>
      <c r="X668" s="70" t="s">
        <v>19</v>
      </c>
      <c r="Y668" s="70" t="s">
        <v>19</v>
      </c>
      <c r="Z668" s="70" t="s">
        <v>19</v>
      </c>
      <c r="AA668" s="72" t="s">
        <v>19</v>
      </c>
      <c r="AB668" s="72" t="s">
        <v>19</v>
      </c>
      <c r="AC668" s="72" t="s">
        <v>19</v>
      </c>
      <c r="AD668" s="96" t="s">
        <v>19</v>
      </c>
      <c r="AE668" s="6" t="s">
        <v>19</v>
      </c>
      <c r="AF668" s="18" t="s">
        <v>19</v>
      </c>
      <c r="AG668" s="18" t="s">
        <v>19</v>
      </c>
      <c r="AH668" s="18" t="s">
        <v>19</v>
      </c>
      <c r="AI668" s="18" t="s">
        <v>19</v>
      </c>
      <c r="AJ668" s="18" t="s">
        <v>19</v>
      </c>
      <c r="AK668" s="18" t="s">
        <v>19</v>
      </c>
      <c r="AL668" s="18" t="s">
        <v>19</v>
      </c>
      <c r="AM668" s="18" t="s">
        <v>19</v>
      </c>
      <c r="AN668" s="18" t="s">
        <v>19</v>
      </c>
      <c r="AO668" s="18" t="s">
        <v>19</v>
      </c>
      <c r="AP668" s="18" t="s">
        <v>19</v>
      </c>
      <c r="AQ668" s="18" t="s">
        <v>19</v>
      </c>
      <c r="AR668" s="18" t="s">
        <v>19</v>
      </c>
      <c r="AS668" s="70" t="s">
        <v>19</v>
      </c>
      <c r="AT668" s="72" t="s">
        <v>19</v>
      </c>
      <c r="AU668" s="18" t="s">
        <v>3153</v>
      </c>
      <c r="AV668" s="36" t="s">
        <v>19</v>
      </c>
    </row>
    <row r="669" spans="1:264" ht="96.75" hidden="1" customHeight="1" x14ac:dyDescent="0.3">
      <c r="A669" s="15" t="s">
        <v>705</v>
      </c>
      <c r="B669" s="15" t="s">
        <v>1307</v>
      </c>
      <c r="C669" s="15" t="s">
        <v>1901</v>
      </c>
      <c r="D669" s="15" t="s">
        <v>32</v>
      </c>
      <c r="E669" s="15" t="s">
        <v>19</v>
      </c>
      <c r="F669" s="15" t="s">
        <v>19</v>
      </c>
      <c r="G669" s="15" t="s">
        <v>19</v>
      </c>
      <c r="H669" s="15" t="s">
        <v>19</v>
      </c>
      <c r="I669" s="15" t="s">
        <v>19</v>
      </c>
      <c r="J669" s="15" t="s">
        <v>19</v>
      </c>
      <c r="K669" s="15" t="s">
        <v>19</v>
      </c>
      <c r="L669" s="15" t="s">
        <v>19</v>
      </c>
      <c r="M669" s="15" t="s">
        <v>940</v>
      </c>
      <c r="N669" s="15" t="s">
        <v>737</v>
      </c>
      <c r="O669" s="33" t="s">
        <v>1645</v>
      </c>
      <c r="P669" s="4" t="s">
        <v>3127</v>
      </c>
      <c r="S669" s="15" t="e" cm="1">
        <f t="array" aca="1" ref="S669" ca="1">COMMONMARKETCOUNT(H669:AV669)</f>
        <v>#NAME?</v>
      </c>
      <c r="T669" s="15" t="e" cm="1">
        <f t="array" aca="1" ref="T669" ca="1">AUTOMATEDCOUNT(H669:AU669)</f>
        <v>#NAME?</v>
      </c>
      <c r="V669" s="15" t="s">
        <v>19</v>
      </c>
      <c r="W669" s="15" t="s">
        <v>19</v>
      </c>
      <c r="X669" s="15" t="s">
        <v>19</v>
      </c>
      <c r="Y669" s="15" t="s">
        <v>19</v>
      </c>
      <c r="Z669" s="15" t="s">
        <v>19</v>
      </c>
      <c r="AA669" s="15" t="s">
        <v>19</v>
      </c>
      <c r="AB669" s="15" t="s">
        <v>19</v>
      </c>
      <c r="AC669" s="15" t="s">
        <v>19</v>
      </c>
      <c r="AD669" s="18" t="s">
        <v>19</v>
      </c>
      <c r="AE669" s="18" t="s">
        <v>19</v>
      </c>
      <c r="AF669" s="15" t="s">
        <v>19</v>
      </c>
      <c r="AG669" s="15" t="s">
        <v>19</v>
      </c>
      <c r="AH669" s="15" t="s">
        <v>19</v>
      </c>
      <c r="AI669" s="15" t="s">
        <v>19</v>
      </c>
      <c r="AJ669" s="15" t="s">
        <v>19</v>
      </c>
      <c r="AK669" s="15" t="s">
        <v>19</v>
      </c>
      <c r="AL669" s="15" t="s">
        <v>19</v>
      </c>
      <c r="AM669" s="15" t="s">
        <v>19</v>
      </c>
      <c r="AN669" s="15" t="s">
        <v>19</v>
      </c>
      <c r="AO669" s="15" t="s">
        <v>19</v>
      </c>
      <c r="AP669" s="15" t="s">
        <v>19</v>
      </c>
      <c r="AQ669" s="15" t="s">
        <v>19</v>
      </c>
      <c r="AR669" s="15" t="s">
        <v>19</v>
      </c>
      <c r="AS669" s="15" t="s">
        <v>19</v>
      </c>
      <c r="AT669" s="15" t="s">
        <v>19</v>
      </c>
      <c r="AU669" s="15" t="s">
        <v>3153</v>
      </c>
      <c r="AV669" s="36" t="s">
        <v>19</v>
      </c>
    </row>
    <row r="670" spans="1:264" ht="96.75" customHeight="1" x14ac:dyDescent="0.3">
      <c r="A670" s="15" t="s">
        <v>682</v>
      </c>
      <c r="B670" s="15" t="s">
        <v>55</v>
      </c>
      <c r="C670" s="103" t="s">
        <v>1902</v>
      </c>
      <c r="D670" s="15" t="s">
        <v>19</v>
      </c>
      <c r="E670" s="70" t="s">
        <v>19</v>
      </c>
      <c r="F670" s="70" t="s">
        <v>19</v>
      </c>
      <c r="G670" s="70" t="s">
        <v>19</v>
      </c>
      <c r="H670" s="70" t="s">
        <v>19</v>
      </c>
      <c r="I670" s="70" t="s">
        <v>19</v>
      </c>
      <c r="J670" s="70" t="s">
        <v>19</v>
      </c>
      <c r="K670" s="70" t="s">
        <v>19</v>
      </c>
      <c r="L670" s="70" t="s">
        <v>19</v>
      </c>
      <c r="M670" s="15" t="s">
        <v>2993</v>
      </c>
      <c r="N670" s="15" t="s">
        <v>906</v>
      </c>
      <c r="O670" s="15"/>
      <c r="P670" s="4" t="s">
        <v>733</v>
      </c>
      <c r="S670" s="15" t="e" cm="1">
        <f t="array" aca="1" ref="S670" ca="1">COMMONMARKETCOUNT(H670:AV670)</f>
        <v>#NAME?</v>
      </c>
      <c r="T670" s="15" t="e" cm="1">
        <f t="array" aca="1" ref="T670" ca="1">AUTOMATEDCOUNT(H670:AU670)</f>
        <v>#NAME?</v>
      </c>
      <c r="V670" s="70" t="s">
        <v>19</v>
      </c>
      <c r="W670" s="70" t="s">
        <v>19</v>
      </c>
      <c r="X670" s="70" t="s">
        <v>19</v>
      </c>
      <c r="Y670" s="70" t="s">
        <v>19</v>
      </c>
      <c r="Z670" s="70" t="s">
        <v>19</v>
      </c>
      <c r="AA670" s="70" t="s">
        <v>19</v>
      </c>
      <c r="AB670" s="70" t="s">
        <v>19</v>
      </c>
      <c r="AC670" s="70" t="s">
        <v>19</v>
      </c>
      <c r="AD670" s="72" t="s">
        <v>19</v>
      </c>
      <c r="AE670" s="72" t="s">
        <v>19</v>
      </c>
      <c r="AF670" s="18" t="s">
        <v>19</v>
      </c>
      <c r="AG670" s="18" t="s">
        <v>19</v>
      </c>
      <c r="AH670" s="18" t="s">
        <v>19</v>
      </c>
      <c r="AI670" s="18" t="s">
        <v>19</v>
      </c>
      <c r="AJ670" s="18" t="s">
        <v>19</v>
      </c>
      <c r="AK670" s="18" t="s">
        <v>19</v>
      </c>
      <c r="AL670" s="18" t="s">
        <v>19</v>
      </c>
      <c r="AM670" s="18" t="s">
        <v>19</v>
      </c>
      <c r="AN670" s="18" t="s">
        <v>19</v>
      </c>
      <c r="AO670" s="18" t="s">
        <v>19</v>
      </c>
      <c r="AP670" s="18" t="s">
        <v>19</v>
      </c>
      <c r="AQ670" s="18" t="s">
        <v>19</v>
      </c>
      <c r="AR670" s="18" t="s">
        <v>19</v>
      </c>
      <c r="AS670" s="18" t="s">
        <v>19</v>
      </c>
      <c r="AT670" s="18" t="s">
        <v>19</v>
      </c>
      <c r="AU670" s="18" t="s">
        <v>3153</v>
      </c>
      <c r="AV670" s="36" t="s">
        <v>19</v>
      </c>
    </row>
    <row r="671" spans="1:264" ht="60.75" hidden="1" customHeight="1" x14ac:dyDescent="0.3">
      <c r="A671" s="15" t="s">
        <v>682</v>
      </c>
      <c r="B671" s="15" t="s">
        <v>714</v>
      </c>
      <c r="C671" s="15" t="s">
        <v>736</v>
      </c>
      <c r="D671" s="15" t="s">
        <v>19</v>
      </c>
      <c r="E671" s="70" t="s">
        <v>19</v>
      </c>
      <c r="F671" s="70" t="s">
        <v>3178</v>
      </c>
      <c r="G671" s="70" t="s">
        <v>19</v>
      </c>
      <c r="H671" s="70" t="s">
        <v>3178</v>
      </c>
      <c r="I671" s="72" t="s">
        <v>19</v>
      </c>
      <c r="J671" s="120" t="s">
        <v>3192</v>
      </c>
      <c r="K671" s="72" t="s">
        <v>19</v>
      </c>
      <c r="L671" s="120" t="s">
        <v>3192</v>
      </c>
      <c r="M671" s="15" t="s">
        <v>2994</v>
      </c>
      <c r="N671" s="15" t="s">
        <v>739</v>
      </c>
      <c r="O671" s="15"/>
      <c r="P671" s="4" t="s">
        <v>2254</v>
      </c>
      <c r="S671" s="15" t="e" cm="1">
        <f t="array" aca="1" ref="S671" ca="1">COMMONMARKETCOUNT(H671:AV671)</f>
        <v>#NAME?</v>
      </c>
      <c r="T671" s="15" t="e" cm="1">
        <f t="array" aca="1" ref="T671" ca="1">AUTOMATEDCOUNT(H671:AU671)</f>
        <v>#NAME?</v>
      </c>
      <c r="V671" s="70" t="s">
        <v>19</v>
      </c>
      <c r="W671" s="70" t="s">
        <v>19</v>
      </c>
      <c r="X671" s="70" t="s">
        <v>19</v>
      </c>
      <c r="Y671" s="70" t="s">
        <v>19</v>
      </c>
      <c r="Z671" s="70" t="s">
        <v>19</v>
      </c>
      <c r="AA671" s="72" t="s">
        <v>19</v>
      </c>
      <c r="AB671" s="72" t="s">
        <v>19</v>
      </c>
      <c r="AC671" s="72" t="s">
        <v>19</v>
      </c>
      <c r="AD671" s="72" t="s">
        <v>19</v>
      </c>
      <c r="AE671" s="18" t="s">
        <v>19</v>
      </c>
      <c r="AF671" s="18" t="s">
        <v>19</v>
      </c>
      <c r="AG671" s="18" t="s">
        <v>19</v>
      </c>
      <c r="AH671" s="18" t="s">
        <v>19</v>
      </c>
      <c r="AI671" s="18" t="s">
        <v>19</v>
      </c>
      <c r="AJ671" s="18" t="s">
        <v>19</v>
      </c>
      <c r="AK671" s="18" t="s">
        <v>19</v>
      </c>
      <c r="AL671" s="18" t="s">
        <v>19</v>
      </c>
      <c r="AM671" s="18" t="s">
        <v>19</v>
      </c>
      <c r="AN671" s="18" t="s">
        <v>19</v>
      </c>
      <c r="AO671" s="18" t="s">
        <v>19</v>
      </c>
      <c r="AP671" s="18" t="s">
        <v>19</v>
      </c>
      <c r="AQ671" s="18" t="s">
        <v>19</v>
      </c>
      <c r="AR671" s="18" t="s">
        <v>19</v>
      </c>
      <c r="AS671" s="70" t="s">
        <v>19</v>
      </c>
      <c r="AT671" s="72" t="s">
        <v>19</v>
      </c>
      <c r="AU671" s="18" t="s">
        <v>3153</v>
      </c>
      <c r="AV671" s="36" t="s">
        <v>19</v>
      </c>
    </row>
    <row r="672" spans="1:264" ht="48.75" hidden="1" customHeight="1" x14ac:dyDescent="0.3">
      <c r="A672" s="15" t="s">
        <v>682</v>
      </c>
      <c r="B672" s="15" t="s">
        <v>714</v>
      </c>
      <c r="C672" s="15" t="s">
        <v>738</v>
      </c>
      <c r="D672" s="15" t="s">
        <v>19</v>
      </c>
      <c r="E672" s="70" t="s">
        <v>19</v>
      </c>
      <c r="F672" s="70" t="s">
        <v>3178</v>
      </c>
      <c r="G672" s="70" t="s">
        <v>19</v>
      </c>
      <c r="H672" s="70" t="s">
        <v>3178</v>
      </c>
      <c r="I672" s="72" t="s">
        <v>19</v>
      </c>
      <c r="J672" s="120" t="s">
        <v>3192</v>
      </c>
      <c r="K672" s="72" t="s">
        <v>19</v>
      </c>
      <c r="L672" s="120" t="s">
        <v>3192</v>
      </c>
      <c r="M672" s="15" t="s">
        <v>2995</v>
      </c>
      <c r="N672" s="15" t="s">
        <v>741</v>
      </c>
      <c r="O672" s="15"/>
      <c r="P672" s="4" t="s">
        <v>924</v>
      </c>
      <c r="S672" s="15" t="e" cm="1">
        <f t="array" aca="1" ref="S672" ca="1">COMMONMARKETCOUNT(H672:AV672)</f>
        <v>#NAME?</v>
      </c>
      <c r="T672" s="15" t="e" cm="1">
        <f t="array" aca="1" ref="T672" ca="1">AUTOMATEDCOUNT(H672:AU672)</f>
        <v>#NAME?</v>
      </c>
      <c r="V672" s="70" t="s">
        <v>19</v>
      </c>
      <c r="W672" s="70" t="s">
        <v>19</v>
      </c>
      <c r="X672" s="70" t="s">
        <v>19</v>
      </c>
      <c r="Y672" s="70" t="s">
        <v>19</v>
      </c>
      <c r="Z672" s="70" t="s">
        <v>19</v>
      </c>
      <c r="AA672" s="72" t="s">
        <v>19</v>
      </c>
      <c r="AB672" s="72" t="s">
        <v>19</v>
      </c>
      <c r="AC672" s="72" t="s">
        <v>19</v>
      </c>
      <c r="AD672" s="72" t="s">
        <v>19</v>
      </c>
      <c r="AE672" s="18" t="s">
        <v>19</v>
      </c>
      <c r="AF672" s="18" t="s">
        <v>19</v>
      </c>
      <c r="AG672" s="18" t="s">
        <v>19</v>
      </c>
      <c r="AH672" s="18" t="s">
        <v>19</v>
      </c>
      <c r="AI672" s="18" t="s">
        <v>19</v>
      </c>
      <c r="AJ672" s="18" t="s">
        <v>19</v>
      </c>
      <c r="AK672" s="18" t="s">
        <v>19</v>
      </c>
      <c r="AL672" s="18" t="s">
        <v>19</v>
      </c>
      <c r="AM672" s="18" t="s">
        <v>19</v>
      </c>
      <c r="AN672" s="18" t="s">
        <v>19</v>
      </c>
      <c r="AO672" s="18" t="s">
        <v>19</v>
      </c>
      <c r="AP672" s="18" t="s">
        <v>19</v>
      </c>
      <c r="AQ672" s="18" t="s">
        <v>19</v>
      </c>
      <c r="AR672" s="18" t="s">
        <v>19</v>
      </c>
      <c r="AS672" s="70" t="s">
        <v>19</v>
      </c>
      <c r="AT672" s="72" t="s">
        <v>19</v>
      </c>
      <c r="AU672" s="18" t="s">
        <v>3153</v>
      </c>
      <c r="AV672" s="36" t="s">
        <v>19</v>
      </c>
    </row>
    <row r="673" spans="1:48" ht="81" customHeight="1" x14ac:dyDescent="0.3">
      <c r="A673" s="15" t="s">
        <v>682</v>
      </c>
      <c r="B673" s="15" t="s">
        <v>683</v>
      </c>
      <c r="C673" s="15" t="s">
        <v>740</v>
      </c>
      <c r="D673" s="15" t="s">
        <v>19</v>
      </c>
      <c r="E673" s="70" t="s">
        <v>19</v>
      </c>
      <c r="F673" s="70" t="s">
        <v>19</v>
      </c>
      <c r="G673" s="70" t="s">
        <v>19</v>
      </c>
      <c r="H673" s="70" t="s">
        <v>19</v>
      </c>
      <c r="I673" s="72" t="s">
        <v>19</v>
      </c>
      <c r="J673" s="72" t="s">
        <v>19</v>
      </c>
      <c r="K673" s="72" t="s">
        <v>19</v>
      </c>
      <c r="L673" s="72" t="s">
        <v>19</v>
      </c>
      <c r="M673" s="15" t="s">
        <v>2996</v>
      </c>
      <c r="N673" s="15" t="s">
        <v>744</v>
      </c>
      <c r="O673" s="15"/>
      <c r="P673" s="4" t="s">
        <v>742</v>
      </c>
      <c r="S673" s="15" t="e" cm="1">
        <f t="array" aca="1" ref="S673" ca="1">COMMONMARKETCOUNT(H673:AV673)</f>
        <v>#NAME?</v>
      </c>
      <c r="T673" s="15" t="e" cm="1">
        <f t="array" aca="1" ref="T673" ca="1">AUTOMATEDCOUNT(H673:AU673)</f>
        <v>#NAME?</v>
      </c>
      <c r="V673" s="70" t="s">
        <v>19</v>
      </c>
      <c r="W673" s="70" t="s">
        <v>19</v>
      </c>
      <c r="X673" s="70" t="s">
        <v>19</v>
      </c>
      <c r="Y673" s="70" t="s">
        <v>19</v>
      </c>
      <c r="Z673" s="70" t="s">
        <v>19</v>
      </c>
      <c r="AA673" s="72" t="s">
        <v>19</v>
      </c>
      <c r="AB673" s="72" t="s">
        <v>19</v>
      </c>
      <c r="AC673" s="72" t="s">
        <v>19</v>
      </c>
      <c r="AD673" s="96" t="s">
        <v>19</v>
      </c>
      <c r="AE673" s="6" t="s">
        <v>19</v>
      </c>
      <c r="AF673" s="18" t="s">
        <v>19</v>
      </c>
      <c r="AG673" s="18" t="s">
        <v>19</v>
      </c>
      <c r="AH673" s="18" t="s">
        <v>19</v>
      </c>
      <c r="AI673" s="18" t="s">
        <v>19</v>
      </c>
      <c r="AJ673" s="18" t="s">
        <v>19</v>
      </c>
      <c r="AK673" s="18" t="s">
        <v>19</v>
      </c>
      <c r="AL673" s="18" t="s">
        <v>19</v>
      </c>
      <c r="AM673" s="18" t="s">
        <v>19</v>
      </c>
      <c r="AN673" s="18" t="s">
        <v>19</v>
      </c>
      <c r="AO673" s="18" t="s">
        <v>19</v>
      </c>
      <c r="AP673" s="18" t="s">
        <v>19</v>
      </c>
      <c r="AQ673" s="18" t="s">
        <v>19</v>
      </c>
      <c r="AR673" s="18" t="s">
        <v>19</v>
      </c>
      <c r="AS673" s="70" t="s">
        <v>19</v>
      </c>
      <c r="AT673" s="72" t="s">
        <v>19</v>
      </c>
      <c r="AU673" s="18" t="s">
        <v>3153</v>
      </c>
      <c r="AV673" s="36" t="s">
        <v>19</v>
      </c>
    </row>
    <row r="674" spans="1:48" ht="85.5" customHeight="1" x14ac:dyDescent="0.3">
      <c r="A674" s="15" t="s">
        <v>682</v>
      </c>
      <c r="B674" s="15" t="s">
        <v>1778</v>
      </c>
      <c r="C674" s="15" t="s">
        <v>743</v>
      </c>
      <c r="D674" s="15" t="s">
        <v>19</v>
      </c>
      <c r="E674" s="70" t="s">
        <v>19</v>
      </c>
      <c r="F674" s="70" t="s">
        <v>19</v>
      </c>
      <c r="G674" s="70" t="s">
        <v>19</v>
      </c>
      <c r="H674" s="70" t="s">
        <v>19</v>
      </c>
      <c r="I674" s="72" t="s">
        <v>19</v>
      </c>
      <c r="J674" s="72" t="s">
        <v>19</v>
      </c>
      <c r="K674" s="72" t="s">
        <v>19</v>
      </c>
      <c r="L674" s="72" t="s">
        <v>19</v>
      </c>
      <c r="M674" s="15" t="s">
        <v>2997</v>
      </c>
      <c r="N674" s="15" t="s">
        <v>746</v>
      </c>
      <c r="O674" s="15"/>
      <c r="P674" s="4" t="s">
        <v>1584</v>
      </c>
      <c r="S674" s="15" t="e" cm="1">
        <f t="array" aca="1" ref="S674" ca="1">COMMONMARKETCOUNT(H674:AV674)</f>
        <v>#NAME?</v>
      </c>
      <c r="T674" s="15" t="e" cm="1">
        <f t="array" aca="1" ref="T674" ca="1">AUTOMATEDCOUNT(H674:AU674)</f>
        <v>#NAME?</v>
      </c>
      <c r="V674" s="70" t="s">
        <v>19</v>
      </c>
      <c r="W674" s="70" t="s">
        <v>19</v>
      </c>
      <c r="X674" s="70" t="s">
        <v>19</v>
      </c>
      <c r="Y674" s="70" t="s">
        <v>19</v>
      </c>
      <c r="Z674" s="70" t="s">
        <v>19</v>
      </c>
      <c r="AA674" s="72" t="s">
        <v>19</v>
      </c>
      <c r="AB674" s="72" t="s">
        <v>19</v>
      </c>
      <c r="AC674" s="72" t="s">
        <v>19</v>
      </c>
      <c r="AD674" s="96" t="s">
        <v>19</v>
      </c>
      <c r="AE674" s="6" t="s">
        <v>19</v>
      </c>
      <c r="AF674" s="18" t="s">
        <v>19</v>
      </c>
      <c r="AG674" s="18" t="s">
        <v>19</v>
      </c>
      <c r="AH674" s="18" t="s">
        <v>19</v>
      </c>
      <c r="AI674" s="18" t="s">
        <v>19</v>
      </c>
      <c r="AJ674" s="18" t="s">
        <v>19</v>
      </c>
      <c r="AK674" s="18" t="s">
        <v>19</v>
      </c>
      <c r="AL674" s="18" t="s">
        <v>19</v>
      </c>
      <c r="AM674" s="18" t="s">
        <v>19</v>
      </c>
      <c r="AN674" s="18" t="s">
        <v>19</v>
      </c>
      <c r="AO674" s="18" t="s">
        <v>19</v>
      </c>
      <c r="AP674" s="18" t="s">
        <v>19</v>
      </c>
      <c r="AQ674" s="18" t="s">
        <v>19</v>
      </c>
      <c r="AR674" s="18" t="s">
        <v>19</v>
      </c>
      <c r="AS674" s="70" t="s">
        <v>19</v>
      </c>
      <c r="AT674" s="72" t="s">
        <v>19</v>
      </c>
      <c r="AU674" s="18" t="s">
        <v>3153</v>
      </c>
      <c r="AV674" s="36" t="s">
        <v>19</v>
      </c>
    </row>
    <row r="675" spans="1:48" ht="78" customHeight="1" x14ac:dyDescent="0.3">
      <c r="A675" s="15" t="s">
        <v>682</v>
      </c>
      <c r="B675" s="15" t="s">
        <v>1778</v>
      </c>
      <c r="C675" s="15" t="s">
        <v>745</v>
      </c>
      <c r="D675" s="15" t="s">
        <v>19</v>
      </c>
      <c r="E675" s="70" t="s">
        <v>19</v>
      </c>
      <c r="F675" s="70" t="s">
        <v>19</v>
      </c>
      <c r="G675" s="70" t="s">
        <v>19</v>
      </c>
      <c r="H675" s="70" t="s">
        <v>19</v>
      </c>
      <c r="I675" s="72" t="s">
        <v>19</v>
      </c>
      <c r="J675" s="72" t="s">
        <v>19</v>
      </c>
      <c r="K675" s="72" t="s">
        <v>19</v>
      </c>
      <c r="L675" s="72" t="s">
        <v>19</v>
      </c>
      <c r="M675" s="15" t="s">
        <v>2998</v>
      </c>
      <c r="N675" s="15" t="s">
        <v>749</v>
      </c>
      <c r="O675" s="15"/>
      <c r="P675" s="4" t="s">
        <v>747</v>
      </c>
      <c r="S675" s="15" t="e" cm="1">
        <f t="array" aca="1" ref="S675" ca="1">COMMONMARKETCOUNT(H675:AV675)</f>
        <v>#NAME?</v>
      </c>
      <c r="T675" s="15" t="e" cm="1">
        <f t="array" aca="1" ref="T675" ca="1">AUTOMATEDCOUNT(H675:AU675)</f>
        <v>#NAME?</v>
      </c>
      <c r="V675" s="70" t="s">
        <v>19</v>
      </c>
      <c r="W675" s="70" t="s">
        <v>19</v>
      </c>
      <c r="X675" s="70" t="s">
        <v>19</v>
      </c>
      <c r="Y675" s="70" t="s">
        <v>19</v>
      </c>
      <c r="Z675" s="70" t="s">
        <v>19</v>
      </c>
      <c r="AA675" s="72" t="s">
        <v>19</v>
      </c>
      <c r="AB675" s="72" t="s">
        <v>19</v>
      </c>
      <c r="AC675" s="72" t="s">
        <v>19</v>
      </c>
      <c r="AD675" s="72" t="s">
        <v>19</v>
      </c>
      <c r="AE675" s="18" t="s">
        <v>19</v>
      </c>
      <c r="AF675" s="18" t="s">
        <v>19</v>
      </c>
      <c r="AG675" s="18" t="s">
        <v>19</v>
      </c>
      <c r="AH675" s="18" t="s">
        <v>19</v>
      </c>
      <c r="AI675" s="18" t="s">
        <v>19</v>
      </c>
      <c r="AJ675" s="18" t="s">
        <v>19</v>
      </c>
      <c r="AK675" s="18" t="s">
        <v>19</v>
      </c>
      <c r="AL675" s="18" t="s">
        <v>19</v>
      </c>
      <c r="AM675" s="18" t="s">
        <v>19</v>
      </c>
      <c r="AN675" s="18" t="s">
        <v>19</v>
      </c>
      <c r="AO675" s="18" t="s">
        <v>19</v>
      </c>
      <c r="AP675" s="18" t="s">
        <v>19</v>
      </c>
      <c r="AQ675" s="18" t="s">
        <v>19</v>
      </c>
      <c r="AR675" s="18" t="s">
        <v>19</v>
      </c>
      <c r="AS675" s="70" t="s">
        <v>19</v>
      </c>
      <c r="AT675" s="72" t="s">
        <v>19</v>
      </c>
      <c r="AU675" s="18" t="s">
        <v>3153</v>
      </c>
      <c r="AV675" s="36" t="s">
        <v>19</v>
      </c>
    </row>
    <row r="676" spans="1:48" ht="108.75" customHeight="1" x14ac:dyDescent="0.3">
      <c r="A676" s="15" t="s">
        <v>682</v>
      </c>
      <c r="B676" s="15" t="s">
        <v>1778</v>
      </c>
      <c r="C676" s="15" t="s">
        <v>748</v>
      </c>
      <c r="D676" s="15" t="s">
        <v>19</v>
      </c>
      <c r="E676" s="70" t="s">
        <v>19</v>
      </c>
      <c r="F676" s="70" t="s">
        <v>19</v>
      </c>
      <c r="G676" s="70" t="s">
        <v>19</v>
      </c>
      <c r="H676" s="70" t="s">
        <v>19</v>
      </c>
      <c r="I676" s="72" t="s">
        <v>19</v>
      </c>
      <c r="J676" s="72" t="s">
        <v>19</v>
      </c>
      <c r="K676" s="72" t="s">
        <v>19</v>
      </c>
      <c r="L676" s="72" t="s">
        <v>19</v>
      </c>
      <c r="M676" s="15" t="s">
        <v>2999</v>
      </c>
      <c r="N676" s="15" t="s">
        <v>752</v>
      </c>
      <c r="O676" s="15"/>
      <c r="P676" s="4" t="s">
        <v>750</v>
      </c>
      <c r="S676" s="15" t="e" cm="1">
        <f t="array" aca="1" ref="S676" ca="1">COMMONMARKETCOUNT(H676:AV676)</f>
        <v>#NAME?</v>
      </c>
      <c r="T676" s="15" t="e" cm="1">
        <f t="array" aca="1" ref="T676" ca="1">AUTOMATEDCOUNT(H676:AU676)</f>
        <v>#NAME?</v>
      </c>
      <c r="V676" s="70" t="s">
        <v>19</v>
      </c>
      <c r="W676" s="70" t="s">
        <v>19</v>
      </c>
      <c r="X676" s="70" t="s">
        <v>19</v>
      </c>
      <c r="Y676" s="70" t="s">
        <v>19</v>
      </c>
      <c r="Z676" s="70" t="s">
        <v>19</v>
      </c>
      <c r="AA676" s="72" t="s">
        <v>19</v>
      </c>
      <c r="AB676" s="72" t="s">
        <v>19</v>
      </c>
      <c r="AC676" s="72" t="s">
        <v>19</v>
      </c>
      <c r="AD676" s="70" t="s">
        <v>19</v>
      </c>
      <c r="AE676" s="15" t="s">
        <v>19</v>
      </c>
      <c r="AF676" s="18" t="s">
        <v>19</v>
      </c>
      <c r="AG676" s="18" t="s">
        <v>19</v>
      </c>
      <c r="AH676" s="18" t="s">
        <v>19</v>
      </c>
      <c r="AI676" s="18" t="s">
        <v>19</v>
      </c>
      <c r="AJ676" s="18" t="s">
        <v>19</v>
      </c>
      <c r="AK676" s="18" t="s">
        <v>19</v>
      </c>
      <c r="AL676" s="18" t="s">
        <v>19</v>
      </c>
      <c r="AM676" s="18" t="s">
        <v>19</v>
      </c>
      <c r="AN676" s="18" t="s">
        <v>19</v>
      </c>
      <c r="AO676" s="18" t="s">
        <v>19</v>
      </c>
      <c r="AP676" s="18" t="s">
        <v>19</v>
      </c>
      <c r="AQ676" s="18" t="s">
        <v>19</v>
      </c>
      <c r="AR676" s="18" t="s">
        <v>19</v>
      </c>
      <c r="AS676" s="70" t="s">
        <v>19</v>
      </c>
      <c r="AT676" s="72" t="s">
        <v>19</v>
      </c>
      <c r="AU676" s="18" t="s">
        <v>3153</v>
      </c>
      <c r="AV676" s="36" t="s">
        <v>19</v>
      </c>
    </row>
    <row r="677" spans="1:48" ht="67.5" customHeight="1" x14ac:dyDescent="0.3">
      <c r="A677" s="15" t="s">
        <v>682</v>
      </c>
      <c r="B677" s="15" t="s">
        <v>1778</v>
      </c>
      <c r="C677" s="15" t="s">
        <v>751</v>
      </c>
      <c r="D677" s="15" t="s">
        <v>19</v>
      </c>
      <c r="E677" s="70" t="s">
        <v>19</v>
      </c>
      <c r="F677" s="70" t="s">
        <v>19</v>
      </c>
      <c r="G677" s="70" t="s">
        <v>19</v>
      </c>
      <c r="H677" s="70" t="s">
        <v>3186</v>
      </c>
      <c r="I677" s="72" t="s">
        <v>19</v>
      </c>
      <c r="J677" s="72" t="s">
        <v>19</v>
      </c>
      <c r="K677" s="72" t="s">
        <v>19</v>
      </c>
      <c r="L677" s="72" t="s">
        <v>19</v>
      </c>
      <c r="M677" s="15" t="s">
        <v>3000</v>
      </c>
      <c r="N677" s="15" t="s">
        <v>754</v>
      </c>
      <c r="O677" s="15"/>
      <c r="P677" s="4" t="s">
        <v>987</v>
      </c>
      <c r="S677" s="15" t="e" cm="1">
        <f t="array" aca="1" ref="S677" ca="1">COMMONMARKETCOUNT(H677:AV677)</f>
        <v>#NAME?</v>
      </c>
      <c r="T677" s="15" t="e" cm="1">
        <f t="array" aca="1" ref="T677" ca="1">AUTOMATEDCOUNT(H677:AU677)</f>
        <v>#NAME?</v>
      </c>
      <c r="V677" s="70" t="s">
        <v>19</v>
      </c>
      <c r="W677" s="70" t="s">
        <v>19</v>
      </c>
      <c r="X677" s="70" t="s">
        <v>19</v>
      </c>
      <c r="Y677" s="70" t="s">
        <v>19</v>
      </c>
      <c r="Z677" s="70" t="s">
        <v>19</v>
      </c>
      <c r="AA677" s="72" t="s">
        <v>19</v>
      </c>
      <c r="AB677" s="72" t="s">
        <v>19</v>
      </c>
      <c r="AC677" s="72" t="s">
        <v>19</v>
      </c>
      <c r="AD677" s="96" t="s">
        <v>19</v>
      </c>
      <c r="AE677" s="6" t="s">
        <v>19</v>
      </c>
      <c r="AF677" s="18" t="s">
        <v>19</v>
      </c>
      <c r="AG677" s="18" t="s">
        <v>19</v>
      </c>
      <c r="AH677" s="18" t="s">
        <v>19</v>
      </c>
      <c r="AI677" s="18" t="s">
        <v>19</v>
      </c>
      <c r="AJ677" s="18" t="s">
        <v>19</v>
      </c>
      <c r="AK677" s="18" t="s">
        <v>19</v>
      </c>
      <c r="AL677" s="18" t="s">
        <v>19</v>
      </c>
      <c r="AM677" s="18" t="s">
        <v>19</v>
      </c>
      <c r="AN677" s="18" t="s">
        <v>19</v>
      </c>
      <c r="AO677" s="18" t="s">
        <v>19</v>
      </c>
      <c r="AP677" s="18" t="s">
        <v>19</v>
      </c>
      <c r="AQ677" s="18" t="s">
        <v>19</v>
      </c>
      <c r="AR677" s="18" t="s">
        <v>19</v>
      </c>
      <c r="AS677" s="70" t="s">
        <v>19</v>
      </c>
      <c r="AT677" s="72" t="s">
        <v>19</v>
      </c>
      <c r="AU677" s="18" t="s">
        <v>3153</v>
      </c>
      <c r="AV677" s="36" t="s">
        <v>19</v>
      </c>
    </row>
    <row r="678" spans="1:48" ht="79.5" customHeight="1" x14ac:dyDescent="0.3">
      <c r="A678" s="15" t="s">
        <v>682</v>
      </c>
      <c r="B678" s="15" t="s">
        <v>1778</v>
      </c>
      <c r="C678" s="15" t="s">
        <v>753</v>
      </c>
      <c r="D678" s="15" t="s">
        <v>19</v>
      </c>
      <c r="E678" s="70" t="s">
        <v>19</v>
      </c>
      <c r="F678" s="70" t="s">
        <v>19</v>
      </c>
      <c r="G678" s="70" t="s">
        <v>19</v>
      </c>
      <c r="H678" s="70" t="s">
        <v>3186</v>
      </c>
      <c r="I678" s="72" t="s">
        <v>19</v>
      </c>
      <c r="J678" s="72" t="s">
        <v>19</v>
      </c>
      <c r="K678" s="72" t="s">
        <v>19</v>
      </c>
      <c r="L678" s="72" t="s">
        <v>19</v>
      </c>
      <c r="M678" s="15" t="s">
        <v>3001</v>
      </c>
      <c r="N678" s="15" t="s">
        <v>756</v>
      </c>
      <c r="O678" s="15"/>
      <c r="P678" s="4" t="s">
        <v>1786</v>
      </c>
      <c r="S678" s="15" t="e" cm="1">
        <f t="array" aca="1" ref="S678" ca="1">COMMONMARKETCOUNT(H678:AV678)</f>
        <v>#NAME?</v>
      </c>
      <c r="T678" s="15" t="e" cm="1">
        <f t="array" aca="1" ref="T678" ca="1">AUTOMATEDCOUNT(H678:AU678)</f>
        <v>#NAME?</v>
      </c>
      <c r="V678" s="70" t="s">
        <v>19</v>
      </c>
      <c r="W678" s="70" t="s">
        <v>19</v>
      </c>
      <c r="X678" s="70" t="s">
        <v>19</v>
      </c>
      <c r="Y678" s="70" t="s">
        <v>19</v>
      </c>
      <c r="Z678" s="70" t="s">
        <v>19</v>
      </c>
      <c r="AA678" s="72" t="s">
        <v>19</v>
      </c>
      <c r="AB678" s="72" t="s">
        <v>19</v>
      </c>
      <c r="AC678" s="72" t="s">
        <v>19</v>
      </c>
      <c r="AD678" s="72" t="s">
        <v>19</v>
      </c>
      <c r="AE678" s="18" t="s">
        <v>19</v>
      </c>
      <c r="AF678" s="18" t="s">
        <v>19</v>
      </c>
      <c r="AG678" s="18" t="s">
        <v>19</v>
      </c>
      <c r="AH678" s="18" t="s">
        <v>19</v>
      </c>
      <c r="AI678" s="18" t="s">
        <v>19</v>
      </c>
      <c r="AJ678" s="18" t="s">
        <v>19</v>
      </c>
      <c r="AK678" s="18" t="s">
        <v>19</v>
      </c>
      <c r="AL678" s="18" t="s">
        <v>19</v>
      </c>
      <c r="AM678" s="18" t="s">
        <v>19</v>
      </c>
      <c r="AN678" s="18" t="s">
        <v>19</v>
      </c>
      <c r="AO678" s="18" t="s">
        <v>19</v>
      </c>
      <c r="AP678" s="18" t="s">
        <v>19</v>
      </c>
      <c r="AQ678" s="18" t="s">
        <v>19</v>
      </c>
      <c r="AR678" s="18" t="s">
        <v>19</v>
      </c>
      <c r="AS678" s="70" t="s">
        <v>19</v>
      </c>
      <c r="AT678" s="72" t="s">
        <v>19</v>
      </c>
      <c r="AU678" s="18" t="s">
        <v>3153</v>
      </c>
      <c r="AV678" s="36" t="s">
        <v>19</v>
      </c>
    </row>
    <row r="679" spans="1:48" ht="114" customHeight="1" x14ac:dyDescent="0.3">
      <c r="A679" s="15" t="s">
        <v>682</v>
      </c>
      <c r="B679" s="15" t="s">
        <v>1778</v>
      </c>
      <c r="C679" s="15" t="s">
        <v>755</v>
      </c>
      <c r="D679" s="15" t="s">
        <v>19</v>
      </c>
      <c r="E679" s="70" t="s">
        <v>19</v>
      </c>
      <c r="F679" s="70" t="s">
        <v>19</v>
      </c>
      <c r="G679" s="70" t="s">
        <v>19</v>
      </c>
      <c r="H679" s="70" t="s">
        <v>3186</v>
      </c>
      <c r="I679" s="72" t="s">
        <v>19</v>
      </c>
      <c r="J679" s="72" t="s">
        <v>19</v>
      </c>
      <c r="K679" s="72" t="s">
        <v>19</v>
      </c>
      <c r="L679" s="72" t="s">
        <v>19</v>
      </c>
      <c r="M679" s="15" t="s">
        <v>3002</v>
      </c>
      <c r="N679" s="15" t="s">
        <v>758</v>
      </c>
      <c r="O679" s="15"/>
      <c r="P679" s="4" t="s">
        <v>988</v>
      </c>
      <c r="S679" s="15" t="e" cm="1">
        <f t="array" aca="1" ref="S679" ca="1">COMMONMARKETCOUNT(H679:AV679)</f>
        <v>#NAME?</v>
      </c>
      <c r="T679" s="15" t="e" cm="1">
        <f t="array" aca="1" ref="T679" ca="1">AUTOMATEDCOUNT(H679:AU679)</f>
        <v>#NAME?</v>
      </c>
      <c r="V679" s="70" t="s">
        <v>19</v>
      </c>
      <c r="W679" s="70" t="s">
        <v>19</v>
      </c>
      <c r="X679" s="70" t="s">
        <v>19</v>
      </c>
      <c r="Y679" s="70" t="s">
        <v>19</v>
      </c>
      <c r="Z679" s="70" t="s">
        <v>19</v>
      </c>
      <c r="AA679" s="72" t="s">
        <v>19</v>
      </c>
      <c r="AB679" s="72" t="s">
        <v>19</v>
      </c>
      <c r="AC679" s="72" t="s">
        <v>19</v>
      </c>
      <c r="AD679" s="72" t="s">
        <v>19</v>
      </c>
      <c r="AE679" s="18" t="s">
        <v>19</v>
      </c>
      <c r="AF679" s="18" t="s">
        <v>19</v>
      </c>
      <c r="AG679" s="18" t="s">
        <v>19</v>
      </c>
      <c r="AH679" s="18" t="s">
        <v>19</v>
      </c>
      <c r="AI679" s="18" t="s">
        <v>19</v>
      </c>
      <c r="AJ679" s="18" t="s">
        <v>19</v>
      </c>
      <c r="AK679" s="18" t="s">
        <v>19</v>
      </c>
      <c r="AL679" s="18" t="s">
        <v>19</v>
      </c>
      <c r="AM679" s="18" t="s">
        <v>19</v>
      </c>
      <c r="AN679" s="18" t="s">
        <v>19</v>
      </c>
      <c r="AO679" s="18" t="s">
        <v>19</v>
      </c>
      <c r="AP679" s="18" t="s">
        <v>19</v>
      </c>
      <c r="AQ679" s="18" t="s">
        <v>19</v>
      </c>
      <c r="AR679" s="18" t="s">
        <v>19</v>
      </c>
      <c r="AS679" s="70" t="s">
        <v>19</v>
      </c>
      <c r="AT679" s="72" t="s">
        <v>19</v>
      </c>
      <c r="AU679" s="18" t="s">
        <v>3153</v>
      </c>
      <c r="AV679" s="36" t="s">
        <v>19</v>
      </c>
    </row>
    <row r="680" spans="1:48" ht="80.25" customHeight="1" x14ac:dyDescent="0.3">
      <c r="A680" s="15" t="s">
        <v>682</v>
      </c>
      <c r="B680" s="15" t="s">
        <v>1780</v>
      </c>
      <c r="C680" s="15" t="s">
        <v>757</v>
      </c>
      <c r="D680" s="15" t="s">
        <v>19</v>
      </c>
      <c r="E680" s="70" t="s">
        <v>19</v>
      </c>
      <c r="F680" s="70" t="s">
        <v>19</v>
      </c>
      <c r="G680" s="70" t="s">
        <v>19</v>
      </c>
      <c r="H680" s="70" t="s">
        <v>3186</v>
      </c>
      <c r="I680" s="72" t="s">
        <v>19</v>
      </c>
      <c r="J680" s="72" t="s">
        <v>19</v>
      </c>
      <c r="K680" s="72" t="s">
        <v>19</v>
      </c>
      <c r="L680" s="72" t="s">
        <v>19</v>
      </c>
      <c r="M680" s="15" t="s">
        <v>1787</v>
      </c>
      <c r="N680" s="15" t="s">
        <v>761</v>
      </c>
      <c r="O680" s="15"/>
      <c r="P680" s="4" t="s">
        <v>989</v>
      </c>
      <c r="S680" s="15" t="e" cm="1">
        <f t="array" aca="1" ref="S680" ca="1">COMMONMARKETCOUNT(H680:AV680)</f>
        <v>#NAME?</v>
      </c>
      <c r="T680" s="15" t="e" cm="1">
        <f t="array" aca="1" ref="T680" ca="1">AUTOMATEDCOUNT(H680:AU680)</f>
        <v>#NAME?</v>
      </c>
      <c r="V680" s="70" t="s">
        <v>19</v>
      </c>
      <c r="W680" s="70" t="s">
        <v>19</v>
      </c>
      <c r="X680" s="70" t="s">
        <v>19</v>
      </c>
      <c r="Y680" s="70" t="s">
        <v>19</v>
      </c>
      <c r="Z680" s="70" t="s">
        <v>19</v>
      </c>
      <c r="AA680" s="72" t="s">
        <v>19</v>
      </c>
      <c r="AB680" s="72" t="s">
        <v>19</v>
      </c>
      <c r="AC680" s="72" t="s">
        <v>19</v>
      </c>
      <c r="AD680" s="72" t="s">
        <v>19</v>
      </c>
      <c r="AE680" s="18" t="s">
        <v>19</v>
      </c>
      <c r="AF680" s="18" t="s">
        <v>19</v>
      </c>
      <c r="AG680" s="18" t="s">
        <v>19</v>
      </c>
      <c r="AH680" s="18" t="s">
        <v>19</v>
      </c>
      <c r="AI680" s="18" t="s">
        <v>19</v>
      </c>
      <c r="AJ680" s="18" t="s">
        <v>19</v>
      </c>
      <c r="AK680" s="18" t="s">
        <v>19</v>
      </c>
      <c r="AL680" s="18" t="s">
        <v>19</v>
      </c>
      <c r="AM680" s="18" t="s">
        <v>19</v>
      </c>
      <c r="AN680" s="18" t="s">
        <v>19</v>
      </c>
      <c r="AO680" s="18" t="s">
        <v>19</v>
      </c>
      <c r="AP680" s="18" t="s">
        <v>19</v>
      </c>
      <c r="AQ680" s="18" t="s">
        <v>19</v>
      </c>
      <c r="AR680" s="18" t="s">
        <v>19</v>
      </c>
      <c r="AS680" s="70" t="s">
        <v>19</v>
      </c>
      <c r="AT680" s="72" t="s">
        <v>19</v>
      </c>
      <c r="AU680" s="18" t="s">
        <v>3153</v>
      </c>
      <c r="AV680" s="36" t="s">
        <v>19</v>
      </c>
    </row>
    <row r="681" spans="1:48" ht="78" customHeight="1" x14ac:dyDescent="0.3">
      <c r="A681" s="15" t="s">
        <v>682</v>
      </c>
      <c r="B681" s="15" t="s">
        <v>1780</v>
      </c>
      <c r="C681" s="15" t="s">
        <v>759</v>
      </c>
      <c r="D681" s="15" t="s">
        <v>19</v>
      </c>
      <c r="E681" s="70" t="s">
        <v>19</v>
      </c>
      <c r="F681" s="70" t="s">
        <v>19</v>
      </c>
      <c r="G681" s="70" t="s">
        <v>19</v>
      </c>
      <c r="H681" s="70" t="s">
        <v>3186</v>
      </c>
      <c r="I681" s="72" t="s">
        <v>19</v>
      </c>
      <c r="J681" s="72" t="s">
        <v>19</v>
      </c>
      <c r="K681" s="72" t="s">
        <v>19</v>
      </c>
      <c r="L681" s="72" t="s">
        <v>19</v>
      </c>
      <c r="M681" s="15" t="s">
        <v>760</v>
      </c>
      <c r="N681" s="15" t="s">
        <v>764</v>
      </c>
      <c r="O681" s="15"/>
      <c r="P681" s="4" t="s">
        <v>990</v>
      </c>
      <c r="S681" s="15" t="e" cm="1">
        <f t="array" aca="1" ref="S681" ca="1">COMMONMARKETCOUNT(H681:AV681)</f>
        <v>#NAME?</v>
      </c>
      <c r="T681" s="15" t="e" cm="1">
        <f t="array" aca="1" ref="T681" ca="1">AUTOMATEDCOUNT(H681:AU681)</f>
        <v>#NAME?</v>
      </c>
      <c r="V681" s="70" t="s">
        <v>19</v>
      </c>
      <c r="W681" s="70" t="s">
        <v>19</v>
      </c>
      <c r="X681" s="70" t="s">
        <v>19</v>
      </c>
      <c r="Y681" s="70" t="s">
        <v>19</v>
      </c>
      <c r="Z681" s="70" t="s">
        <v>19</v>
      </c>
      <c r="AA681" s="72" t="s">
        <v>19</v>
      </c>
      <c r="AB681" s="72" t="s">
        <v>19</v>
      </c>
      <c r="AC681" s="72" t="s">
        <v>19</v>
      </c>
      <c r="AD681" s="72" t="s">
        <v>19</v>
      </c>
      <c r="AE681" s="18" t="s">
        <v>19</v>
      </c>
      <c r="AF681" s="18" t="s">
        <v>19</v>
      </c>
      <c r="AG681" s="18" t="s">
        <v>19</v>
      </c>
      <c r="AH681" s="18" t="s">
        <v>19</v>
      </c>
      <c r="AI681" s="18" t="s">
        <v>19</v>
      </c>
      <c r="AJ681" s="18" t="s">
        <v>19</v>
      </c>
      <c r="AK681" s="18" t="s">
        <v>19</v>
      </c>
      <c r="AL681" s="18" t="s">
        <v>19</v>
      </c>
      <c r="AM681" s="18" t="s">
        <v>19</v>
      </c>
      <c r="AN681" s="18" t="s">
        <v>19</v>
      </c>
      <c r="AO681" s="18" t="s">
        <v>19</v>
      </c>
      <c r="AP681" s="18" t="s">
        <v>19</v>
      </c>
      <c r="AQ681" s="18" t="s">
        <v>19</v>
      </c>
      <c r="AR681" s="18" t="s">
        <v>19</v>
      </c>
      <c r="AS681" s="70" t="s">
        <v>19</v>
      </c>
      <c r="AT681" s="72" t="s">
        <v>19</v>
      </c>
      <c r="AU681" s="18" t="s">
        <v>3153</v>
      </c>
      <c r="AV681" s="36" t="s">
        <v>19</v>
      </c>
    </row>
    <row r="682" spans="1:48" ht="75.75" customHeight="1" x14ac:dyDescent="0.3">
      <c r="A682" s="15" t="s">
        <v>682</v>
      </c>
      <c r="B682" s="15" t="s">
        <v>1780</v>
      </c>
      <c r="C682" s="15" t="s">
        <v>763</v>
      </c>
      <c r="D682" s="15" t="s">
        <v>19</v>
      </c>
      <c r="E682" s="70" t="s">
        <v>19</v>
      </c>
      <c r="F682" s="70" t="s">
        <v>19</v>
      </c>
      <c r="G682" s="70" t="s">
        <v>19</v>
      </c>
      <c r="H682" s="70" t="s">
        <v>3186</v>
      </c>
      <c r="I682" s="72" t="s">
        <v>19</v>
      </c>
      <c r="J682" s="72" t="s">
        <v>19</v>
      </c>
      <c r="K682" s="72" t="s">
        <v>19</v>
      </c>
      <c r="L682" s="72" t="s">
        <v>19</v>
      </c>
      <c r="M682" s="15" t="s">
        <v>762</v>
      </c>
      <c r="N682" s="15" t="s">
        <v>766</v>
      </c>
      <c r="O682" s="15"/>
      <c r="P682" s="4" t="s">
        <v>991</v>
      </c>
      <c r="S682" s="15" t="e" cm="1">
        <f t="array" aca="1" ref="S682" ca="1">COMMONMARKETCOUNT(H682:AV682)</f>
        <v>#NAME?</v>
      </c>
      <c r="T682" s="15" t="e" cm="1">
        <f t="array" aca="1" ref="T682" ca="1">AUTOMATEDCOUNT(H682:AU682)</f>
        <v>#NAME?</v>
      </c>
      <c r="V682" s="70" t="s">
        <v>19</v>
      </c>
      <c r="W682" s="70" t="s">
        <v>19</v>
      </c>
      <c r="X682" s="70" t="s">
        <v>19</v>
      </c>
      <c r="Y682" s="70" t="s">
        <v>19</v>
      </c>
      <c r="Z682" s="70" t="s">
        <v>19</v>
      </c>
      <c r="AA682" s="72" t="s">
        <v>19</v>
      </c>
      <c r="AB682" s="72" t="s">
        <v>19</v>
      </c>
      <c r="AC682" s="72" t="s">
        <v>19</v>
      </c>
      <c r="AD682" s="72" t="s">
        <v>19</v>
      </c>
      <c r="AE682" s="18" t="s">
        <v>19</v>
      </c>
      <c r="AF682" s="18" t="s">
        <v>19</v>
      </c>
      <c r="AG682" s="18" t="s">
        <v>19</v>
      </c>
      <c r="AH682" s="18" t="s">
        <v>19</v>
      </c>
      <c r="AI682" s="18" t="s">
        <v>19</v>
      </c>
      <c r="AJ682" s="18" t="s">
        <v>19</v>
      </c>
      <c r="AK682" s="18" t="s">
        <v>19</v>
      </c>
      <c r="AL682" s="18" t="s">
        <v>19</v>
      </c>
      <c r="AM682" s="18" t="s">
        <v>19</v>
      </c>
      <c r="AN682" s="18" t="s">
        <v>19</v>
      </c>
      <c r="AO682" s="18" t="s">
        <v>19</v>
      </c>
      <c r="AP682" s="18" t="s">
        <v>19</v>
      </c>
      <c r="AQ682" s="18" t="s">
        <v>19</v>
      </c>
      <c r="AR682" s="18" t="s">
        <v>19</v>
      </c>
      <c r="AS682" s="70" t="s">
        <v>19</v>
      </c>
      <c r="AT682" s="72" t="s">
        <v>19</v>
      </c>
      <c r="AU682" s="18" t="s">
        <v>3153</v>
      </c>
      <c r="AV682" s="36" t="s">
        <v>19</v>
      </c>
    </row>
    <row r="683" spans="1:48" ht="47.25" customHeight="1" x14ac:dyDescent="0.3">
      <c r="A683" s="15" t="s">
        <v>682</v>
      </c>
      <c r="B683" s="15" t="s">
        <v>1780</v>
      </c>
      <c r="C683" s="15" t="s">
        <v>765</v>
      </c>
      <c r="D683" s="15" t="s">
        <v>19</v>
      </c>
      <c r="E683" s="70" t="s">
        <v>19</v>
      </c>
      <c r="F683" s="70" t="s">
        <v>19</v>
      </c>
      <c r="G683" s="70" t="s">
        <v>19</v>
      </c>
      <c r="H683" s="70" t="s">
        <v>3186</v>
      </c>
      <c r="I683" s="72" t="s">
        <v>19</v>
      </c>
      <c r="J683" s="72" t="s">
        <v>19</v>
      </c>
      <c r="K683" s="72" t="s">
        <v>19</v>
      </c>
      <c r="L683" s="72" t="s">
        <v>19</v>
      </c>
      <c r="M683" s="15" t="s">
        <v>3003</v>
      </c>
      <c r="N683" s="15" t="s">
        <v>768</v>
      </c>
      <c r="O683" s="15"/>
      <c r="P683" s="4" t="s">
        <v>992</v>
      </c>
      <c r="S683" s="15" t="e" cm="1">
        <f t="array" aca="1" ref="S683" ca="1">COMMONMARKETCOUNT(H683:AV683)</f>
        <v>#NAME?</v>
      </c>
      <c r="T683" s="15" t="e" cm="1">
        <f t="array" aca="1" ref="T683" ca="1">AUTOMATEDCOUNT(H683:AU683)</f>
        <v>#NAME?</v>
      </c>
      <c r="V683" s="70" t="s">
        <v>19</v>
      </c>
      <c r="W683" s="70" t="s">
        <v>19</v>
      </c>
      <c r="X683" s="70" t="s">
        <v>19</v>
      </c>
      <c r="Y683" s="70" t="s">
        <v>19</v>
      </c>
      <c r="Z683" s="70" t="s">
        <v>19</v>
      </c>
      <c r="AA683" s="72" t="s">
        <v>19</v>
      </c>
      <c r="AB683" s="72" t="s">
        <v>19</v>
      </c>
      <c r="AC683" s="72" t="s">
        <v>19</v>
      </c>
      <c r="AD683" s="72" t="s">
        <v>19</v>
      </c>
      <c r="AE683" s="18" t="s">
        <v>19</v>
      </c>
      <c r="AF683" s="18" t="s">
        <v>19</v>
      </c>
      <c r="AG683" s="18" t="s">
        <v>19</v>
      </c>
      <c r="AH683" s="18" t="s">
        <v>19</v>
      </c>
      <c r="AI683" s="18" t="s">
        <v>19</v>
      </c>
      <c r="AJ683" s="18" t="s">
        <v>19</v>
      </c>
      <c r="AK683" s="18" t="s">
        <v>19</v>
      </c>
      <c r="AL683" s="18" t="s">
        <v>19</v>
      </c>
      <c r="AM683" s="18" t="s">
        <v>19</v>
      </c>
      <c r="AN683" s="18" t="s">
        <v>19</v>
      </c>
      <c r="AO683" s="18" t="s">
        <v>19</v>
      </c>
      <c r="AP683" s="18" t="s">
        <v>19</v>
      </c>
      <c r="AQ683" s="18" t="s">
        <v>19</v>
      </c>
      <c r="AR683" s="18" t="s">
        <v>19</v>
      </c>
      <c r="AS683" s="70" t="s">
        <v>19</v>
      </c>
      <c r="AT683" s="72" t="s">
        <v>19</v>
      </c>
      <c r="AU683" s="18" t="s">
        <v>3153</v>
      </c>
      <c r="AV683" s="36" t="s">
        <v>19</v>
      </c>
    </row>
    <row r="684" spans="1:48" ht="86.25" customHeight="1" x14ac:dyDescent="0.3">
      <c r="A684" s="15" t="s">
        <v>682</v>
      </c>
      <c r="B684" s="15" t="s">
        <v>1780</v>
      </c>
      <c r="C684" s="15" t="s">
        <v>767</v>
      </c>
      <c r="D684" s="15" t="s">
        <v>19</v>
      </c>
      <c r="E684" s="70" t="s">
        <v>19</v>
      </c>
      <c r="F684" s="70" t="s">
        <v>19</v>
      </c>
      <c r="G684" s="70" t="s">
        <v>19</v>
      </c>
      <c r="H684" s="70" t="s">
        <v>3186</v>
      </c>
      <c r="I684" s="72" t="s">
        <v>19</v>
      </c>
      <c r="J684" s="72" t="s">
        <v>19</v>
      </c>
      <c r="K684" s="72" t="s">
        <v>19</v>
      </c>
      <c r="L684" s="72" t="s">
        <v>19</v>
      </c>
      <c r="M684" s="15" t="s">
        <v>3004</v>
      </c>
      <c r="N684" s="15" t="s">
        <v>770</v>
      </c>
      <c r="O684" s="15"/>
      <c r="P684" s="4" t="s">
        <v>993</v>
      </c>
      <c r="S684" s="15" t="e" cm="1">
        <f t="array" aca="1" ref="S684" ca="1">COMMONMARKETCOUNT(H684:AV684)</f>
        <v>#NAME?</v>
      </c>
      <c r="T684" s="15" t="e" cm="1">
        <f t="array" aca="1" ref="T684" ca="1">AUTOMATEDCOUNT(H684:AU684)</f>
        <v>#NAME?</v>
      </c>
      <c r="V684" s="70" t="s">
        <v>19</v>
      </c>
      <c r="W684" s="70" t="s">
        <v>19</v>
      </c>
      <c r="X684" s="70" t="s">
        <v>19</v>
      </c>
      <c r="Y684" s="70" t="s">
        <v>19</v>
      </c>
      <c r="Z684" s="70" t="s">
        <v>19</v>
      </c>
      <c r="AA684" s="72" t="s">
        <v>19</v>
      </c>
      <c r="AB684" s="72" t="s">
        <v>19</v>
      </c>
      <c r="AC684" s="72" t="s">
        <v>19</v>
      </c>
      <c r="AD684" s="72" t="s">
        <v>19</v>
      </c>
      <c r="AE684" s="18" t="s">
        <v>19</v>
      </c>
      <c r="AF684" s="18" t="s">
        <v>19</v>
      </c>
      <c r="AG684" s="18" t="s">
        <v>19</v>
      </c>
      <c r="AH684" s="18" t="s">
        <v>19</v>
      </c>
      <c r="AI684" s="18" t="s">
        <v>19</v>
      </c>
      <c r="AJ684" s="18" t="s">
        <v>19</v>
      </c>
      <c r="AK684" s="18" t="s">
        <v>19</v>
      </c>
      <c r="AL684" s="18" t="s">
        <v>19</v>
      </c>
      <c r="AM684" s="18" t="s">
        <v>19</v>
      </c>
      <c r="AN684" s="18" t="s">
        <v>19</v>
      </c>
      <c r="AO684" s="18" t="s">
        <v>19</v>
      </c>
      <c r="AP684" s="18" t="s">
        <v>19</v>
      </c>
      <c r="AQ684" s="18" t="s">
        <v>19</v>
      </c>
      <c r="AR684" s="18" t="s">
        <v>19</v>
      </c>
      <c r="AS684" s="70" t="s">
        <v>19</v>
      </c>
      <c r="AT684" s="72" t="s">
        <v>19</v>
      </c>
      <c r="AU684" s="18" t="s">
        <v>3153</v>
      </c>
      <c r="AV684" s="36" t="s">
        <v>19</v>
      </c>
    </row>
    <row r="685" spans="1:48" ht="77.25" customHeight="1" x14ac:dyDescent="0.3">
      <c r="A685" s="15" t="s">
        <v>682</v>
      </c>
      <c r="B685" s="15" t="s">
        <v>1780</v>
      </c>
      <c r="C685" s="15" t="s">
        <v>769</v>
      </c>
      <c r="D685" s="15" t="s">
        <v>19</v>
      </c>
      <c r="E685" s="70" t="s">
        <v>19</v>
      </c>
      <c r="F685" s="70" t="s">
        <v>19</v>
      </c>
      <c r="G685" s="70" t="s">
        <v>19</v>
      </c>
      <c r="H685" s="70" t="s">
        <v>3186</v>
      </c>
      <c r="I685" s="72" t="s">
        <v>19</v>
      </c>
      <c r="J685" s="72" t="s">
        <v>19</v>
      </c>
      <c r="K685" s="72" t="s">
        <v>19</v>
      </c>
      <c r="L685" s="72" t="s">
        <v>19</v>
      </c>
      <c r="M685" s="15" t="s">
        <v>3005</v>
      </c>
      <c r="N685" s="15" t="s">
        <v>773</v>
      </c>
      <c r="O685" s="15"/>
      <c r="P685" s="4" t="s">
        <v>994</v>
      </c>
      <c r="S685" s="15" t="e" cm="1">
        <f t="array" aca="1" ref="S685" ca="1">COMMONMARKETCOUNT(H685:AV685)</f>
        <v>#NAME?</v>
      </c>
      <c r="T685" s="15" t="e" cm="1">
        <f t="array" aca="1" ref="T685" ca="1">AUTOMATEDCOUNT(H685:AU685)</f>
        <v>#NAME?</v>
      </c>
      <c r="V685" s="70" t="s">
        <v>19</v>
      </c>
      <c r="W685" s="70" t="s">
        <v>19</v>
      </c>
      <c r="X685" s="70" t="s">
        <v>19</v>
      </c>
      <c r="Y685" s="70" t="s">
        <v>19</v>
      </c>
      <c r="Z685" s="70" t="s">
        <v>19</v>
      </c>
      <c r="AA685" s="72" t="s">
        <v>19</v>
      </c>
      <c r="AB685" s="72" t="s">
        <v>19</v>
      </c>
      <c r="AC685" s="72" t="s">
        <v>19</v>
      </c>
      <c r="AD685" s="72" t="s">
        <v>19</v>
      </c>
      <c r="AE685" s="18" t="s">
        <v>19</v>
      </c>
      <c r="AF685" s="18" t="s">
        <v>19</v>
      </c>
      <c r="AG685" s="18" t="s">
        <v>19</v>
      </c>
      <c r="AH685" s="18" t="s">
        <v>19</v>
      </c>
      <c r="AI685" s="18" t="s">
        <v>19</v>
      </c>
      <c r="AJ685" s="18" t="s">
        <v>19</v>
      </c>
      <c r="AK685" s="18" t="s">
        <v>19</v>
      </c>
      <c r="AL685" s="18" t="s">
        <v>19</v>
      </c>
      <c r="AM685" s="18" t="s">
        <v>19</v>
      </c>
      <c r="AN685" s="18" t="s">
        <v>19</v>
      </c>
      <c r="AO685" s="18" t="s">
        <v>19</v>
      </c>
      <c r="AP685" s="18" t="s">
        <v>19</v>
      </c>
      <c r="AQ685" s="18" t="s">
        <v>19</v>
      </c>
      <c r="AR685" s="18" t="s">
        <v>19</v>
      </c>
      <c r="AS685" s="70" t="s">
        <v>19</v>
      </c>
      <c r="AT685" s="72" t="s">
        <v>19</v>
      </c>
      <c r="AU685" s="18" t="s">
        <v>3153</v>
      </c>
      <c r="AV685" s="36" t="s">
        <v>19</v>
      </c>
    </row>
    <row r="686" spans="1:48" ht="43.5" customHeight="1" x14ac:dyDescent="0.3">
      <c r="A686" s="15" t="s">
        <v>682</v>
      </c>
      <c r="B686" s="15" t="s">
        <v>1780</v>
      </c>
      <c r="C686" s="15" t="s">
        <v>771</v>
      </c>
      <c r="D686" s="15" t="s">
        <v>19</v>
      </c>
      <c r="E686" s="70" t="s">
        <v>19</v>
      </c>
      <c r="F686" s="70" t="s">
        <v>19</v>
      </c>
      <c r="G686" s="70" t="s">
        <v>19</v>
      </c>
      <c r="H686" s="70" t="s">
        <v>3186</v>
      </c>
      <c r="I686" s="72" t="s">
        <v>19</v>
      </c>
      <c r="J686" s="72" t="s">
        <v>19</v>
      </c>
      <c r="K686" s="72" t="s">
        <v>19</v>
      </c>
      <c r="L686" s="72" t="s">
        <v>19</v>
      </c>
      <c r="M686" s="15" t="s">
        <v>772</v>
      </c>
      <c r="N686" s="15" t="s">
        <v>776</v>
      </c>
      <c r="O686" s="15"/>
      <c r="P686" s="4" t="s">
        <v>995</v>
      </c>
      <c r="S686" s="15" t="e" cm="1">
        <f t="array" aca="1" ref="S686" ca="1">COMMONMARKETCOUNT(H686:AV686)</f>
        <v>#NAME?</v>
      </c>
      <c r="T686" s="15" t="e" cm="1">
        <f t="array" aca="1" ref="T686" ca="1">AUTOMATEDCOUNT(H686:AU686)</f>
        <v>#NAME?</v>
      </c>
      <c r="V686" s="70" t="s">
        <v>19</v>
      </c>
      <c r="W686" s="70" t="s">
        <v>19</v>
      </c>
      <c r="X686" s="70" t="s">
        <v>19</v>
      </c>
      <c r="Y686" s="70" t="s">
        <v>19</v>
      </c>
      <c r="Z686" s="70" t="s">
        <v>19</v>
      </c>
      <c r="AA686" s="72" t="s">
        <v>19</v>
      </c>
      <c r="AB686" s="72" t="s">
        <v>19</v>
      </c>
      <c r="AC686" s="72" t="s">
        <v>19</v>
      </c>
      <c r="AD686" s="96" t="s">
        <v>19</v>
      </c>
      <c r="AE686" s="6" t="s">
        <v>19</v>
      </c>
      <c r="AF686" s="18" t="s">
        <v>19</v>
      </c>
      <c r="AG686" s="18" t="s">
        <v>19</v>
      </c>
      <c r="AH686" s="18" t="s">
        <v>19</v>
      </c>
      <c r="AI686" s="18" t="s">
        <v>19</v>
      </c>
      <c r="AJ686" s="18" t="s">
        <v>19</v>
      </c>
      <c r="AK686" s="18" t="s">
        <v>19</v>
      </c>
      <c r="AL686" s="18" t="s">
        <v>19</v>
      </c>
      <c r="AM686" s="18" t="s">
        <v>19</v>
      </c>
      <c r="AN686" s="18" t="s">
        <v>19</v>
      </c>
      <c r="AO686" s="18" t="s">
        <v>19</v>
      </c>
      <c r="AP686" s="18" t="s">
        <v>19</v>
      </c>
      <c r="AQ686" s="18" t="s">
        <v>19</v>
      </c>
      <c r="AR686" s="18" t="s">
        <v>19</v>
      </c>
      <c r="AS686" s="70" t="s">
        <v>19</v>
      </c>
      <c r="AT686" s="72" t="s">
        <v>19</v>
      </c>
      <c r="AU686" s="18" t="s">
        <v>3153</v>
      </c>
      <c r="AV686" s="36" t="s">
        <v>19</v>
      </c>
    </row>
    <row r="687" spans="1:48" ht="97.5" customHeight="1" x14ac:dyDescent="0.3">
      <c r="A687" s="15" t="s">
        <v>682</v>
      </c>
      <c r="B687" s="15" t="s">
        <v>1780</v>
      </c>
      <c r="C687" s="15" t="s">
        <v>774</v>
      </c>
      <c r="D687" s="15" t="s">
        <v>19</v>
      </c>
      <c r="E687" s="70" t="s">
        <v>19</v>
      </c>
      <c r="F687" s="70" t="s">
        <v>19</v>
      </c>
      <c r="G687" s="70" t="s">
        <v>19</v>
      </c>
      <c r="H687" s="70" t="s">
        <v>3186</v>
      </c>
      <c r="I687" s="72" t="s">
        <v>19</v>
      </c>
      <c r="J687" s="72" t="s">
        <v>19</v>
      </c>
      <c r="K687" s="72" t="s">
        <v>19</v>
      </c>
      <c r="L687" s="72" t="s">
        <v>19</v>
      </c>
      <c r="M687" s="15" t="s">
        <v>775</v>
      </c>
      <c r="N687" s="15" t="s">
        <v>779</v>
      </c>
      <c r="O687" s="15"/>
      <c r="P687" s="4" t="s">
        <v>996</v>
      </c>
      <c r="S687" s="15" t="e" cm="1">
        <f t="array" aca="1" ref="S687" ca="1">COMMONMARKETCOUNT(H687:AV687)</f>
        <v>#NAME?</v>
      </c>
      <c r="T687" s="15" t="e" cm="1">
        <f t="array" aca="1" ref="T687" ca="1">AUTOMATEDCOUNT(H687:AU687)</f>
        <v>#NAME?</v>
      </c>
      <c r="V687" s="70" t="s">
        <v>19</v>
      </c>
      <c r="W687" s="70" t="s">
        <v>19</v>
      </c>
      <c r="X687" s="70" t="s">
        <v>19</v>
      </c>
      <c r="Y687" s="70" t="s">
        <v>19</v>
      </c>
      <c r="Z687" s="70" t="s">
        <v>19</v>
      </c>
      <c r="AA687" s="72" t="s">
        <v>19</v>
      </c>
      <c r="AB687" s="72" t="s">
        <v>19</v>
      </c>
      <c r="AC687" s="72" t="s">
        <v>19</v>
      </c>
      <c r="AD687" s="72" t="s">
        <v>19</v>
      </c>
      <c r="AE687" s="18" t="s">
        <v>19</v>
      </c>
      <c r="AF687" s="18" t="s">
        <v>19</v>
      </c>
      <c r="AG687" s="18" t="s">
        <v>19</v>
      </c>
      <c r="AH687" s="18" t="s">
        <v>19</v>
      </c>
      <c r="AI687" s="18" t="s">
        <v>19</v>
      </c>
      <c r="AJ687" s="18" t="s">
        <v>19</v>
      </c>
      <c r="AK687" s="18" t="s">
        <v>19</v>
      </c>
      <c r="AL687" s="18" t="s">
        <v>19</v>
      </c>
      <c r="AM687" s="18" t="s">
        <v>19</v>
      </c>
      <c r="AN687" s="18" t="s">
        <v>19</v>
      </c>
      <c r="AO687" s="18" t="s">
        <v>19</v>
      </c>
      <c r="AP687" s="18" t="s">
        <v>19</v>
      </c>
      <c r="AQ687" s="18" t="s">
        <v>19</v>
      </c>
      <c r="AR687" s="18" t="s">
        <v>19</v>
      </c>
      <c r="AS687" s="70" t="s">
        <v>19</v>
      </c>
      <c r="AT687" s="72" t="s">
        <v>19</v>
      </c>
      <c r="AU687" s="18" t="s">
        <v>3153</v>
      </c>
      <c r="AV687" s="36" t="s">
        <v>19</v>
      </c>
    </row>
    <row r="688" spans="1:48" ht="66" customHeight="1" x14ac:dyDescent="0.3">
      <c r="A688" s="15" t="s">
        <v>682</v>
      </c>
      <c r="B688" s="15" t="s">
        <v>1780</v>
      </c>
      <c r="C688" s="15" t="s">
        <v>777</v>
      </c>
      <c r="D688" s="15" t="s">
        <v>19</v>
      </c>
      <c r="E688" s="70" t="s">
        <v>19</v>
      </c>
      <c r="F688" s="70" t="s">
        <v>19</v>
      </c>
      <c r="G688" s="70" t="s">
        <v>19</v>
      </c>
      <c r="H688" s="70" t="s">
        <v>3186</v>
      </c>
      <c r="I688" s="72" t="s">
        <v>19</v>
      </c>
      <c r="J688" s="72" t="s">
        <v>19</v>
      </c>
      <c r="K688" s="72" t="s">
        <v>19</v>
      </c>
      <c r="L688" s="72" t="s">
        <v>19</v>
      </c>
      <c r="M688" s="15" t="s">
        <v>778</v>
      </c>
      <c r="N688" s="15" t="s">
        <v>782</v>
      </c>
      <c r="O688" s="15"/>
      <c r="P688" s="4" t="s">
        <v>780</v>
      </c>
      <c r="S688" s="15" t="e" cm="1">
        <f t="array" aca="1" ref="S688" ca="1">COMMONMARKETCOUNT(H688:AV688)</f>
        <v>#NAME?</v>
      </c>
      <c r="T688" s="15" t="e" cm="1">
        <f t="array" aca="1" ref="T688" ca="1">AUTOMATEDCOUNT(H688:AU688)</f>
        <v>#NAME?</v>
      </c>
      <c r="V688" s="70" t="s">
        <v>19</v>
      </c>
      <c r="W688" s="70" t="s">
        <v>19</v>
      </c>
      <c r="X688" s="70" t="s">
        <v>19</v>
      </c>
      <c r="Y688" s="70" t="s">
        <v>19</v>
      </c>
      <c r="Z688" s="70" t="s">
        <v>19</v>
      </c>
      <c r="AA688" s="72" t="s">
        <v>19</v>
      </c>
      <c r="AB688" s="72" t="s">
        <v>19</v>
      </c>
      <c r="AC688" s="72" t="s">
        <v>19</v>
      </c>
      <c r="AD688" s="72" t="s">
        <v>19</v>
      </c>
      <c r="AE688" s="18" t="s">
        <v>19</v>
      </c>
      <c r="AF688" s="18" t="s">
        <v>19</v>
      </c>
      <c r="AG688" s="18" t="s">
        <v>19</v>
      </c>
      <c r="AH688" s="18" t="s">
        <v>19</v>
      </c>
      <c r="AI688" s="18" t="s">
        <v>19</v>
      </c>
      <c r="AJ688" s="18" t="s">
        <v>19</v>
      </c>
      <c r="AK688" s="18" t="s">
        <v>19</v>
      </c>
      <c r="AL688" s="18" t="s">
        <v>19</v>
      </c>
      <c r="AM688" s="18" t="s">
        <v>19</v>
      </c>
      <c r="AN688" s="18" t="s">
        <v>19</v>
      </c>
      <c r="AO688" s="18" t="s">
        <v>19</v>
      </c>
      <c r="AP688" s="18" t="s">
        <v>19</v>
      </c>
      <c r="AQ688" s="18" t="s">
        <v>19</v>
      </c>
      <c r="AR688" s="18" t="s">
        <v>19</v>
      </c>
      <c r="AS688" s="70" t="s">
        <v>19</v>
      </c>
      <c r="AT688" s="72" t="s">
        <v>19</v>
      </c>
      <c r="AU688" s="18" t="s">
        <v>3153</v>
      </c>
      <c r="AV688" s="36" t="s">
        <v>19</v>
      </c>
    </row>
    <row r="689" spans="1:48" ht="66" customHeight="1" x14ac:dyDescent="0.3">
      <c r="A689" s="15" t="s">
        <v>682</v>
      </c>
      <c r="B689" s="15" t="s">
        <v>783</v>
      </c>
      <c r="C689" s="15" t="s">
        <v>781</v>
      </c>
      <c r="D689" s="15" t="s">
        <v>19</v>
      </c>
      <c r="E689" s="70" t="s">
        <v>19</v>
      </c>
      <c r="F689" s="70" t="s">
        <v>19</v>
      </c>
      <c r="G689" s="70" t="s">
        <v>19</v>
      </c>
      <c r="H689" s="70" t="s">
        <v>3186</v>
      </c>
      <c r="I689" s="72" t="s">
        <v>19</v>
      </c>
      <c r="J689" s="72" t="s">
        <v>19</v>
      </c>
      <c r="K689" s="72" t="s">
        <v>19</v>
      </c>
      <c r="L689" s="72" t="s">
        <v>19</v>
      </c>
      <c r="M689" s="15" t="s">
        <v>1788</v>
      </c>
      <c r="N689" s="15" t="s">
        <v>785</v>
      </c>
      <c r="O689" s="15"/>
      <c r="P689" s="4" t="s">
        <v>3128</v>
      </c>
      <c r="S689" s="15" t="e" cm="1">
        <f t="array" aca="1" ref="S689" ca="1">COMMONMARKETCOUNT(H689:AV689)</f>
        <v>#NAME?</v>
      </c>
      <c r="T689" s="15" t="e" cm="1">
        <f t="array" aca="1" ref="T689" ca="1">AUTOMATEDCOUNT(H689:AU689)</f>
        <v>#NAME?</v>
      </c>
      <c r="V689" s="70" t="s">
        <v>19</v>
      </c>
      <c r="W689" s="70" t="s">
        <v>19</v>
      </c>
      <c r="X689" s="70" t="s">
        <v>19</v>
      </c>
      <c r="Y689" s="70" t="s">
        <v>19</v>
      </c>
      <c r="Z689" s="70" t="s">
        <v>19</v>
      </c>
      <c r="AA689" s="72" t="s">
        <v>19</v>
      </c>
      <c r="AB689" s="72" t="s">
        <v>19</v>
      </c>
      <c r="AC689" s="72" t="s">
        <v>19</v>
      </c>
      <c r="AD689" s="96" t="s">
        <v>19</v>
      </c>
      <c r="AE689" s="6" t="s">
        <v>19</v>
      </c>
      <c r="AF689" s="18" t="s">
        <v>19</v>
      </c>
      <c r="AG689" s="18" t="s">
        <v>19</v>
      </c>
      <c r="AH689" s="18" t="s">
        <v>19</v>
      </c>
      <c r="AI689" s="18" t="s">
        <v>19</v>
      </c>
      <c r="AJ689" s="18" t="s">
        <v>19</v>
      </c>
      <c r="AK689" s="18" t="s">
        <v>19</v>
      </c>
      <c r="AL689" s="18" t="s">
        <v>19</v>
      </c>
      <c r="AM689" s="18" t="s">
        <v>19</v>
      </c>
      <c r="AN689" s="18" t="s">
        <v>19</v>
      </c>
      <c r="AO689" s="18" t="s">
        <v>19</v>
      </c>
      <c r="AP689" s="18" t="s">
        <v>19</v>
      </c>
      <c r="AQ689" s="18" t="s">
        <v>19</v>
      </c>
      <c r="AR689" s="18" t="s">
        <v>19</v>
      </c>
      <c r="AS689" s="70" t="s">
        <v>19</v>
      </c>
      <c r="AT689" s="72" t="s">
        <v>19</v>
      </c>
      <c r="AU689" s="18" t="s">
        <v>3153</v>
      </c>
      <c r="AV689" s="36" t="s">
        <v>19</v>
      </c>
    </row>
    <row r="690" spans="1:48" ht="105" customHeight="1" x14ac:dyDescent="0.3">
      <c r="A690" s="15" t="s">
        <v>682</v>
      </c>
      <c r="B690" s="15" t="s">
        <v>783</v>
      </c>
      <c r="C690" s="15" t="s">
        <v>784</v>
      </c>
      <c r="D690" s="15" t="s">
        <v>19</v>
      </c>
      <c r="E690" s="70" t="s">
        <v>19</v>
      </c>
      <c r="F690" s="70" t="s">
        <v>19</v>
      </c>
      <c r="G690" s="70" t="s">
        <v>19</v>
      </c>
      <c r="H690" s="70" t="s">
        <v>3186</v>
      </c>
      <c r="I690" s="72" t="s">
        <v>19</v>
      </c>
      <c r="J690" s="72" t="s">
        <v>19</v>
      </c>
      <c r="K690" s="72" t="s">
        <v>19</v>
      </c>
      <c r="L690" s="72" t="s">
        <v>19</v>
      </c>
      <c r="M690" s="15" t="s">
        <v>1789</v>
      </c>
      <c r="N690" s="15" t="s">
        <v>787</v>
      </c>
      <c r="O690" s="15"/>
      <c r="P690" s="4" t="s">
        <v>997</v>
      </c>
      <c r="S690" s="15" t="e" cm="1">
        <f t="array" aca="1" ref="S690" ca="1">COMMONMARKETCOUNT(H690:AV690)</f>
        <v>#NAME?</v>
      </c>
      <c r="T690" s="15" t="e" cm="1">
        <f t="array" aca="1" ref="T690" ca="1">AUTOMATEDCOUNT(H690:AU690)</f>
        <v>#NAME?</v>
      </c>
      <c r="V690" s="70" t="s">
        <v>19</v>
      </c>
      <c r="W690" s="70" t="s">
        <v>19</v>
      </c>
      <c r="X690" s="70" t="s">
        <v>19</v>
      </c>
      <c r="Y690" s="70" t="s">
        <v>19</v>
      </c>
      <c r="Z690" s="70" t="s">
        <v>19</v>
      </c>
      <c r="AA690" s="72" t="s">
        <v>19</v>
      </c>
      <c r="AB690" s="72" t="s">
        <v>19</v>
      </c>
      <c r="AC690" s="72" t="s">
        <v>19</v>
      </c>
      <c r="AD690" s="72" t="s">
        <v>19</v>
      </c>
      <c r="AE690" s="18" t="s">
        <v>19</v>
      </c>
      <c r="AF690" s="18" t="s">
        <v>19</v>
      </c>
      <c r="AG690" s="18" t="s">
        <v>19</v>
      </c>
      <c r="AH690" s="18" t="s">
        <v>19</v>
      </c>
      <c r="AI690" s="18" t="s">
        <v>19</v>
      </c>
      <c r="AJ690" s="18" t="s">
        <v>19</v>
      </c>
      <c r="AK690" s="18" t="s">
        <v>19</v>
      </c>
      <c r="AL690" s="18" t="s">
        <v>19</v>
      </c>
      <c r="AM690" s="18" t="s">
        <v>19</v>
      </c>
      <c r="AN690" s="18" t="s">
        <v>19</v>
      </c>
      <c r="AO690" s="18" t="s">
        <v>19</v>
      </c>
      <c r="AP690" s="18" t="s">
        <v>19</v>
      </c>
      <c r="AQ690" s="18" t="s">
        <v>19</v>
      </c>
      <c r="AR690" s="18" t="s">
        <v>19</v>
      </c>
      <c r="AS690" s="70" t="s">
        <v>19</v>
      </c>
      <c r="AT690" s="72" t="s">
        <v>19</v>
      </c>
      <c r="AU690" s="18" t="s">
        <v>3153</v>
      </c>
      <c r="AV690" s="36" t="s">
        <v>19</v>
      </c>
    </row>
    <row r="691" spans="1:48" ht="77.25" customHeight="1" x14ac:dyDescent="0.3">
      <c r="A691" s="15" t="s">
        <v>682</v>
      </c>
      <c r="B691" s="15" t="s">
        <v>783</v>
      </c>
      <c r="C691" s="15" t="s">
        <v>786</v>
      </c>
      <c r="D691" s="15" t="s">
        <v>19</v>
      </c>
      <c r="E691" s="70" t="s">
        <v>19</v>
      </c>
      <c r="F691" s="70" t="s">
        <v>19</v>
      </c>
      <c r="G691" s="70" t="s">
        <v>19</v>
      </c>
      <c r="H691" s="70" t="s">
        <v>3186</v>
      </c>
      <c r="I691" s="72" t="s">
        <v>19</v>
      </c>
      <c r="J691" s="72" t="s">
        <v>19</v>
      </c>
      <c r="K691" s="72" t="s">
        <v>19</v>
      </c>
      <c r="L691" s="72" t="s">
        <v>19</v>
      </c>
      <c r="M691" s="15" t="s">
        <v>1790</v>
      </c>
      <c r="N691" s="15" t="s">
        <v>789</v>
      </c>
      <c r="O691" s="15"/>
      <c r="P691" s="4" t="s">
        <v>1791</v>
      </c>
      <c r="S691" s="15" t="e" cm="1">
        <f t="array" aca="1" ref="S691" ca="1">COMMONMARKETCOUNT(H691:AV691)</f>
        <v>#NAME?</v>
      </c>
      <c r="T691" s="15" t="e" cm="1">
        <f t="array" aca="1" ref="T691" ca="1">AUTOMATEDCOUNT(H691:AU691)</f>
        <v>#NAME?</v>
      </c>
      <c r="V691" s="70" t="s">
        <v>19</v>
      </c>
      <c r="W691" s="70" t="s">
        <v>19</v>
      </c>
      <c r="X691" s="70" t="s">
        <v>19</v>
      </c>
      <c r="Y691" s="70" t="s">
        <v>19</v>
      </c>
      <c r="Z691" s="70" t="s">
        <v>19</v>
      </c>
      <c r="AA691" s="72" t="s">
        <v>19</v>
      </c>
      <c r="AB691" s="72" t="s">
        <v>19</v>
      </c>
      <c r="AC691" s="72" t="s">
        <v>19</v>
      </c>
      <c r="AD691" s="72" t="s">
        <v>19</v>
      </c>
      <c r="AE691" s="18" t="s">
        <v>19</v>
      </c>
      <c r="AF691" s="18" t="s">
        <v>19</v>
      </c>
      <c r="AG691" s="18" t="s">
        <v>19</v>
      </c>
      <c r="AH691" s="18" t="s">
        <v>19</v>
      </c>
      <c r="AI691" s="18" t="s">
        <v>19</v>
      </c>
      <c r="AJ691" s="18" t="s">
        <v>19</v>
      </c>
      <c r="AK691" s="18" t="s">
        <v>19</v>
      </c>
      <c r="AL691" s="18" t="s">
        <v>19</v>
      </c>
      <c r="AM691" s="18" t="s">
        <v>19</v>
      </c>
      <c r="AN691" s="18" t="s">
        <v>19</v>
      </c>
      <c r="AO691" s="18" t="s">
        <v>19</v>
      </c>
      <c r="AP691" s="18" t="s">
        <v>19</v>
      </c>
      <c r="AQ691" s="18" t="s">
        <v>19</v>
      </c>
      <c r="AR691" s="18" t="s">
        <v>19</v>
      </c>
      <c r="AS691" s="70" t="s">
        <v>19</v>
      </c>
      <c r="AT691" s="72" t="s">
        <v>19</v>
      </c>
      <c r="AU691" s="18" t="s">
        <v>3153</v>
      </c>
      <c r="AV691" s="36" t="s">
        <v>19</v>
      </c>
    </row>
    <row r="692" spans="1:48" ht="66" customHeight="1" x14ac:dyDescent="0.3">
      <c r="A692" s="15" t="s">
        <v>682</v>
      </c>
      <c r="B692" s="15" t="s">
        <v>783</v>
      </c>
      <c r="C692" s="15" t="s">
        <v>788</v>
      </c>
      <c r="D692" s="15" t="s">
        <v>19</v>
      </c>
      <c r="E692" s="70" t="s">
        <v>19</v>
      </c>
      <c r="F692" s="70" t="s">
        <v>19</v>
      </c>
      <c r="G692" s="70" t="s">
        <v>19</v>
      </c>
      <c r="H692" s="70" t="s">
        <v>3186</v>
      </c>
      <c r="I692" s="72" t="s">
        <v>19</v>
      </c>
      <c r="J692" s="72" t="s">
        <v>19</v>
      </c>
      <c r="K692" s="72" t="s">
        <v>19</v>
      </c>
      <c r="L692" s="72" t="s">
        <v>19</v>
      </c>
      <c r="M692" s="15" t="s">
        <v>3006</v>
      </c>
      <c r="N692" s="15" t="s">
        <v>792</v>
      </c>
      <c r="O692" s="15"/>
      <c r="P692" s="4" t="s">
        <v>790</v>
      </c>
      <c r="S692" s="15" t="e" cm="1">
        <f t="array" aca="1" ref="S692" ca="1">COMMONMARKETCOUNT(H692:AV692)</f>
        <v>#NAME?</v>
      </c>
      <c r="T692" s="15" t="e" cm="1">
        <f t="array" aca="1" ref="T692" ca="1">AUTOMATEDCOUNT(H692:AU692)</f>
        <v>#NAME?</v>
      </c>
      <c r="V692" s="70" t="s">
        <v>19</v>
      </c>
      <c r="W692" s="70" t="s">
        <v>19</v>
      </c>
      <c r="X692" s="70" t="s">
        <v>19</v>
      </c>
      <c r="Y692" s="70" t="s">
        <v>19</v>
      </c>
      <c r="Z692" s="70" t="s">
        <v>19</v>
      </c>
      <c r="AA692" s="72" t="s">
        <v>19</v>
      </c>
      <c r="AB692" s="72" t="s">
        <v>19</v>
      </c>
      <c r="AC692" s="72" t="s">
        <v>19</v>
      </c>
      <c r="AD692" s="96" t="s">
        <v>19</v>
      </c>
      <c r="AE692" s="6" t="s">
        <v>19</v>
      </c>
      <c r="AF692" s="18" t="s">
        <v>19</v>
      </c>
      <c r="AG692" s="18" t="s">
        <v>19</v>
      </c>
      <c r="AH692" s="18" t="s">
        <v>19</v>
      </c>
      <c r="AI692" s="18" t="s">
        <v>19</v>
      </c>
      <c r="AJ692" s="18" t="s">
        <v>19</v>
      </c>
      <c r="AK692" s="18" t="s">
        <v>19</v>
      </c>
      <c r="AL692" s="18" t="s">
        <v>19</v>
      </c>
      <c r="AM692" s="18" t="s">
        <v>19</v>
      </c>
      <c r="AN692" s="18" t="s">
        <v>19</v>
      </c>
      <c r="AO692" s="18" t="s">
        <v>19</v>
      </c>
      <c r="AP692" s="18" t="s">
        <v>19</v>
      </c>
      <c r="AQ692" s="18" t="s">
        <v>19</v>
      </c>
      <c r="AR692" s="18" t="s">
        <v>19</v>
      </c>
      <c r="AS692" s="70" t="s">
        <v>19</v>
      </c>
      <c r="AT692" s="72" t="s">
        <v>19</v>
      </c>
      <c r="AU692" s="18" t="s">
        <v>3153</v>
      </c>
      <c r="AV692" s="36" t="s">
        <v>19</v>
      </c>
    </row>
    <row r="693" spans="1:48" ht="66" customHeight="1" x14ac:dyDescent="0.3">
      <c r="A693" s="15" t="s">
        <v>682</v>
      </c>
      <c r="B693" s="15" t="s">
        <v>783</v>
      </c>
      <c r="C693" s="15" t="s">
        <v>791</v>
      </c>
      <c r="D693" s="15" t="s">
        <v>19</v>
      </c>
      <c r="E693" s="70" t="s">
        <v>19</v>
      </c>
      <c r="F693" s="70" t="s">
        <v>19</v>
      </c>
      <c r="G693" s="70" t="s">
        <v>19</v>
      </c>
      <c r="H693" s="70" t="s">
        <v>3186</v>
      </c>
      <c r="I693" s="72" t="s">
        <v>19</v>
      </c>
      <c r="J693" s="72" t="s">
        <v>19</v>
      </c>
      <c r="K693" s="72" t="s">
        <v>19</v>
      </c>
      <c r="L693" s="72" t="s">
        <v>19</v>
      </c>
      <c r="M693" s="15" t="s">
        <v>3007</v>
      </c>
      <c r="N693" s="15" t="s">
        <v>795</v>
      </c>
      <c r="O693" s="15"/>
      <c r="P693" s="4" t="s">
        <v>793</v>
      </c>
      <c r="S693" s="15" t="e" cm="1">
        <f t="array" aca="1" ref="S693" ca="1">COMMONMARKETCOUNT(H693:AV693)</f>
        <v>#NAME?</v>
      </c>
      <c r="T693" s="15" t="e" cm="1">
        <f t="array" aca="1" ref="T693" ca="1">AUTOMATEDCOUNT(H693:AU693)</f>
        <v>#NAME?</v>
      </c>
      <c r="V693" s="70" t="s">
        <v>19</v>
      </c>
      <c r="W693" s="70" t="s">
        <v>19</v>
      </c>
      <c r="X693" s="70" t="s">
        <v>19</v>
      </c>
      <c r="Y693" s="70" t="s">
        <v>19</v>
      </c>
      <c r="Z693" s="70" t="s">
        <v>19</v>
      </c>
      <c r="AA693" s="72" t="s">
        <v>19</v>
      </c>
      <c r="AB693" s="72" t="s">
        <v>19</v>
      </c>
      <c r="AC693" s="72" t="s">
        <v>19</v>
      </c>
      <c r="AD693" s="70" t="s">
        <v>19</v>
      </c>
      <c r="AE693" s="15" t="s">
        <v>19</v>
      </c>
      <c r="AF693" s="18" t="s">
        <v>19</v>
      </c>
      <c r="AG693" s="18" t="s">
        <v>19</v>
      </c>
      <c r="AH693" s="18" t="s">
        <v>19</v>
      </c>
      <c r="AI693" s="18" t="s">
        <v>19</v>
      </c>
      <c r="AJ693" s="18" t="s">
        <v>19</v>
      </c>
      <c r="AK693" s="18" t="s">
        <v>19</v>
      </c>
      <c r="AL693" s="18" t="s">
        <v>19</v>
      </c>
      <c r="AM693" s="18" t="s">
        <v>19</v>
      </c>
      <c r="AN693" s="18" t="s">
        <v>19</v>
      </c>
      <c r="AO693" s="18" t="s">
        <v>19</v>
      </c>
      <c r="AP693" s="18" t="s">
        <v>19</v>
      </c>
      <c r="AQ693" s="18" t="s">
        <v>19</v>
      </c>
      <c r="AR693" s="18" t="s">
        <v>19</v>
      </c>
      <c r="AS693" s="70" t="s">
        <v>19</v>
      </c>
      <c r="AT693" s="72" t="s">
        <v>19</v>
      </c>
      <c r="AU693" s="18" t="s">
        <v>3153</v>
      </c>
      <c r="AV693" s="36" t="s">
        <v>19</v>
      </c>
    </row>
    <row r="694" spans="1:48" ht="89.25" customHeight="1" x14ac:dyDescent="0.3">
      <c r="A694" s="15" t="s">
        <v>682</v>
      </c>
      <c r="B694" s="15" t="s">
        <v>783</v>
      </c>
      <c r="C694" s="15" t="s">
        <v>794</v>
      </c>
      <c r="D694" s="15" t="s">
        <v>19</v>
      </c>
      <c r="E694" s="70" t="s">
        <v>19</v>
      </c>
      <c r="F694" s="70" t="s">
        <v>19</v>
      </c>
      <c r="G694" s="70" t="s">
        <v>19</v>
      </c>
      <c r="H694" s="70" t="s">
        <v>3186</v>
      </c>
      <c r="I694" s="72" t="s">
        <v>19</v>
      </c>
      <c r="J694" s="72" t="s">
        <v>19</v>
      </c>
      <c r="K694" s="72" t="s">
        <v>19</v>
      </c>
      <c r="L694" s="72" t="s">
        <v>19</v>
      </c>
      <c r="M694" s="15" t="s">
        <v>3008</v>
      </c>
      <c r="N694" s="15" t="s">
        <v>797</v>
      </c>
      <c r="O694" s="15"/>
      <c r="P694" s="4" t="s">
        <v>3129</v>
      </c>
      <c r="S694" s="15" t="e" cm="1">
        <f t="array" aca="1" ref="S694" ca="1">COMMONMARKETCOUNT(H694:AV694)</f>
        <v>#NAME?</v>
      </c>
      <c r="T694" s="15" t="e" cm="1">
        <f t="array" aca="1" ref="T694" ca="1">AUTOMATEDCOUNT(H694:AU694)</f>
        <v>#NAME?</v>
      </c>
      <c r="V694" s="70" t="s">
        <v>19</v>
      </c>
      <c r="W694" s="70" t="s">
        <v>19</v>
      </c>
      <c r="X694" s="70" t="s">
        <v>19</v>
      </c>
      <c r="Y694" s="70" t="s">
        <v>19</v>
      </c>
      <c r="Z694" s="70" t="s">
        <v>19</v>
      </c>
      <c r="AA694" s="72" t="s">
        <v>19</v>
      </c>
      <c r="AB694" s="72" t="s">
        <v>19</v>
      </c>
      <c r="AC694" s="72" t="s">
        <v>19</v>
      </c>
      <c r="AD694" s="96" t="s">
        <v>19</v>
      </c>
      <c r="AE694" s="6" t="s">
        <v>19</v>
      </c>
      <c r="AF694" s="18" t="s">
        <v>19</v>
      </c>
      <c r="AG694" s="18" t="s">
        <v>19</v>
      </c>
      <c r="AH694" s="18" t="s">
        <v>19</v>
      </c>
      <c r="AI694" s="18" t="s">
        <v>19</v>
      </c>
      <c r="AJ694" s="18" t="s">
        <v>19</v>
      </c>
      <c r="AK694" s="18" t="s">
        <v>19</v>
      </c>
      <c r="AL694" s="18" t="s">
        <v>19</v>
      </c>
      <c r="AM694" s="18" t="s">
        <v>19</v>
      </c>
      <c r="AN694" s="18" t="s">
        <v>19</v>
      </c>
      <c r="AO694" s="18" t="s">
        <v>19</v>
      </c>
      <c r="AP694" s="18" t="s">
        <v>19</v>
      </c>
      <c r="AQ694" s="18" t="s">
        <v>19</v>
      </c>
      <c r="AR694" s="18" t="s">
        <v>19</v>
      </c>
      <c r="AS694" s="70" t="s">
        <v>19</v>
      </c>
      <c r="AT694" s="72" t="s">
        <v>19</v>
      </c>
      <c r="AU694" s="18" t="s">
        <v>3153</v>
      </c>
      <c r="AV694" s="36" t="s">
        <v>19</v>
      </c>
    </row>
    <row r="695" spans="1:48" ht="89.25" hidden="1" customHeight="1" x14ac:dyDescent="0.3">
      <c r="A695" s="15" t="s">
        <v>705</v>
      </c>
      <c r="B695" s="6" t="s">
        <v>714</v>
      </c>
      <c r="C695" s="15" t="s">
        <v>796</v>
      </c>
      <c r="D695" s="15" t="s">
        <v>32</v>
      </c>
      <c r="E695" s="15" t="s">
        <v>19</v>
      </c>
      <c r="F695" s="15" t="s">
        <v>19</v>
      </c>
      <c r="G695" s="15" t="s">
        <v>19</v>
      </c>
      <c r="H695" s="15" t="s">
        <v>19</v>
      </c>
      <c r="I695" s="18" t="s">
        <v>19</v>
      </c>
      <c r="J695" s="18" t="s">
        <v>19</v>
      </c>
      <c r="K695" s="18" t="s">
        <v>19</v>
      </c>
      <c r="L695" s="18" t="s">
        <v>19</v>
      </c>
      <c r="M695" s="15" t="s">
        <v>3009</v>
      </c>
      <c r="N695" s="15" t="s">
        <v>800</v>
      </c>
      <c r="O695" s="15"/>
      <c r="P695" s="4" t="s">
        <v>798</v>
      </c>
      <c r="S695" s="15" t="e" cm="1">
        <f t="array" aca="1" ref="S695" ca="1">COMMONMARKETCOUNT(H695:AV695)</f>
        <v>#NAME?</v>
      </c>
      <c r="T695" s="15" t="e" cm="1">
        <f t="array" aca="1" ref="T695" ca="1">AUTOMATEDCOUNT(H695:AU695)</f>
        <v>#NAME?</v>
      </c>
      <c r="V695" s="15" t="s">
        <v>19</v>
      </c>
      <c r="W695" s="15" t="s">
        <v>19</v>
      </c>
      <c r="X695" s="15" t="s">
        <v>19</v>
      </c>
      <c r="Y695" s="15" t="s">
        <v>19</v>
      </c>
      <c r="Z695" s="15" t="s">
        <v>19</v>
      </c>
      <c r="AA695" s="18" t="s">
        <v>19</v>
      </c>
      <c r="AB695" s="18" t="s">
        <v>19</v>
      </c>
      <c r="AC695" s="18" t="s">
        <v>19</v>
      </c>
      <c r="AD695" s="6" t="s">
        <v>19</v>
      </c>
      <c r="AE695" s="6" t="s">
        <v>19</v>
      </c>
      <c r="AF695" s="18" t="s">
        <v>19</v>
      </c>
      <c r="AG695" s="18" t="s">
        <v>19</v>
      </c>
      <c r="AH695" s="18" t="s">
        <v>19</v>
      </c>
      <c r="AI695" s="18" t="s">
        <v>19</v>
      </c>
      <c r="AJ695" s="18" t="s">
        <v>19</v>
      </c>
      <c r="AK695" s="18" t="s">
        <v>19</v>
      </c>
      <c r="AL695" s="18" t="s">
        <v>19</v>
      </c>
      <c r="AM695" s="18" t="s">
        <v>19</v>
      </c>
      <c r="AN695" s="18" t="s">
        <v>19</v>
      </c>
      <c r="AO695" s="18" t="s">
        <v>19</v>
      </c>
      <c r="AP695" s="18" t="s">
        <v>19</v>
      </c>
      <c r="AQ695" s="18" t="s">
        <v>19</v>
      </c>
      <c r="AR695" s="18" t="s">
        <v>19</v>
      </c>
      <c r="AS695" s="18" t="s">
        <v>19</v>
      </c>
      <c r="AT695" s="18" t="s">
        <v>19</v>
      </c>
      <c r="AU695" s="18" t="s">
        <v>3153</v>
      </c>
      <c r="AV695" s="36" t="s">
        <v>19</v>
      </c>
    </row>
    <row r="696" spans="1:48" ht="89.25" hidden="1" customHeight="1" x14ac:dyDescent="0.3">
      <c r="A696" s="15" t="s">
        <v>682</v>
      </c>
      <c r="B696" s="15" t="s">
        <v>714</v>
      </c>
      <c r="C696" s="15" t="s">
        <v>799</v>
      </c>
      <c r="D696" s="15" t="s">
        <v>19</v>
      </c>
      <c r="E696" s="70" t="s">
        <v>19</v>
      </c>
      <c r="F696" s="70" t="s">
        <v>3178</v>
      </c>
      <c r="G696" s="70" t="s">
        <v>19</v>
      </c>
      <c r="H696" s="70" t="s">
        <v>3178</v>
      </c>
      <c r="I696" s="72" t="s">
        <v>19</v>
      </c>
      <c r="J696" s="120" t="s">
        <v>3192</v>
      </c>
      <c r="K696" s="70" t="s">
        <v>19</v>
      </c>
      <c r="L696" s="120" t="s">
        <v>3192</v>
      </c>
      <c r="M696" s="15" t="s">
        <v>3010</v>
      </c>
      <c r="N696" s="15" t="s">
        <v>803</v>
      </c>
      <c r="O696" s="15"/>
      <c r="P696" s="4" t="s">
        <v>1792</v>
      </c>
      <c r="S696" s="15" t="e" cm="1">
        <f t="array" aca="1" ref="S696" ca="1">COMMONMARKETCOUNT(H696:AV696)</f>
        <v>#NAME?</v>
      </c>
      <c r="T696" s="15" t="e" cm="1">
        <f t="array" aca="1" ref="T696" ca="1">AUTOMATEDCOUNT(H696:AU696)</f>
        <v>#NAME?</v>
      </c>
      <c r="V696" s="70" t="s">
        <v>19</v>
      </c>
      <c r="W696" s="70" t="s">
        <v>19</v>
      </c>
      <c r="X696" s="70" t="s">
        <v>19</v>
      </c>
      <c r="Y696" s="70" t="s">
        <v>19</v>
      </c>
      <c r="Z696" s="70" t="s">
        <v>19</v>
      </c>
      <c r="AA696" s="72" t="s">
        <v>19</v>
      </c>
      <c r="AB696" s="72" t="s">
        <v>19</v>
      </c>
      <c r="AC696" s="72" t="s">
        <v>19</v>
      </c>
      <c r="AD696" s="72" t="s">
        <v>19</v>
      </c>
      <c r="AE696" s="6" t="s">
        <v>19</v>
      </c>
      <c r="AF696" s="15" t="s">
        <v>19</v>
      </c>
      <c r="AG696" s="15" t="s">
        <v>19</v>
      </c>
      <c r="AH696" s="15" t="s">
        <v>19</v>
      </c>
      <c r="AI696" s="15" t="s">
        <v>19</v>
      </c>
      <c r="AJ696" s="15" t="s">
        <v>19</v>
      </c>
      <c r="AK696" s="15" t="s">
        <v>19</v>
      </c>
      <c r="AL696" s="15" t="s">
        <v>19</v>
      </c>
      <c r="AM696" s="15" t="s">
        <v>19</v>
      </c>
      <c r="AN696" s="15" t="s">
        <v>19</v>
      </c>
      <c r="AO696" s="15" t="s">
        <v>19</v>
      </c>
      <c r="AP696" s="15" t="s">
        <v>19</v>
      </c>
      <c r="AQ696" s="15" t="s">
        <v>19</v>
      </c>
      <c r="AR696" s="15" t="s">
        <v>19</v>
      </c>
      <c r="AS696" s="70" t="s">
        <v>19</v>
      </c>
      <c r="AT696" s="70" t="s">
        <v>19</v>
      </c>
      <c r="AU696" s="18" t="s">
        <v>3153</v>
      </c>
      <c r="AV696" s="36" t="s">
        <v>19</v>
      </c>
    </row>
    <row r="697" spans="1:48" ht="89.25" hidden="1" customHeight="1" x14ac:dyDescent="0.3">
      <c r="A697" s="15" t="s">
        <v>682</v>
      </c>
      <c r="B697" s="15" t="s">
        <v>714</v>
      </c>
      <c r="C697" s="15" t="s">
        <v>801</v>
      </c>
      <c r="D697" s="15" t="s">
        <v>19</v>
      </c>
      <c r="E697" s="70" t="s">
        <v>19</v>
      </c>
      <c r="F697" s="20" t="s">
        <v>3189</v>
      </c>
      <c r="G697" s="70" t="s">
        <v>19</v>
      </c>
      <c r="H697" s="20" t="s">
        <v>3189</v>
      </c>
      <c r="I697" s="72" t="s">
        <v>19</v>
      </c>
      <c r="J697" s="120" t="s">
        <v>3192</v>
      </c>
      <c r="K697" s="70" t="s">
        <v>19</v>
      </c>
      <c r="L697" s="120" t="s">
        <v>3192</v>
      </c>
      <c r="M697" s="15" t="s">
        <v>802</v>
      </c>
      <c r="N697" s="15" t="s">
        <v>1640</v>
      </c>
      <c r="O697" s="15"/>
      <c r="P697" s="4" t="s">
        <v>1793</v>
      </c>
      <c r="S697" s="15" t="e" cm="1">
        <f t="array" aca="1" ref="S697" ca="1">COMMONMARKETCOUNT(H697:AV697)</f>
        <v>#NAME?</v>
      </c>
      <c r="T697" s="15" t="e" cm="1">
        <f t="array" aca="1" ref="T697" ca="1">AUTOMATEDCOUNT(H697:AU697)</f>
        <v>#NAME?</v>
      </c>
      <c r="V697" s="70" t="s">
        <v>19</v>
      </c>
      <c r="W697" s="70" t="s">
        <v>19</v>
      </c>
      <c r="X697" s="70" t="s">
        <v>19</v>
      </c>
      <c r="Y697" s="70" t="s">
        <v>19</v>
      </c>
      <c r="Z697" s="70" t="s">
        <v>19</v>
      </c>
      <c r="AA697" s="72" t="s">
        <v>19</v>
      </c>
      <c r="AB697" s="72" t="s">
        <v>19</v>
      </c>
      <c r="AC697" s="72" t="s">
        <v>19</v>
      </c>
      <c r="AD697" s="72" t="s">
        <v>19</v>
      </c>
      <c r="AE697" s="18" t="s">
        <v>19</v>
      </c>
      <c r="AF697" s="15" t="s">
        <v>19</v>
      </c>
      <c r="AG697" s="15" t="s">
        <v>19</v>
      </c>
      <c r="AH697" s="15" t="s">
        <v>19</v>
      </c>
      <c r="AI697" s="15" t="s">
        <v>19</v>
      </c>
      <c r="AJ697" s="15" t="s">
        <v>19</v>
      </c>
      <c r="AK697" s="15" t="s">
        <v>19</v>
      </c>
      <c r="AL697" s="15" t="s">
        <v>19</v>
      </c>
      <c r="AM697" s="18" t="s">
        <v>19</v>
      </c>
      <c r="AN697" s="18" t="s">
        <v>19</v>
      </c>
      <c r="AO697" s="18" t="s">
        <v>19</v>
      </c>
      <c r="AP697" s="15" t="s">
        <v>19</v>
      </c>
      <c r="AQ697" s="15" t="s">
        <v>19</v>
      </c>
      <c r="AR697" s="15" t="s">
        <v>19</v>
      </c>
      <c r="AS697" s="70" t="s">
        <v>19</v>
      </c>
      <c r="AT697" s="70" t="s">
        <v>19</v>
      </c>
      <c r="AU697" s="15" t="s">
        <v>3153</v>
      </c>
      <c r="AV697" s="36" t="s">
        <v>19</v>
      </c>
    </row>
    <row r="698" spans="1:48" ht="89.25" customHeight="1" x14ac:dyDescent="0.3">
      <c r="A698" s="15" t="s">
        <v>682</v>
      </c>
      <c r="B698" s="15" t="s">
        <v>683</v>
      </c>
      <c r="C698" s="15" t="s">
        <v>804</v>
      </c>
      <c r="D698" s="15" t="s">
        <v>19</v>
      </c>
      <c r="E698" s="70" t="s">
        <v>19</v>
      </c>
      <c r="F698" s="70" t="s">
        <v>19</v>
      </c>
      <c r="G698" s="70" t="s">
        <v>19</v>
      </c>
      <c r="H698" s="70" t="s">
        <v>3186</v>
      </c>
      <c r="I698" s="72" t="s">
        <v>19</v>
      </c>
      <c r="J698" s="72" t="s">
        <v>19</v>
      </c>
      <c r="K698" s="72" t="s">
        <v>19</v>
      </c>
      <c r="L698" s="72" t="s">
        <v>19</v>
      </c>
      <c r="M698" s="15" t="s">
        <v>1633</v>
      </c>
      <c r="N698" s="15" t="s">
        <v>806</v>
      </c>
      <c r="O698" s="15"/>
      <c r="P698" s="4" t="s">
        <v>3130</v>
      </c>
      <c r="S698" s="15" t="e" cm="1">
        <f t="array" aca="1" ref="S698" ca="1">COMMONMARKETCOUNT(H698:AV698)</f>
        <v>#NAME?</v>
      </c>
      <c r="T698" s="15" t="e" cm="1">
        <f t="array" aca="1" ref="T698" ca="1">AUTOMATEDCOUNT(H698:AU698)</f>
        <v>#NAME?</v>
      </c>
      <c r="V698" s="70" t="s">
        <v>19</v>
      </c>
      <c r="W698" s="70" t="s">
        <v>19</v>
      </c>
      <c r="X698" s="70" t="s">
        <v>19</v>
      </c>
      <c r="Y698" s="70" t="s">
        <v>19</v>
      </c>
      <c r="Z698" s="70" t="s">
        <v>19</v>
      </c>
      <c r="AA698" s="72" t="s">
        <v>19</v>
      </c>
      <c r="AB698" s="72" t="s">
        <v>19</v>
      </c>
      <c r="AC698" s="72" t="s">
        <v>19</v>
      </c>
      <c r="AD698" s="72" t="s">
        <v>19</v>
      </c>
      <c r="AE698" s="18" t="s">
        <v>19</v>
      </c>
      <c r="AF698" s="18" t="s">
        <v>19</v>
      </c>
      <c r="AG698" s="18" t="s">
        <v>19</v>
      </c>
      <c r="AH698" s="18" t="s">
        <v>19</v>
      </c>
      <c r="AI698" s="18" t="s">
        <v>19</v>
      </c>
      <c r="AJ698" s="18" t="s">
        <v>19</v>
      </c>
      <c r="AK698" s="18" t="s">
        <v>19</v>
      </c>
      <c r="AL698" s="18" t="s">
        <v>19</v>
      </c>
      <c r="AM698" s="18" t="s">
        <v>19</v>
      </c>
      <c r="AN698" s="18" t="s">
        <v>19</v>
      </c>
      <c r="AO698" s="18" t="s">
        <v>19</v>
      </c>
      <c r="AP698" s="18" t="s">
        <v>19</v>
      </c>
      <c r="AQ698" s="18" t="s">
        <v>19</v>
      </c>
      <c r="AR698" s="18" t="s">
        <v>19</v>
      </c>
      <c r="AS698" s="70" t="s">
        <v>19</v>
      </c>
      <c r="AT698" s="72" t="s">
        <v>19</v>
      </c>
      <c r="AU698" s="18" t="s">
        <v>3153</v>
      </c>
      <c r="AV698" s="36" t="s">
        <v>19</v>
      </c>
    </row>
    <row r="699" spans="1:48" ht="89.25" hidden="1" customHeight="1" x14ac:dyDescent="0.3">
      <c r="A699" s="15" t="s">
        <v>705</v>
      </c>
      <c r="B699" s="15" t="s">
        <v>683</v>
      </c>
      <c r="C699" s="15" t="s">
        <v>805</v>
      </c>
      <c r="D699" s="15" t="s">
        <v>32</v>
      </c>
      <c r="E699" s="15" t="s">
        <v>19</v>
      </c>
      <c r="F699" s="15" t="s">
        <v>19</v>
      </c>
      <c r="G699" s="15" t="s">
        <v>19</v>
      </c>
      <c r="H699" s="15" t="s">
        <v>19</v>
      </c>
      <c r="I699" s="15" t="s">
        <v>19</v>
      </c>
      <c r="J699" s="15" t="s">
        <v>19</v>
      </c>
      <c r="K699" s="15" t="s">
        <v>19</v>
      </c>
      <c r="L699" s="15" t="s">
        <v>19</v>
      </c>
      <c r="M699" s="15" t="s">
        <v>3011</v>
      </c>
      <c r="N699" s="15" t="s">
        <v>809</v>
      </c>
      <c r="O699" s="15"/>
      <c r="P699" s="4" t="s">
        <v>1794</v>
      </c>
      <c r="S699" s="15" t="e" cm="1">
        <f t="array" aca="1" ref="S699" ca="1">COMMONMARKETCOUNT(H699:AV699)</f>
        <v>#NAME?</v>
      </c>
      <c r="T699" s="15" t="e" cm="1">
        <f t="array" aca="1" ref="T699" ca="1">AUTOMATEDCOUNT(H699:AU699)</f>
        <v>#NAME?</v>
      </c>
      <c r="V699" s="15" t="s">
        <v>19</v>
      </c>
      <c r="W699" s="15" t="s">
        <v>19</v>
      </c>
      <c r="X699" s="15" t="s">
        <v>19</v>
      </c>
      <c r="Y699" s="15" t="s">
        <v>19</v>
      </c>
      <c r="Z699" s="15" t="s">
        <v>19</v>
      </c>
      <c r="AA699" s="15" t="s">
        <v>19</v>
      </c>
      <c r="AB699" s="15" t="s">
        <v>19</v>
      </c>
      <c r="AC699" s="15" t="s">
        <v>19</v>
      </c>
      <c r="AD699" s="6" t="s">
        <v>19</v>
      </c>
      <c r="AE699" s="6" t="s">
        <v>19</v>
      </c>
      <c r="AF699" s="15" t="s">
        <v>19</v>
      </c>
      <c r="AG699" s="15" t="s">
        <v>19</v>
      </c>
      <c r="AH699" s="15" t="s">
        <v>19</v>
      </c>
      <c r="AI699" s="15" t="s">
        <v>19</v>
      </c>
      <c r="AJ699" s="15" t="s">
        <v>19</v>
      </c>
      <c r="AK699" s="15" t="s">
        <v>19</v>
      </c>
      <c r="AL699" s="15" t="s">
        <v>19</v>
      </c>
      <c r="AM699" s="15" t="s">
        <v>19</v>
      </c>
      <c r="AN699" s="15" t="s">
        <v>19</v>
      </c>
      <c r="AO699" s="15" t="s">
        <v>19</v>
      </c>
      <c r="AP699" s="15" t="s">
        <v>19</v>
      </c>
      <c r="AQ699" s="15" t="s">
        <v>19</v>
      </c>
      <c r="AR699" s="15" t="s">
        <v>19</v>
      </c>
      <c r="AS699" s="15" t="s">
        <v>19</v>
      </c>
      <c r="AT699" s="15" t="s">
        <v>19</v>
      </c>
      <c r="AU699" s="18" t="s">
        <v>3153</v>
      </c>
      <c r="AV699" s="36" t="s">
        <v>19</v>
      </c>
    </row>
    <row r="700" spans="1:48" ht="89.25" hidden="1" customHeight="1" x14ac:dyDescent="0.3">
      <c r="A700" s="15" t="s">
        <v>705</v>
      </c>
      <c r="B700" s="15" t="s">
        <v>1307</v>
      </c>
      <c r="C700" s="15" t="s">
        <v>807</v>
      </c>
      <c r="D700" s="15" t="s">
        <v>32</v>
      </c>
      <c r="E700" s="15" t="s">
        <v>19</v>
      </c>
      <c r="F700" s="15" t="s">
        <v>19</v>
      </c>
      <c r="G700" s="15" t="s">
        <v>19</v>
      </c>
      <c r="H700" s="15" t="s">
        <v>19</v>
      </c>
      <c r="I700" s="18" t="s">
        <v>19</v>
      </c>
      <c r="J700" s="18" t="s">
        <v>19</v>
      </c>
      <c r="K700" s="18" t="s">
        <v>19</v>
      </c>
      <c r="L700" s="18" t="s">
        <v>19</v>
      </c>
      <c r="M700" s="15" t="s">
        <v>808</v>
      </c>
      <c r="N700" s="15" t="s">
        <v>1642</v>
      </c>
      <c r="O700" s="15"/>
      <c r="P700" s="4" t="s">
        <v>1795</v>
      </c>
      <c r="S700" s="15" t="e" cm="1">
        <f t="array" aca="1" ref="S700" ca="1">COMMONMARKETCOUNT(H700:AV700)</f>
        <v>#NAME?</v>
      </c>
      <c r="T700" s="15" t="e" cm="1">
        <f t="array" aca="1" ref="T700" ca="1">AUTOMATEDCOUNT(H700:AU700)</f>
        <v>#NAME?</v>
      </c>
      <c r="V700" s="15" t="s">
        <v>19</v>
      </c>
      <c r="W700" s="15" t="s">
        <v>19</v>
      </c>
      <c r="X700" s="15" t="s">
        <v>19</v>
      </c>
      <c r="Y700" s="15" t="s">
        <v>19</v>
      </c>
      <c r="Z700" s="15" t="s">
        <v>19</v>
      </c>
      <c r="AA700" s="18" t="s">
        <v>19</v>
      </c>
      <c r="AB700" s="18" t="s">
        <v>19</v>
      </c>
      <c r="AC700" s="18" t="s">
        <v>19</v>
      </c>
      <c r="AD700" s="18" t="s">
        <v>19</v>
      </c>
      <c r="AE700" s="18" t="s">
        <v>19</v>
      </c>
      <c r="AF700" s="18" t="s">
        <v>19</v>
      </c>
      <c r="AG700" s="18" t="s">
        <v>19</v>
      </c>
      <c r="AH700" s="18" t="s">
        <v>19</v>
      </c>
      <c r="AI700" s="18" t="s">
        <v>19</v>
      </c>
      <c r="AJ700" s="18" t="s">
        <v>19</v>
      </c>
      <c r="AK700" s="18" t="s">
        <v>19</v>
      </c>
      <c r="AL700" s="18" t="s">
        <v>19</v>
      </c>
      <c r="AM700" s="18" t="s">
        <v>19</v>
      </c>
      <c r="AN700" s="18" t="s">
        <v>19</v>
      </c>
      <c r="AO700" s="18" t="s">
        <v>19</v>
      </c>
      <c r="AP700" s="18" t="s">
        <v>19</v>
      </c>
      <c r="AQ700" s="18" t="s">
        <v>19</v>
      </c>
      <c r="AR700" s="18" t="s">
        <v>19</v>
      </c>
      <c r="AS700" s="18" t="s">
        <v>19</v>
      </c>
      <c r="AT700" s="18" t="s">
        <v>19</v>
      </c>
      <c r="AU700" s="18" t="s">
        <v>3153</v>
      </c>
      <c r="AV700" s="36" t="s">
        <v>19</v>
      </c>
    </row>
    <row r="701" spans="1:48" ht="59.25" hidden="1" customHeight="1" x14ac:dyDescent="0.3">
      <c r="A701" s="15" t="s">
        <v>705</v>
      </c>
      <c r="B701" s="15" t="s">
        <v>811</v>
      </c>
      <c r="C701" s="15" t="s">
        <v>810</v>
      </c>
      <c r="D701" s="15" t="s">
        <v>32</v>
      </c>
      <c r="E701" s="15" t="s">
        <v>19</v>
      </c>
      <c r="F701" s="15" t="s">
        <v>19</v>
      </c>
      <c r="G701" s="15" t="s">
        <v>19</v>
      </c>
      <c r="H701" s="15" t="s">
        <v>19</v>
      </c>
      <c r="I701" s="18" t="s">
        <v>19</v>
      </c>
      <c r="J701" s="18" t="s">
        <v>19</v>
      </c>
      <c r="K701" s="18" t="s">
        <v>19</v>
      </c>
      <c r="L701" s="18" t="s">
        <v>19</v>
      </c>
      <c r="M701" s="15" t="s">
        <v>1635</v>
      </c>
      <c r="N701" s="15" t="s">
        <v>813</v>
      </c>
      <c r="O701" s="15"/>
      <c r="P701" s="4" t="s">
        <v>3131</v>
      </c>
      <c r="S701" s="15" t="e" cm="1">
        <f t="array" aca="1" ref="S701" ca="1">COMMONMARKETCOUNT(H701:AV701)</f>
        <v>#NAME?</v>
      </c>
      <c r="T701" s="15" t="e" cm="1">
        <f t="array" aca="1" ref="T701" ca="1">AUTOMATEDCOUNT(H701:AU701)</f>
        <v>#NAME?</v>
      </c>
      <c r="V701" s="15" t="s">
        <v>19</v>
      </c>
      <c r="W701" s="15" t="s">
        <v>19</v>
      </c>
      <c r="X701" s="15" t="s">
        <v>19</v>
      </c>
      <c r="Y701" s="15" t="s">
        <v>19</v>
      </c>
      <c r="Z701" s="15" t="s">
        <v>19</v>
      </c>
      <c r="AA701" s="18" t="s">
        <v>19</v>
      </c>
      <c r="AB701" s="18" t="s">
        <v>19</v>
      </c>
      <c r="AC701" s="18" t="s">
        <v>19</v>
      </c>
      <c r="AD701" s="18" t="s">
        <v>19</v>
      </c>
      <c r="AE701" s="18" t="s">
        <v>19</v>
      </c>
      <c r="AF701" s="18" t="s">
        <v>19</v>
      </c>
      <c r="AG701" s="18" t="s">
        <v>19</v>
      </c>
      <c r="AH701" s="18" t="s">
        <v>19</v>
      </c>
      <c r="AI701" s="18" t="s">
        <v>19</v>
      </c>
      <c r="AJ701" s="18" t="s">
        <v>19</v>
      </c>
      <c r="AK701" s="18" t="s">
        <v>19</v>
      </c>
      <c r="AL701" s="18" t="s">
        <v>19</v>
      </c>
      <c r="AM701" s="18" t="s">
        <v>19</v>
      </c>
      <c r="AN701" s="18" t="s">
        <v>19</v>
      </c>
      <c r="AO701" s="18" t="s">
        <v>19</v>
      </c>
      <c r="AP701" s="18" t="s">
        <v>19</v>
      </c>
      <c r="AQ701" s="18" t="s">
        <v>19</v>
      </c>
      <c r="AR701" s="18" t="s">
        <v>19</v>
      </c>
      <c r="AS701" s="18" t="s">
        <v>19</v>
      </c>
      <c r="AT701" s="18" t="s">
        <v>19</v>
      </c>
      <c r="AU701" s="18" t="s">
        <v>3153</v>
      </c>
      <c r="AV701" s="36" t="s">
        <v>19</v>
      </c>
    </row>
    <row r="702" spans="1:48" ht="89.25" hidden="1" customHeight="1" x14ac:dyDescent="0.3">
      <c r="A702" s="15" t="s">
        <v>682</v>
      </c>
      <c r="B702" s="15" t="s">
        <v>714</v>
      </c>
      <c r="C702" s="19" t="s">
        <v>812</v>
      </c>
      <c r="D702" s="15" t="s">
        <v>19</v>
      </c>
      <c r="E702" s="70" t="s">
        <v>19</v>
      </c>
      <c r="F702" s="70" t="s">
        <v>3178</v>
      </c>
      <c r="G702" s="70" t="s">
        <v>19</v>
      </c>
      <c r="H702" s="70" t="s">
        <v>3178</v>
      </c>
      <c r="I702" s="72" t="s">
        <v>19</v>
      </c>
      <c r="J702" s="120" t="s">
        <v>3192</v>
      </c>
      <c r="K702" s="72" t="s">
        <v>19</v>
      </c>
      <c r="L702" s="120" t="s">
        <v>3192</v>
      </c>
      <c r="M702" s="15" t="s">
        <v>3012</v>
      </c>
      <c r="N702" s="15" t="s">
        <v>817</v>
      </c>
      <c r="O702" s="15"/>
      <c r="P702" s="4" t="s">
        <v>814</v>
      </c>
      <c r="S702" s="15" t="e" cm="1">
        <f t="array" aca="1" ref="S702" ca="1">COMMONMARKETCOUNT(H702:AV702)</f>
        <v>#NAME?</v>
      </c>
      <c r="T702" s="15" t="e" cm="1">
        <f t="array" aca="1" ref="T702" ca="1">AUTOMATEDCOUNT(H702:AU702)</f>
        <v>#NAME?</v>
      </c>
      <c r="V702" s="70" t="s">
        <v>19</v>
      </c>
      <c r="W702" s="70" t="s">
        <v>19</v>
      </c>
      <c r="X702" s="70" t="s">
        <v>19</v>
      </c>
      <c r="Y702" s="70" t="s">
        <v>19</v>
      </c>
      <c r="Z702" s="70" t="s">
        <v>19</v>
      </c>
      <c r="AA702" s="72" t="s">
        <v>19</v>
      </c>
      <c r="AB702" s="72" t="s">
        <v>19</v>
      </c>
      <c r="AC702" s="72" t="s">
        <v>19</v>
      </c>
      <c r="AD702" s="96" t="s">
        <v>19</v>
      </c>
      <c r="AE702" s="6" t="s">
        <v>19</v>
      </c>
      <c r="AF702" s="18" t="s">
        <v>19</v>
      </c>
      <c r="AG702" s="18" t="s">
        <v>19</v>
      </c>
      <c r="AH702" s="18" t="s">
        <v>19</v>
      </c>
      <c r="AI702" s="18" t="s">
        <v>19</v>
      </c>
      <c r="AJ702" s="18" t="s">
        <v>19</v>
      </c>
      <c r="AK702" s="18" t="s">
        <v>19</v>
      </c>
      <c r="AL702" s="18" t="s">
        <v>19</v>
      </c>
      <c r="AM702" s="18" t="s">
        <v>19</v>
      </c>
      <c r="AN702" s="18" t="s">
        <v>19</v>
      </c>
      <c r="AO702" s="18" t="s">
        <v>19</v>
      </c>
      <c r="AP702" s="18" t="s">
        <v>19</v>
      </c>
      <c r="AQ702" s="18" t="s">
        <v>19</v>
      </c>
      <c r="AR702" s="18" t="s">
        <v>19</v>
      </c>
      <c r="AS702" s="70" t="s">
        <v>19</v>
      </c>
      <c r="AT702" s="72" t="s">
        <v>19</v>
      </c>
      <c r="AU702" s="18" t="s">
        <v>3153</v>
      </c>
      <c r="AV702" s="36" t="s">
        <v>19</v>
      </c>
    </row>
    <row r="703" spans="1:48" ht="89.25" hidden="1" customHeight="1" x14ac:dyDescent="0.3">
      <c r="A703" s="15" t="s">
        <v>682</v>
      </c>
      <c r="B703" s="15" t="s">
        <v>714</v>
      </c>
      <c r="C703" s="19" t="s">
        <v>815</v>
      </c>
      <c r="D703" s="15" t="s">
        <v>19</v>
      </c>
      <c r="E703" s="70" t="s">
        <v>19</v>
      </c>
      <c r="F703" s="70" t="s">
        <v>3178</v>
      </c>
      <c r="G703" s="70" t="s">
        <v>19</v>
      </c>
      <c r="H703" s="70" t="s">
        <v>3178</v>
      </c>
      <c r="I703" s="72" t="s">
        <v>19</v>
      </c>
      <c r="J703" s="120" t="s">
        <v>3192</v>
      </c>
      <c r="K703" s="72" t="s">
        <v>19</v>
      </c>
      <c r="L703" s="120" t="s">
        <v>3192</v>
      </c>
      <c r="M703" s="15" t="s">
        <v>816</v>
      </c>
      <c r="N703" s="15" t="s">
        <v>1641</v>
      </c>
      <c r="O703" s="15"/>
      <c r="P703" s="4" t="s">
        <v>1796</v>
      </c>
      <c r="S703" s="15" t="e" cm="1">
        <f t="array" aca="1" ref="S703" ca="1">COMMONMARKETCOUNT(H703:AV703)</f>
        <v>#NAME?</v>
      </c>
      <c r="T703" s="15" t="e" cm="1">
        <f t="array" aca="1" ref="T703" ca="1">AUTOMATEDCOUNT(H703:AU703)</f>
        <v>#NAME?</v>
      </c>
      <c r="V703" s="70" t="s">
        <v>19</v>
      </c>
      <c r="W703" s="70" t="s">
        <v>19</v>
      </c>
      <c r="X703" s="70" t="s">
        <v>19</v>
      </c>
      <c r="Y703" s="70" t="s">
        <v>19</v>
      </c>
      <c r="Z703" s="70" t="s">
        <v>19</v>
      </c>
      <c r="AA703" s="72" t="s">
        <v>19</v>
      </c>
      <c r="AB703" s="72" t="s">
        <v>19</v>
      </c>
      <c r="AC703" s="72" t="s">
        <v>19</v>
      </c>
      <c r="AD703" s="72" t="s">
        <v>19</v>
      </c>
      <c r="AE703" s="18" t="s">
        <v>19</v>
      </c>
      <c r="AF703" s="18" t="s">
        <v>19</v>
      </c>
      <c r="AG703" s="18" t="s">
        <v>19</v>
      </c>
      <c r="AH703" s="18" t="s">
        <v>19</v>
      </c>
      <c r="AI703" s="18" t="s">
        <v>19</v>
      </c>
      <c r="AJ703" s="18" t="s">
        <v>19</v>
      </c>
      <c r="AK703" s="18" t="s">
        <v>19</v>
      </c>
      <c r="AL703" s="18" t="s">
        <v>19</v>
      </c>
      <c r="AM703" s="18" t="s">
        <v>19</v>
      </c>
      <c r="AN703" s="18" t="s">
        <v>19</v>
      </c>
      <c r="AO703" s="18" t="s">
        <v>19</v>
      </c>
      <c r="AP703" s="18" t="s">
        <v>19</v>
      </c>
      <c r="AQ703" s="18" t="s">
        <v>19</v>
      </c>
      <c r="AR703" s="18" t="s">
        <v>19</v>
      </c>
      <c r="AS703" s="70" t="s">
        <v>19</v>
      </c>
      <c r="AT703" s="72" t="s">
        <v>19</v>
      </c>
      <c r="AU703" s="18" t="s">
        <v>3153</v>
      </c>
      <c r="AV703" s="36" t="s">
        <v>19</v>
      </c>
    </row>
    <row r="704" spans="1:48" ht="63.75" customHeight="1" x14ac:dyDescent="0.3">
      <c r="A704" s="15" t="s">
        <v>682</v>
      </c>
      <c r="B704" s="15" t="s">
        <v>683</v>
      </c>
      <c r="C704" s="19" t="s">
        <v>818</v>
      </c>
      <c r="D704" s="15" t="s">
        <v>19</v>
      </c>
      <c r="E704" s="70" t="s">
        <v>19</v>
      </c>
      <c r="F704" s="70" t="s">
        <v>19</v>
      </c>
      <c r="G704" s="70" t="s">
        <v>19</v>
      </c>
      <c r="H704" s="70" t="s">
        <v>3186</v>
      </c>
      <c r="I704" s="72" t="s">
        <v>19</v>
      </c>
      <c r="J704" s="72" t="s">
        <v>19</v>
      </c>
      <c r="K704" s="72" t="s">
        <v>19</v>
      </c>
      <c r="L704" s="72" t="s">
        <v>19</v>
      </c>
      <c r="M704" s="15" t="s">
        <v>1634</v>
      </c>
      <c r="N704" s="15" t="s">
        <v>820</v>
      </c>
      <c r="O704" s="15"/>
      <c r="P704" s="4" t="s">
        <v>3132</v>
      </c>
      <c r="S704" s="15" t="e" cm="1">
        <f t="array" aca="1" ref="S704" ca="1">COMMONMARKETCOUNT(H704:AV704)</f>
        <v>#NAME?</v>
      </c>
      <c r="T704" s="15" t="e" cm="1">
        <f t="array" aca="1" ref="T704" ca="1">AUTOMATEDCOUNT(H704:AU704)</f>
        <v>#NAME?</v>
      </c>
      <c r="V704" s="70" t="s">
        <v>19</v>
      </c>
      <c r="W704" s="70" t="s">
        <v>19</v>
      </c>
      <c r="X704" s="70" t="s">
        <v>19</v>
      </c>
      <c r="Y704" s="70" t="s">
        <v>19</v>
      </c>
      <c r="Z704" s="70" t="s">
        <v>19</v>
      </c>
      <c r="AA704" s="72" t="s">
        <v>19</v>
      </c>
      <c r="AB704" s="72" t="s">
        <v>19</v>
      </c>
      <c r="AC704" s="72" t="s">
        <v>19</v>
      </c>
      <c r="AD704" s="72" t="s">
        <v>19</v>
      </c>
      <c r="AE704" s="18" t="s">
        <v>19</v>
      </c>
      <c r="AF704" s="18" t="s">
        <v>19</v>
      </c>
      <c r="AG704" s="18" t="s">
        <v>19</v>
      </c>
      <c r="AH704" s="18" t="s">
        <v>19</v>
      </c>
      <c r="AI704" s="18" t="s">
        <v>19</v>
      </c>
      <c r="AJ704" s="18" t="s">
        <v>19</v>
      </c>
      <c r="AK704" s="18" t="s">
        <v>19</v>
      </c>
      <c r="AL704" s="18" t="s">
        <v>19</v>
      </c>
      <c r="AM704" s="18" t="s">
        <v>19</v>
      </c>
      <c r="AN704" s="18" t="s">
        <v>19</v>
      </c>
      <c r="AO704" s="18" t="s">
        <v>19</v>
      </c>
      <c r="AP704" s="18" t="s">
        <v>19</v>
      </c>
      <c r="AQ704" s="18" t="s">
        <v>19</v>
      </c>
      <c r="AR704" s="18" t="s">
        <v>19</v>
      </c>
      <c r="AS704" s="70" t="s">
        <v>19</v>
      </c>
      <c r="AT704" s="72" t="s">
        <v>19</v>
      </c>
      <c r="AU704" s="18" t="s">
        <v>3153</v>
      </c>
      <c r="AV704" s="36" t="s">
        <v>19</v>
      </c>
    </row>
    <row r="705" spans="1:264" ht="51" hidden="1" customHeight="1" x14ac:dyDescent="0.3">
      <c r="A705" s="15" t="s">
        <v>682</v>
      </c>
      <c r="B705" s="15" t="s">
        <v>714</v>
      </c>
      <c r="C705" s="19" t="s">
        <v>819</v>
      </c>
      <c r="D705" s="15" t="s">
        <v>19</v>
      </c>
      <c r="E705" s="70" t="s">
        <v>19</v>
      </c>
      <c r="F705" s="70" t="s">
        <v>3178</v>
      </c>
      <c r="G705" s="70" t="s">
        <v>19</v>
      </c>
      <c r="H705" s="70" t="s">
        <v>3178</v>
      </c>
      <c r="I705" s="18" t="s">
        <v>109</v>
      </c>
      <c r="J705" s="18" t="s">
        <v>109</v>
      </c>
      <c r="K705" s="18" t="s">
        <v>109</v>
      </c>
      <c r="L705" s="18" t="s">
        <v>109</v>
      </c>
      <c r="M705" s="15" t="s">
        <v>3013</v>
      </c>
      <c r="N705" s="15" t="s">
        <v>824</v>
      </c>
      <c r="O705" s="15"/>
      <c r="P705" s="4" t="s">
        <v>821</v>
      </c>
      <c r="S705" s="15" t="e" cm="1">
        <f t="array" aca="1" ref="S705" ca="1">COMMONMARKETCOUNT(H705:AV705)</f>
        <v>#NAME?</v>
      </c>
      <c r="T705" s="15" t="e" cm="1">
        <f t="array" aca="1" ref="T705" ca="1">AUTOMATEDCOUNT(H705:AU705)</f>
        <v>#NAME?</v>
      </c>
      <c r="V705" s="70" t="s">
        <v>19</v>
      </c>
      <c r="W705" s="70" t="s">
        <v>19</v>
      </c>
      <c r="X705" s="70" t="s">
        <v>19</v>
      </c>
      <c r="Y705" s="70" t="s">
        <v>19</v>
      </c>
      <c r="Z705" s="70" t="s">
        <v>19</v>
      </c>
      <c r="AA705" s="18" t="s">
        <v>109</v>
      </c>
      <c r="AB705" s="18" t="s">
        <v>109</v>
      </c>
      <c r="AC705" s="18" t="s">
        <v>109</v>
      </c>
      <c r="AD705" s="18" t="s">
        <v>19</v>
      </c>
      <c r="AE705" s="18" t="s">
        <v>19</v>
      </c>
      <c r="AF705" s="18" t="s">
        <v>109</v>
      </c>
      <c r="AG705" s="18" t="s">
        <v>109</v>
      </c>
      <c r="AH705" s="18" t="s">
        <v>109</v>
      </c>
      <c r="AI705" s="18" t="s">
        <v>109</v>
      </c>
      <c r="AJ705" s="18" t="s">
        <v>109</v>
      </c>
      <c r="AK705" s="18" t="s">
        <v>109</v>
      </c>
      <c r="AL705" s="18" t="s">
        <v>109</v>
      </c>
      <c r="AM705" s="18" t="s">
        <v>109</v>
      </c>
      <c r="AN705" s="18" t="s">
        <v>109</v>
      </c>
      <c r="AO705" s="18" t="s">
        <v>109</v>
      </c>
      <c r="AP705" s="18" t="s">
        <v>19</v>
      </c>
      <c r="AQ705" s="18" t="s">
        <v>19</v>
      </c>
      <c r="AR705" s="18" t="s">
        <v>19</v>
      </c>
      <c r="AS705" s="70" t="s">
        <v>19</v>
      </c>
      <c r="AT705" s="72" t="s">
        <v>19</v>
      </c>
      <c r="AU705" s="18" t="s">
        <v>109</v>
      </c>
      <c r="AV705" s="36" t="s">
        <v>19</v>
      </c>
    </row>
    <row r="706" spans="1:264" ht="57" customHeight="1" x14ac:dyDescent="0.3">
      <c r="A706" s="15" t="s">
        <v>682</v>
      </c>
      <c r="B706" s="15" t="s">
        <v>714</v>
      </c>
      <c r="C706" s="19" t="s">
        <v>822</v>
      </c>
      <c r="D706" s="15" t="s">
        <v>19</v>
      </c>
      <c r="E706" s="70" t="s">
        <v>19</v>
      </c>
      <c r="F706" s="70" t="s">
        <v>3178</v>
      </c>
      <c r="G706" s="70" t="s">
        <v>19</v>
      </c>
      <c r="H706" s="70" t="s">
        <v>3186</v>
      </c>
      <c r="I706" s="18" t="s">
        <v>109</v>
      </c>
      <c r="J706" s="18" t="s">
        <v>109</v>
      </c>
      <c r="K706" s="18" t="s">
        <v>109</v>
      </c>
      <c r="L706" s="18" t="s">
        <v>109</v>
      </c>
      <c r="M706" s="15" t="s">
        <v>823</v>
      </c>
      <c r="N706" s="15" t="s">
        <v>1639</v>
      </c>
      <c r="O706" s="15"/>
      <c r="P706" s="4" t="s">
        <v>825</v>
      </c>
      <c r="S706" s="15" t="e" cm="1">
        <f t="array" aca="1" ref="S706" ca="1">COMMONMARKETCOUNT(H706:AV706)</f>
        <v>#NAME?</v>
      </c>
      <c r="T706" s="15" t="e" cm="1">
        <f t="array" aca="1" ref="T706" ca="1">AUTOMATEDCOUNT(H706:AU706)</f>
        <v>#NAME?</v>
      </c>
      <c r="V706" s="70" t="s">
        <v>19</v>
      </c>
      <c r="W706" s="70" t="s">
        <v>19</v>
      </c>
      <c r="X706" s="70" t="s">
        <v>19</v>
      </c>
      <c r="Y706" s="70" t="s">
        <v>19</v>
      </c>
      <c r="Z706" s="70" t="s">
        <v>19</v>
      </c>
      <c r="AA706" s="18" t="s">
        <v>109</v>
      </c>
      <c r="AB706" s="18" t="s">
        <v>109</v>
      </c>
      <c r="AC706" s="18" t="s">
        <v>109</v>
      </c>
      <c r="AD706" s="15" t="s">
        <v>109</v>
      </c>
      <c r="AE706" s="15" t="s">
        <v>109</v>
      </c>
      <c r="AF706" s="18" t="s">
        <v>109</v>
      </c>
      <c r="AG706" s="18" t="s">
        <v>109</v>
      </c>
      <c r="AH706" s="18" t="s">
        <v>109</v>
      </c>
      <c r="AI706" s="18" t="s">
        <v>109</v>
      </c>
      <c r="AJ706" s="18" t="s">
        <v>109</v>
      </c>
      <c r="AK706" s="18" t="s">
        <v>109</v>
      </c>
      <c r="AL706" s="18" t="s">
        <v>109</v>
      </c>
      <c r="AM706" s="18" t="s">
        <v>109</v>
      </c>
      <c r="AN706" s="18" t="s">
        <v>109</v>
      </c>
      <c r="AO706" s="18" t="s">
        <v>109</v>
      </c>
      <c r="AP706" s="18" t="s">
        <v>19</v>
      </c>
      <c r="AQ706" s="18" t="s">
        <v>19</v>
      </c>
      <c r="AR706" s="18" t="s">
        <v>19</v>
      </c>
      <c r="AS706" s="70" t="s">
        <v>19</v>
      </c>
      <c r="AT706" s="72" t="s">
        <v>19</v>
      </c>
      <c r="AU706" s="18" t="s">
        <v>109</v>
      </c>
      <c r="AV706" s="36" t="s">
        <v>19</v>
      </c>
    </row>
    <row r="707" spans="1:264" ht="64.5" customHeight="1" x14ac:dyDescent="0.3">
      <c r="A707" s="15" t="s">
        <v>682</v>
      </c>
      <c r="B707" s="15" t="s">
        <v>683</v>
      </c>
      <c r="C707" s="19" t="s">
        <v>826</v>
      </c>
      <c r="D707" s="15" t="s">
        <v>19</v>
      </c>
      <c r="E707" s="70" t="s">
        <v>19</v>
      </c>
      <c r="F707" s="70" t="s">
        <v>19</v>
      </c>
      <c r="G707" s="70" t="s">
        <v>19</v>
      </c>
      <c r="H707" s="70" t="s">
        <v>3186</v>
      </c>
      <c r="I707" s="18" t="s">
        <v>109</v>
      </c>
      <c r="J707" s="18" t="s">
        <v>109</v>
      </c>
      <c r="K707" s="18" t="s">
        <v>109</v>
      </c>
      <c r="L707" s="18" t="s">
        <v>109</v>
      </c>
      <c r="M707" s="15" t="s">
        <v>1632</v>
      </c>
      <c r="N707" s="15" t="s">
        <v>829</v>
      </c>
      <c r="O707" s="15"/>
      <c r="P707" s="4" t="s">
        <v>3133</v>
      </c>
      <c r="S707" s="15" t="e" cm="1">
        <f t="array" aca="1" ref="S707" ca="1">COMMONMARKETCOUNT(H707:AV707)</f>
        <v>#NAME?</v>
      </c>
      <c r="T707" s="15" t="e" cm="1">
        <f t="array" aca="1" ref="T707" ca="1">AUTOMATEDCOUNT(H707:AU707)</f>
        <v>#NAME?</v>
      </c>
      <c r="V707" s="70" t="s">
        <v>19</v>
      </c>
      <c r="W707" s="70" t="s">
        <v>19</v>
      </c>
      <c r="X707" s="70" t="s">
        <v>19</v>
      </c>
      <c r="Y707" s="70" t="s">
        <v>19</v>
      </c>
      <c r="Z707" s="70" t="s">
        <v>19</v>
      </c>
      <c r="AA707" s="18" t="s">
        <v>109</v>
      </c>
      <c r="AB707" s="18" t="s">
        <v>109</v>
      </c>
      <c r="AC707" s="18" t="s">
        <v>109</v>
      </c>
      <c r="AD707" s="18" t="s">
        <v>19</v>
      </c>
      <c r="AE707" s="18" t="s">
        <v>19</v>
      </c>
      <c r="AF707" s="18" t="s">
        <v>109</v>
      </c>
      <c r="AG707" s="18" t="s">
        <v>109</v>
      </c>
      <c r="AH707" s="18" t="s">
        <v>109</v>
      </c>
      <c r="AI707" s="18" t="s">
        <v>109</v>
      </c>
      <c r="AJ707" s="18" t="s">
        <v>109</v>
      </c>
      <c r="AK707" s="18" t="s">
        <v>109</v>
      </c>
      <c r="AL707" s="18" t="s">
        <v>109</v>
      </c>
      <c r="AM707" s="18" t="s">
        <v>109</v>
      </c>
      <c r="AN707" s="18" t="s">
        <v>109</v>
      </c>
      <c r="AO707" s="18" t="s">
        <v>109</v>
      </c>
      <c r="AP707" s="18" t="s">
        <v>19</v>
      </c>
      <c r="AQ707" s="18" t="s">
        <v>19</v>
      </c>
      <c r="AR707" s="18" t="s">
        <v>19</v>
      </c>
      <c r="AS707" s="70" t="s">
        <v>19</v>
      </c>
      <c r="AT707" s="72" t="s">
        <v>19</v>
      </c>
      <c r="AU707" s="18" t="s">
        <v>109</v>
      </c>
      <c r="AV707" s="36" t="s">
        <v>19</v>
      </c>
    </row>
    <row r="708" spans="1:264" ht="129.75" hidden="1" customHeight="1" x14ac:dyDescent="0.3">
      <c r="A708" s="15" t="s">
        <v>682</v>
      </c>
      <c r="B708" s="15" t="s">
        <v>714</v>
      </c>
      <c r="C708" s="102" t="s">
        <v>828</v>
      </c>
      <c r="D708" s="15" t="s">
        <v>19</v>
      </c>
      <c r="E708" s="70" t="s">
        <v>19</v>
      </c>
      <c r="F708" s="70" t="s">
        <v>3178</v>
      </c>
      <c r="G708" s="70" t="s">
        <v>19</v>
      </c>
      <c r="H708" s="70" t="s">
        <v>3178</v>
      </c>
      <c r="I708" s="70" t="s">
        <v>19</v>
      </c>
      <c r="J708" s="120" t="s">
        <v>3192</v>
      </c>
      <c r="K708" s="70" t="s">
        <v>19</v>
      </c>
      <c r="L708" s="120" t="s">
        <v>3192</v>
      </c>
      <c r="M708" s="15" t="s">
        <v>827</v>
      </c>
      <c r="N708" s="15" t="s">
        <v>1797</v>
      </c>
      <c r="O708" s="33" t="s">
        <v>1645</v>
      </c>
      <c r="P708" s="4" t="s">
        <v>998</v>
      </c>
      <c r="S708" s="15" t="e" cm="1">
        <f t="array" aca="1" ref="S708" ca="1">COMMONMARKETCOUNT(H708:AV708)</f>
        <v>#NAME?</v>
      </c>
      <c r="T708" s="15" t="e" cm="1">
        <f t="array" aca="1" ref="T708" ca="1">AUTOMATEDCOUNT(H708:AU708)</f>
        <v>#NAME?</v>
      </c>
      <c r="V708" s="70" t="s">
        <v>19</v>
      </c>
      <c r="W708" s="70" t="s">
        <v>19</v>
      </c>
      <c r="X708" s="70" t="s">
        <v>19</v>
      </c>
      <c r="Y708" s="70" t="s">
        <v>19</v>
      </c>
      <c r="Z708" s="70" t="s">
        <v>19</v>
      </c>
      <c r="AA708" s="70" t="s">
        <v>19</v>
      </c>
      <c r="AB708" s="70" t="s">
        <v>19</v>
      </c>
      <c r="AC708" s="70" t="s">
        <v>19</v>
      </c>
      <c r="AD708" s="72" t="s">
        <v>19</v>
      </c>
      <c r="AE708" s="18" t="s">
        <v>19</v>
      </c>
      <c r="AF708" s="15" t="s">
        <v>19</v>
      </c>
      <c r="AG708" s="15" t="s">
        <v>19</v>
      </c>
      <c r="AH708" s="15" t="s">
        <v>19</v>
      </c>
      <c r="AI708" s="15" t="s">
        <v>19</v>
      </c>
      <c r="AJ708" s="15" t="s">
        <v>19</v>
      </c>
      <c r="AK708" s="15" t="s">
        <v>19</v>
      </c>
      <c r="AL708" s="15" t="s">
        <v>19</v>
      </c>
      <c r="AM708" s="15" t="s">
        <v>19</v>
      </c>
      <c r="AN708" s="15" t="s">
        <v>19</v>
      </c>
      <c r="AO708" s="15" t="s">
        <v>19</v>
      </c>
      <c r="AP708" s="15" t="s">
        <v>19</v>
      </c>
      <c r="AQ708" s="15" t="s">
        <v>19</v>
      </c>
      <c r="AR708" s="15" t="s">
        <v>19</v>
      </c>
      <c r="AS708" s="15" t="s">
        <v>19</v>
      </c>
      <c r="AT708" s="15" t="s">
        <v>19</v>
      </c>
      <c r="AU708" s="15" t="s">
        <v>3153</v>
      </c>
      <c r="AV708" s="36" t="s">
        <v>19</v>
      </c>
    </row>
    <row r="709" spans="1:264" ht="60.75" hidden="1" customHeight="1" x14ac:dyDescent="0.3">
      <c r="A709" s="15" t="s">
        <v>682</v>
      </c>
      <c r="B709" s="15" t="s">
        <v>714</v>
      </c>
      <c r="C709" s="15" t="s">
        <v>830</v>
      </c>
      <c r="D709" s="15" t="s">
        <v>19</v>
      </c>
      <c r="E709" s="70" t="s">
        <v>19</v>
      </c>
      <c r="F709" s="70" t="s">
        <v>3178</v>
      </c>
      <c r="G709" s="70" t="s">
        <v>19</v>
      </c>
      <c r="H709" s="70" t="s">
        <v>3178</v>
      </c>
      <c r="I709" s="72" t="s">
        <v>19</v>
      </c>
      <c r="J709" s="120" t="s">
        <v>3192</v>
      </c>
      <c r="K709" s="72" t="s">
        <v>19</v>
      </c>
      <c r="L709" s="120" t="s">
        <v>3192</v>
      </c>
      <c r="M709" s="15" t="s">
        <v>3014</v>
      </c>
      <c r="N709" s="15" t="s">
        <v>1585</v>
      </c>
      <c r="O709" s="15"/>
      <c r="P709" s="4" t="s">
        <v>1586</v>
      </c>
      <c r="S709" s="15" t="e" cm="1">
        <f t="array" aca="1" ref="S709" ca="1">COMMONMARKETCOUNT(H709:AV709)</f>
        <v>#NAME?</v>
      </c>
      <c r="T709" s="15" t="e" cm="1">
        <f t="array" aca="1" ref="T709" ca="1">AUTOMATEDCOUNT(H709:AU709)</f>
        <v>#NAME?</v>
      </c>
      <c r="V709" s="70" t="s">
        <v>19</v>
      </c>
      <c r="W709" s="70" t="s">
        <v>19</v>
      </c>
      <c r="X709" s="70" t="s">
        <v>19</v>
      </c>
      <c r="Y709" s="70" t="s">
        <v>19</v>
      </c>
      <c r="Z709" s="70" t="s">
        <v>19</v>
      </c>
      <c r="AA709" s="72" t="s">
        <v>19</v>
      </c>
      <c r="AB709" s="72" t="s">
        <v>19</v>
      </c>
      <c r="AC709" s="72" t="s">
        <v>19</v>
      </c>
      <c r="AD709" s="96" t="s">
        <v>19</v>
      </c>
      <c r="AE709" s="6" t="s">
        <v>19</v>
      </c>
      <c r="AF709" s="18" t="s">
        <v>19</v>
      </c>
      <c r="AG709" s="18" t="s">
        <v>19</v>
      </c>
      <c r="AH709" s="18" t="s">
        <v>19</v>
      </c>
      <c r="AI709" s="18" t="s">
        <v>19</v>
      </c>
      <c r="AJ709" s="18" t="s">
        <v>19</v>
      </c>
      <c r="AK709" s="18" t="s">
        <v>19</v>
      </c>
      <c r="AL709" s="18" t="s">
        <v>19</v>
      </c>
      <c r="AM709" s="18" t="s">
        <v>19</v>
      </c>
      <c r="AN709" s="18" t="s">
        <v>19</v>
      </c>
      <c r="AO709" s="18" t="s">
        <v>19</v>
      </c>
      <c r="AP709" s="18" t="s">
        <v>19</v>
      </c>
      <c r="AQ709" s="18" t="s">
        <v>19</v>
      </c>
      <c r="AR709" s="18" t="s">
        <v>19</v>
      </c>
      <c r="AS709" s="70" t="s">
        <v>19</v>
      </c>
      <c r="AT709" s="72" t="s">
        <v>19</v>
      </c>
      <c r="AU709" s="18" t="s">
        <v>3153</v>
      </c>
      <c r="AV709" s="36" t="s">
        <v>19</v>
      </c>
    </row>
    <row r="710" spans="1:264" ht="108" hidden="1" customHeight="1" x14ac:dyDescent="0.3">
      <c r="A710" s="15" t="s">
        <v>705</v>
      </c>
      <c r="B710" s="15" t="s">
        <v>683</v>
      </c>
      <c r="C710" s="15" t="s">
        <v>832</v>
      </c>
      <c r="D710" s="15" t="s">
        <v>32</v>
      </c>
      <c r="E710" s="15" t="s">
        <v>19</v>
      </c>
      <c r="F710" s="15" t="s">
        <v>19</v>
      </c>
      <c r="G710" s="15" t="s">
        <v>19</v>
      </c>
      <c r="H710" s="15" t="s">
        <v>19</v>
      </c>
      <c r="I710" s="18" t="s">
        <v>19</v>
      </c>
      <c r="J710" s="18" t="s">
        <v>19</v>
      </c>
      <c r="K710" s="18" t="s">
        <v>19</v>
      </c>
      <c r="L710" s="18" t="s">
        <v>19</v>
      </c>
      <c r="M710" s="15" t="s">
        <v>831</v>
      </c>
      <c r="N710" s="15" t="s">
        <v>1798</v>
      </c>
      <c r="O710" s="15"/>
      <c r="P710" s="4" t="s">
        <v>1591</v>
      </c>
      <c r="S710" s="15" t="e" cm="1">
        <f t="array" aca="1" ref="S710" ca="1">COMMONMARKETCOUNT(H710:AV710)</f>
        <v>#NAME?</v>
      </c>
      <c r="T710" s="15" t="e" cm="1">
        <f t="array" aca="1" ref="T710" ca="1">AUTOMATEDCOUNT(H710:AU710)</f>
        <v>#NAME?</v>
      </c>
      <c r="V710" s="15" t="s">
        <v>19</v>
      </c>
      <c r="W710" s="15" t="s">
        <v>19</v>
      </c>
      <c r="X710" s="15" t="s">
        <v>19</v>
      </c>
      <c r="Y710" s="15" t="s">
        <v>19</v>
      </c>
      <c r="Z710" s="15" t="s">
        <v>19</v>
      </c>
      <c r="AA710" s="18" t="s">
        <v>19</v>
      </c>
      <c r="AB710" s="18" t="s">
        <v>19</v>
      </c>
      <c r="AC710" s="18" t="s">
        <v>19</v>
      </c>
      <c r="AD710" s="18" t="s">
        <v>19</v>
      </c>
      <c r="AE710" s="18" t="s">
        <v>19</v>
      </c>
      <c r="AF710" s="18" t="s">
        <v>19</v>
      </c>
      <c r="AG710" s="18" t="s">
        <v>19</v>
      </c>
      <c r="AH710" s="18" t="s">
        <v>19</v>
      </c>
      <c r="AI710" s="18" t="s">
        <v>19</v>
      </c>
      <c r="AJ710" s="18" t="s">
        <v>19</v>
      </c>
      <c r="AK710" s="18" t="s">
        <v>19</v>
      </c>
      <c r="AL710" s="18" t="s">
        <v>19</v>
      </c>
      <c r="AM710" s="18" t="s">
        <v>19</v>
      </c>
      <c r="AN710" s="18" t="s">
        <v>19</v>
      </c>
      <c r="AO710" s="18" t="s">
        <v>19</v>
      </c>
      <c r="AP710" s="18" t="s">
        <v>19</v>
      </c>
      <c r="AQ710" s="18" t="s">
        <v>19</v>
      </c>
      <c r="AR710" s="18" t="s">
        <v>19</v>
      </c>
      <c r="AS710" s="18" t="s">
        <v>19</v>
      </c>
      <c r="AT710" s="18" t="s">
        <v>19</v>
      </c>
      <c r="AU710" s="18" t="s">
        <v>3153</v>
      </c>
      <c r="AV710" s="36" t="s">
        <v>19</v>
      </c>
    </row>
    <row r="711" spans="1:264" ht="84.75" hidden="1" customHeight="1" x14ac:dyDescent="0.3">
      <c r="A711" s="15" t="s">
        <v>315</v>
      </c>
      <c r="B711" s="15" t="s">
        <v>174</v>
      </c>
      <c r="C711" s="15" t="s">
        <v>833</v>
      </c>
      <c r="D711" s="15" t="s">
        <v>32</v>
      </c>
      <c r="E711" s="15" t="s">
        <v>19</v>
      </c>
      <c r="F711" s="15" t="s">
        <v>19</v>
      </c>
      <c r="G711" s="15" t="s">
        <v>19</v>
      </c>
      <c r="H711" s="15" t="s">
        <v>19</v>
      </c>
      <c r="I711" s="18" t="s">
        <v>19</v>
      </c>
      <c r="J711" s="18" t="s">
        <v>19</v>
      </c>
      <c r="K711" s="18" t="s">
        <v>19</v>
      </c>
      <c r="L711" s="18" t="s">
        <v>19</v>
      </c>
      <c r="M711" s="15" t="s">
        <v>834</v>
      </c>
      <c r="N711" s="15" t="s">
        <v>837</v>
      </c>
      <c r="O711" s="15"/>
      <c r="P711" s="4" t="s">
        <v>3134</v>
      </c>
      <c r="S711" s="15" t="e" cm="1">
        <f t="array" aca="1" ref="S711" ca="1">COMMONMARKETCOUNT(H711:AV711)</f>
        <v>#NAME?</v>
      </c>
      <c r="T711" s="15" t="e" cm="1">
        <f t="array" aca="1" ref="T711" ca="1">AUTOMATEDCOUNT(H711:AU711)</f>
        <v>#NAME?</v>
      </c>
      <c r="V711" s="15" t="s">
        <v>19</v>
      </c>
      <c r="W711" s="15" t="s">
        <v>19</v>
      </c>
      <c r="X711" s="15" t="s">
        <v>19</v>
      </c>
      <c r="Y711" s="15" t="s">
        <v>19</v>
      </c>
      <c r="Z711" s="15" t="s">
        <v>19</v>
      </c>
      <c r="AA711" s="18" t="s">
        <v>19</v>
      </c>
      <c r="AB711" s="18" t="s">
        <v>19</v>
      </c>
      <c r="AC711" s="18" t="s">
        <v>19</v>
      </c>
      <c r="AD711" s="6" t="s">
        <v>19</v>
      </c>
      <c r="AE711" s="6" t="s">
        <v>19</v>
      </c>
      <c r="AF711" s="18" t="s">
        <v>19</v>
      </c>
      <c r="AG711" s="18" t="s">
        <v>19</v>
      </c>
      <c r="AH711" s="18" t="s">
        <v>19</v>
      </c>
      <c r="AI711" s="18" t="s">
        <v>19</v>
      </c>
      <c r="AJ711" s="18" t="s">
        <v>19</v>
      </c>
      <c r="AK711" s="18" t="s">
        <v>19</v>
      </c>
      <c r="AL711" s="18" t="s">
        <v>19</v>
      </c>
      <c r="AM711" s="18" t="s">
        <v>19</v>
      </c>
      <c r="AN711" s="18" t="s">
        <v>19</v>
      </c>
      <c r="AO711" s="18" t="s">
        <v>19</v>
      </c>
      <c r="AP711" s="18" t="s">
        <v>19</v>
      </c>
      <c r="AQ711" s="18" t="s">
        <v>19</v>
      </c>
      <c r="AR711" s="18" t="s">
        <v>19</v>
      </c>
      <c r="AS711" s="18" t="s">
        <v>19</v>
      </c>
      <c r="AT711" s="18" t="s">
        <v>19</v>
      </c>
      <c r="AU711" s="18" t="s">
        <v>3153</v>
      </c>
      <c r="AV711" s="36" t="s">
        <v>19</v>
      </c>
    </row>
    <row r="712" spans="1:264" ht="99" hidden="1" customHeight="1" x14ac:dyDescent="0.3">
      <c r="A712" s="15" t="s">
        <v>315</v>
      </c>
      <c r="B712" s="15" t="s">
        <v>174</v>
      </c>
      <c r="C712" s="15" t="s">
        <v>835</v>
      </c>
      <c r="D712" s="15" t="s">
        <v>32</v>
      </c>
      <c r="E712" s="15" t="s">
        <v>19</v>
      </c>
      <c r="F712" s="15" t="s">
        <v>19</v>
      </c>
      <c r="G712" s="15" t="s">
        <v>19</v>
      </c>
      <c r="H712" s="15" t="s">
        <v>19</v>
      </c>
      <c r="I712" s="18" t="s">
        <v>19</v>
      </c>
      <c r="J712" s="18" t="s">
        <v>19</v>
      </c>
      <c r="K712" s="18" t="s">
        <v>19</v>
      </c>
      <c r="L712" s="18" t="s">
        <v>19</v>
      </c>
      <c r="M712" s="15" t="s">
        <v>836</v>
      </c>
      <c r="N712" s="15" t="s">
        <v>841</v>
      </c>
      <c r="O712" s="15"/>
      <c r="P712" s="4" t="s">
        <v>838</v>
      </c>
      <c r="S712" s="15" t="e" cm="1">
        <f t="array" aca="1" ref="S712" ca="1">COMMONMARKETCOUNT(H712:AV712)</f>
        <v>#NAME?</v>
      </c>
      <c r="T712" s="15" t="e" cm="1">
        <f t="array" aca="1" ref="T712" ca="1">AUTOMATEDCOUNT(H712:AU712)</f>
        <v>#NAME?</v>
      </c>
      <c r="V712" s="15" t="s">
        <v>19</v>
      </c>
      <c r="W712" s="15" t="s">
        <v>19</v>
      </c>
      <c r="X712" s="15" t="s">
        <v>19</v>
      </c>
      <c r="Y712" s="15" t="s">
        <v>19</v>
      </c>
      <c r="Z712" s="15" t="s">
        <v>19</v>
      </c>
      <c r="AA712" s="18" t="s">
        <v>19</v>
      </c>
      <c r="AB712" s="18" t="s">
        <v>19</v>
      </c>
      <c r="AC712" s="18" t="s">
        <v>19</v>
      </c>
      <c r="AD712" s="18" t="s">
        <v>19</v>
      </c>
      <c r="AE712" s="18" t="s">
        <v>19</v>
      </c>
      <c r="AF712" s="18" t="s">
        <v>19</v>
      </c>
      <c r="AG712" s="18" t="s">
        <v>19</v>
      </c>
      <c r="AH712" s="18" t="s">
        <v>19</v>
      </c>
      <c r="AI712" s="18" t="s">
        <v>19</v>
      </c>
      <c r="AJ712" s="18" t="s">
        <v>19</v>
      </c>
      <c r="AK712" s="18" t="s">
        <v>19</v>
      </c>
      <c r="AL712" s="18" t="s">
        <v>19</v>
      </c>
      <c r="AM712" s="18" t="s">
        <v>19</v>
      </c>
      <c r="AN712" s="18" t="s">
        <v>19</v>
      </c>
      <c r="AO712" s="18" t="s">
        <v>19</v>
      </c>
      <c r="AP712" s="18" t="s">
        <v>19</v>
      </c>
      <c r="AQ712" s="18" t="s">
        <v>19</v>
      </c>
      <c r="AR712" s="18" t="s">
        <v>19</v>
      </c>
      <c r="AS712" s="18" t="s">
        <v>19</v>
      </c>
      <c r="AT712" s="18" t="s">
        <v>19</v>
      </c>
      <c r="AU712" s="18" t="s">
        <v>3153</v>
      </c>
      <c r="AV712" s="36" t="s">
        <v>19</v>
      </c>
    </row>
    <row r="713" spans="1:264" ht="57" customHeight="1" x14ac:dyDescent="0.3">
      <c r="A713" s="15" t="s">
        <v>682</v>
      </c>
      <c r="B713" s="15" t="s">
        <v>254</v>
      </c>
      <c r="C713" s="15" t="s">
        <v>839</v>
      </c>
      <c r="D713" s="15" t="s">
        <v>19</v>
      </c>
      <c r="E713" s="70" t="s">
        <v>19</v>
      </c>
      <c r="F713" s="70" t="s">
        <v>3186</v>
      </c>
      <c r="G713" s="70" t="s">
        <v>19</v>
      </c>
      <c r="H713" s="70" t="s">
        <v>3186</v>
      </c>
      <c r="I713" s="72" t="s">
        <v>19</v>
      </c>
      <c r="J713" s="72" t="s">
        <v>19</v>
      </c>
      <c r="K713" s="72" t="s">
        <v>19</v>
      </c>
      <c r="L713" s="72" t="s">
        <v>19</v>
      </c>
      <c r="M713" s="15" t="s">
        <v>840</v>
      </c>
      <c r="N713" s="15" t="s">
        <v>845</v>
      </c>
      <c r="O713" s="15"/>
      <c r="P713" s="4" t="s">
        <v>842</v>
      </c>
      <c r="S713" s="15" t="e" cm="1">
        <f t="array" aca="1" ref="S713" ca="1">COMMONMARKETCOUNT(H713:AV713)</f>
        <v>#NAME?</v>
      </c>
      <c r="T713" s="15" t="e" cm="1">
        <f t="array" aca="1" ref="T713" ca="1">AUTOMATEDCOUNT(H713:AU713)</f>
        <v>#NAME?</v>
      </c>
      <c r="V713" s="70" t="s">
        <v>19</v>
      </c>
      <c r="W713" s="70" t="s">
        <v>19</v>
      </c>
      <c r="X713" s="70" t="s">
        <v>19</v>
      </c>
      <c r="Y713" s="70" t="s">
        <v>19</v>
      </c>
      <c r="Z713" s="70" t="s">
        <v>19</v>
      </c>
      <c r="AA713" s="72" t="s">
        <v>19</v>
      </c>
      <c r="AB713" s="72" t="s">
        <v>19</v>
      </c>
      <c r="AC713" s="72" t="s">
        <v>19</v>
      </c>
      <c r="AD713" s="72" t="s">
        <v>19</v>
      </c>
      <c r="AE713" s="18" t="s">
        <v>19</v>
      </c>
      <c r="AF713" s="18" t="s">
        <v>19</v>
      </c>
      <c r="AG713" s="29" t="s">
        <v>19</v>
      </c>
      <c r="AH713" s="18" t="s">
        <v>19</v>
      </c>
      <c r="AI713" s="18" t="s">
        <v>19</v>
      </c>
      <c r="AJ713" s="18" t="s">
        <v>19</v>
      </c>
      <c r="AK713" s="18" t="s">
        <v>19</v>
      </c>
      <c r="AL713" s="18" t="s">
        <v>19</v>
      </c>
      <c r="AM713" s="18" t="s">
        <v>19</v>
      </c>
      <c r="AN713" s="18" t="s">
        <v>19</v>
      </c>
      <c r="AO713" s="18" t="s">
        <v>19</v>
      </c>
      <c r="AP713" s="18" t="s">
        <v>19</v>
      </c>
      <c r="AQ713" s="18" t="s">
        <v>19</v>
      </c>
      <c r="AR713" s="18" t="s">
        <v>19</v>
      </c>
      <c r="AS713" s="70" t="s">
        <v>19</v>
      </c>
      <c r="AT713" s="72" t="s">
        <v>19</v>
      </c>
      <c r="AU713" s="18" t="s">
        <v>3153</v>
      </c>
      <c r="AV713" s="36" t="s">
        <v>19</v>
      </c>
    </row>
    <row r="714" spans="1:264" ht="77.25" hidden="1" customHeight="1" x14ac:dyDescent="0.3">
      <c r="A714" s="15" t="s">
        <v>705</v>
      </c>
      <c r="B714" s="15" t="s">
        <v>1307</v>
      </c>
      <c r="C714" s="15" t="s">
        <v>1314</v>
      </c>
      <c r="D714" s="15" t="s">
        <v>32</v>
      </c>
      <c r="E714" s="15" t="s">
        <v>19</v>
      </c>
      <c r="F714" s="15" t="s">
        <v>19</v>
      </c>
      <c r="G714" s="15" t="s">
        <v>19</v>
      </c>
      <c r="H714" s="15" t="s">
        <v>19</v>
      </c>
      <c r="I714" s="15" t="s">
        <v>19</v>
      </c>
      <c r="J714" s="15" t="s">
        <v>19</v>
      </c>
      <c r="K714" s="15" t="s">
        <v>19</v>
      </c>
      <c r="L714" s="15" t="s">
        <v>19</v>
      </c>
      <c r="M714" s="15" t="s">
        <v>1022</v>
      </c>
      <c r="N714" s="15" t="s">
        <v>1119</v>
      </c>
      <c r="O714" s="33" t="s">
        <v>1648</v>
      </c>
      <c r="P714" s="4" t="s">
        <v>1024</v>
      </c>
      <c r="S714" s="15" t="e" cm="1">
        <f t="array" aca="1" ref="S714" ca="1">COMMONMARKETCOUNT(H714:AV714)</f>
        <v>#NAME?</v>
      </c>
      <c r="T714" s="15" t="e" cm="1">
        <f t="array" aca="1" ref="T714" ca="1">AUTOMATEDCOUNT(H714:AU714)</f>
        <v>#NAME?</v>
      </c>
      <c r="V714" s="15" t="s">
        <v>19</v>
      </c>
      <c r="W714" s="15" t="s">
        <v>19</v>
      </c>
      <c r="X714" s="15" t="s">
        <v>19</v>
      </c>
      <c r="Y714" s="15" t="s">
        <v>19</v>
      </c>
      <c r="Z714" s="15" t="s">
        <v>19</v>
      </c>
      <c r="AA714" s="15" t="s">
        <v>19</v>
      </c>
      <c r="AB714" s="15" t="s">
        <v>19</v>
      </c>
      <c r="AC714" s="15" t="s">
        <v>19</v>
      </c>
      <c r="AD714" s="18" t="s">
        <v>109</v>
      </c>
      <c r="AE714" s="18" t="s">
        <v>109</v>
      </c>
      <c r="AF714" s="15" t="s">
        <v>19</v>
      </c>
      <c r="AG714" s="15" t="s">
        <v>19</v>
      </c>
      <c r="AH714" s="15" t="s">
        <v>19</v>
      </c>
      <c r="AI714" s="15" t="s">
        <v>19</v>
      </c>
      <c r="AJ714" s="15" t="s">
        <v>19</v>
      </c>
      <c r="AK714" s="15" t="s">
        <v>19</v>
      </c>
      <c r="AL714" s="15" t="s">
        <v>19</v>
      </c>
      <c r="AM714" s="15" t="s">
        <v>19</v>
      </c>
      <c r="AN714" s="15" t="s">
        <v>19</v>
      </c>
      <c r="AO714" s="15" t="s">
        <v>19</v>
      </c>
      <c r="AP714" s="15" t="s">
        <v>19</v>
      </c>
      <c r="AQ714" s="15" t="s">
        <v>19</v>
      </c>
      <c r="AR714" s="15" t="s">
        <v>19</v>
      </c>
      <c r="AS714" s="15" t="s">
        <v>19</v>
      </c>
      <c r="AT714" s="15" t="s">
        <v>19</v>
      </c>
      <c r="AU714" s="15" t="s">
        <v>3153</v>
      </c>
      <c r="AV714" s="36" t="s">
        <v>19</v>
      </c>
    </row>
    <row r="715" spans="1:264" ht="111" hidden="1" customHeight="1" x14ac:dyDescent="0.3">
      <c r="A715" s="15" t="s">
        <v>705</v>
      </c>
      <c r="B715" s="6" t="s">
        <v>714</v>
      </c>
      <c r="C715" s="15" t="s">
        <v>1315</v>
      </c>
      <c r="D715" s="15" t="s">
        <v>32</v>
      </c>
      <c r="E715" s="15" t="s">
        <v>19</v>
      </c>
      <c r="F715" s="15" t="s">
        <v>19</v>
      </c>
      <c r="G715" s="15" t="s">
        <v>19</v>
      </c>
      <c r="H715" s="15" t="s">
        <v>19</v>
      </c>
      <c r="I715" s="15" t="s">
        <v>19</v>
      </c>
      <c r="J715" s="15" t="s">
        <v>19</v>
      </c>
      <c r="K715" s="15" t="s">
        <v>19</v>
      </c>
      <c r="L715" s="15" t="s">
        <v>19</v>
      </c>
      <c r="M715" s="15" t="s">
        <v>1069</v>
      </c>
      <c r="N715" s="15" t="s">
        <v>958</v>
      </c>
      <c r="O715" s="33" t="s">
        <v>1647</v>
      </c>
      <c r="P715" s="4" t="s">
        <v>1065</v>
      </c>
      <c r="S715" s="15" t="e" cm="1">
        <f t="array" aca="1" ref="S715" ca="1">COMMONMARKETCOUNT(H715:AV715)</f>
        <v>#NAME?</v>
      </c>
      <c r="T715" s="15" t="e" cm="1">
        <f t="array" aca="1" ref="T715" ca="1">AUTOMATEDCOUNT(H715:AU715)</f>
        <v>#NAME?</v>
      </c>
      <c r="V715" s="15" t="s">
        <v>19</v>
      </c>
      <c r="W715" s="15" t="s">
        <v>19</v>
      </c>
      <c r="X715" s="15" t="s">
        <v>19</v>
      </c>
      <c r="Y715" s="15" t="s">
        <v>19</v>
      </c>
      <c r="Z715" s="15" t="s">
        <v>19</v>
      </c>
      <c r="AA715" s="15" t="s">
        <v>19</v>
      </c>
      <c r="AB715" s="15" t="s">
        <v>19</v>
      </c>
      <c r="AC715" s="15" t="s">
        <v>19</v>
      </c>
      <c r="AD715" s="18" t="s">
        <v>19</v>
      </c>
      <c r="AE715" s="18" t="s">
        <v>19</v>
      </c>
      <c r="AF715" s="15" t="s">
        <v>19</v>
      </c>
      <c r="AG715" s="15" t="s">
        <v>19</v>
      </c>
      <c r="AH715" s="15" t="s">
        <v>19</v>
      </c>
      <c r="AI715" s="15" t="s">
        <v>19</v>
      </c>
      <c r="AJ715" s="15" t="s">
        <v>19</v>
      </c>
      <c r="AK715" s="15" t="s">
        <v>19</v>
      </c>
      <c r="AL715" s="15" t="s">
        <v>19</v>
      </c>
      <c r="AM715" s="15" t="s">
        <v>19</v>
      </c>
      <c r="AN715" s="15" t="s">
        <v>19</v>
      </c>
      <c r="AO715" s="15" t="s">
        <v>19</v>
      </c>
      <c r="AP715" s="15" t="s">
        <v>19</v>
      </c>
      <c r="AQ715" s="15" t="s">
        <v>19</v>
      </c>
      <c r="AR715" s="15" t="s">
        <v>19</v>
      </c>
      <c r="AS715" s="15" t="s">
        <v>19</v>
      </c>
      <c r="AT715" s="15" t="s">
        <v>19</v>
      </c>
      <c r="AU715" s="15" t="s">
        <v>3153</v>
      </c>
      <c r="AV715" s="36" t="s">
        <v>19</v>
      </c>
    </row>
    <row r="716" spans="1:264" ht="89.25" hidden="1" customHeight="1" x14ac:dyDescent="0.3">
      <c r="A716" s="15" t="s">
        <v>705</v>
      </c>
      <c r="B716" s="6" t="s">
        <v>714</v>
      </c>
      <c r="C716" s="15" t="s">
        <v>1396</v>
      </c>
      <c r="D716" s="15" t="s">
        <v>32</v>
      </c>
      <c r="E716" s="15" t="s">
        <v>19</v>
      </c>
      <c r="F716" s="15" t="s">
        <v>19</v>
      </c>
      <c r="G716" s="15" t="s">
        <v>19</v>
      </c>
      <c r="H716" s="15" t="s">
        <v>19</v>
      </c>
      <c r="I716" s="15" t="s">
        <v>19</v>
      </c>
      <c r="J716" s="15" t="s">
        <v>19</v>
      </c>
      <c r="K716" s="15" t="s">
        <v>19</v>
      </c>
      <c r="L716" s="15" t="s">
        <v>19</v>
      </c>
      <c r="M716" s="15" t="s">
        <v>3015</v>
      </c>
      <c r="N716" s="15" t="s">
        <v>1395</v>
      </c>
      <c r="O716" s="31" t="s">
        <v>1649</v>
      </c>
      <c r="P716" s="4" t="s">
        <v>3135</v>
      </c>
      <c r="S716" s="15" t="e" cm="1">
        <f t="array" aca="1" ref="S716" ca="1">COMMONMARKETCOUNT(H716:AV716)</f>
        <v>#NAME?</v>
      </c>
      <c r="T716" s="15" t="e" cm="1">
        <f t="array" aca="1" ref="T716" ca="1">AUTOMATEDCOUNT(H716:AU716)</f>
        <v>#NAME?</v>
      </c>
      <c r="V716" s="15" t="s">
        <v>19</v>
      </c>
      <c r="W716" s="15" t="s">
        <v>19</v>
      </c>
      <c r="X716" s="15" t="s">
        <v>19</v>
      </c>
      <c r="Y716" s="15" t="s">
        <v>19</v>
      </c>
      <c r="Z716" s="15" t="s">
        <v>19</v>
      </c>
      <c r="AA716" s="15" t="s">
        <v>19</v>
      </c>
      <c r="AB716" s="15" t="s">
        <v>19</v>
      </c>
      <c r="AC716" s="15" t="s">
        <v>19</v>
      </c>
      <c r="AD716" s="15" t="s">
        <v>19</v>
      </c>
      <c r="AE716" s="15" t="s">
        <v>19</v>
      </c>
      <c r="AF716" s="15" t="s">
        <v>19</v>
      </c>
      <c r="AG716" s="15" t="s">
        <v>19</v>
      </c>
      <c r="AH716" s="15" t="s">
        <v>19</v>
      </c>
      <c r="AI716" s="15" t="s">
        <v>19</v>
      </c>
      <c r="AJ716" s="15" t="s">
        <v>19</v>
      </c>
      <c r="AK716" s="15" t="s">
        <v>19</v>
      </c>
      <c r="AL716" s="15" t="s">
        <v>19</v>
      </c>
      <c r="AM716" s="15" t="s">
        <v>19</v>
      </c>
      <c r="AN716" s="15" t="s">
        <v>19</v>
      </c>
      <c r="AO716" s="15" t="s">
        <v>19</v>
      </c>
      <c r="AP716" s="15" t="s">
        <v>19</v>
      </c>
      <c r="AQ716" s="15" t="s">
        <v>19</v>
      </c>
      <c r="AR716" s="15" t="s">
        <v>19</v>
      </c>
      <c r="AS716" s="15" t="s">
        <v>19</v>
      </c>
      <c r="AT716" s="15" t="s">
        <v>19</v>
      </c>
      <c r="AU716" s="15" t="s">
        <v>3153</v>
      </c>
      <c r="AV716" s="36" t="s">
        <v>19</v>
      </c>
    </row>
    <row r="717" spans="1:264" ht="54.75" hidden="1" customHeight="1" x14ac:dyDescent="0.3">
      <c r="A717" s="15" t="s">
        <v>705</v>
      </c>
      <c r="B717" s="15" t="s">
        <v>1307</v>
      </c>
      <c r="C717" s="15" t="s">
        <v>1316</v>
      </c>
      <c r="D717" s="15" t="s">
        <v>32</v>
      </c>
      <c r="E717" s="18" t="s">
        <v>109</v>
      </c>
      <c r="F717" s="18" t="s">
        <v>109</v>
      </c>
      <c r="G717" s="18" t="s">
        <v>109</v>
      </c>
      <c r="H717" s="18" t="s">
        <v>109</v>
      </c>
      <c r="I717" s="18" t="s">
        <v>19</v>
      </c>
      <c r="J717" s="18" t="s">
        <v>19</v>
      </c>
      <c r="K717" s="18" t="s">
        <v>19</v>
      </c>
      <c r="L717" s="18" t="s">
        <v>19</v>
      </c>
      <c r="M717" s="15" t="s">
        <v>1018</v>
      </c>
      <c r="N717" s="15" t="s">
        <v>1017</v>
      </c>
      <c r="O717" s="33" t="s">
        <v>1648</v>
      </c>
      <c r="P717" s="4" t="s">
        <v>1025</v>
      </c>
      <c r="S717" s="15" t="e" cm="1">
        <f t="array" aca="1" ref="S717" ca="1">COMMONMARKETCOUNT(H717:AV717)</f>
        <v>#NAME?</v>
      </c>
      <c r="T717" s="15" t="e" cm="1">
        <f t="array" aca="1" ref="T717" ca="1">AUTOMATEDCOUNT(H717:AU717)</f>
        <v>#NAME?</v>
      </c>
      <c r="V717" s="18" t="s">
        <v>109</v>
      </c>
      <c r="W717" s="18" t="s">
        <v>109</v>
      </c>
      <c r="X717" s="18" t="s">
        <v>109</v>
      </c>
      <c r="Y717" s="18" t="s">
        <v>109</v>
      </c>
      <c r="Z717" s="18" t="s">
        <v>109</v>
      </c>
      <c r="AA717" s="18" t="s">
        <v>19</v>
      </c>
      <c r="AB717" s="18" t="s">
        <v>19</v>
      </c>
      <c r="AC717" s="18" t="s">
        <v>19</v>
      </c>
      <c r="AD717" s="18" t="s">
        <v>19</v>
      </c>
      <c r="AE717" s="18" t="s">
        <v>19</v>
      </c>
      <c r="AF717" s="15" t="s">
        <v>109</v>
      </c>
      <c r="AG717" s="18" t="s">
        <v>109</v>
      </c>
      <c r="AH717" s="18" t="s">
        <v>109</v>
      </c>
      <c r="AI717" s="18" t="s">
        <v>109</v>
      </c>
      <c r="AJ717" s="18" t="s">
        <v>109</v>
      </c>
      <c r="AK717" s="18" t="s">
        <v>109</v>
      </c>
      <c r="AL717" s="18" t="s">
        <v>109</v>
      </c>
      <c r="AM717" s="18" t="s">
        <v>109</v>
      </c>
      <c r="AN717" s="18" t="s">
        <v>109</v>
      </c>
      <c r="AO717" s="18" t="s">
        <v>109</v>
      </c>
      <c r="AP717" s="18" t="s">
        <v>109</v>
      </c>
      <c r="AQ717" s="18" t="s">
        <v>109</v>
      </c>
      <c r="AR717" s="18" t="s">
        <v>109</v>
      </c>
      <c r="AS717" s="18" t="s">
        <v>109</v>
      </c>
      <c r="AT717" s="18" t="s">
        <v>109</v>
      </c>
      <c r="AU717" s="18" t="s">
        <v>109</v>
      </c>
      <c r="AV717" s="36" t="s">
        <v>109</v>
      </c>
    </row>
    <row r="718" spans="1:264" ht="78.75" hidden="1" customHeight="1" x14ac:dyDescent="0.3">
      <c r="A718" s="15" t="s">
        <v>705</v>
      </c>
      <c r="B718" s="15" t="s">
        <v>1311</v>
      </c>
      <c r="C718" s="15" t="s">
        <v>1317</v>
      </c>
      <c r="D718" s="15" t="s">
        <v>32</v>
      </c>
      <c r="E718" s="15" t="s">
        <v>109</v>
      </c>
      <c r="F718" s="15" t="s">
        <v>109</v>
      </c>
      <c r="G718" s="15" t="s">
        <v>109</v>
      </c>
      <c r="H718" s="15" t="s">
        <v>109</v>
      </c>
      <c r="I718" s="15" t="s">
        <v>109</v>
      </c>
      <c r="J718" s="15" t="s">
        <v>109</v>
      </c>
      <c r="K718" s="15" t="s">
        <v>19</v>
      </c>
      <c r="L718" s="15" t="s">
        <v>19</v>
      </c>
      <c r="M718" s="15" t="s">
        <v>1122</v>
      </c>
      <c r="N718" s="15" t="s">
        <v>902</v>
      </c>
      <c r="O718" s="33" t="s">
        <v>1645</v>
      </c>
      <c r="P718" s="4" t="s">
        <v>1068</v>
      </c>
      <c r="S718" s="15" t="e" cm="1">
        <f t="array" aca="1" ref="S718" ca="1">COMMONMARKETCOUNT(H718:AV718)</f>
        <v>#NAME?</v>
      </c>
      <c r="T718" s="15" t="e" cm="1">
        <f t="array" aca="1" ref="T718" ca="1">AUTOMATEDCOUNT(H718:AU718)</f>
        <v>#NAME?</v>
      </c>
      <c r="V718" s="15" t="s">
        <v>109</v>
      </c>
      <c r="W718" s="15" t="s">
        <v>109</v>
      </c>
      <c r="X718" s="15" t="s">
        <v>109</v>
      </c>
      <c r="Y718" s="15" t="s">
        <v>109</v>
      </c>
      <c r="Z718" s="15" t="s">
        <v>109</v>
      </c>
      <c r="AA718" s="15" t="s">
        <v>109</v>
      </c>
      <c r="AB718" s="15" t="s">
        <v>109</v>
      </c>
      <c r="AC718" s="15" t="s">
        <v>109</v>
      </c>
      <c r="AD718" s="18" t="s">
        <v>19</v>
      </c>
      <c r="AE718" s="18" t="s">
        <v>19</v>
      </c>
      <c r="AF718" s="15" t="s">
        <v>19</v>
      </c>
      <c r="AG718" s="15" t="s">
        <v>109</v>
      </c>
      <c r="AH718" s="15" t="s">
        <v>109</v>
      </c>
      <c r="AI718" s="15" t="s">
        <v>109</v>
      </c>
      <c r="AJ718" s="15" t="s">
        <v>109</v>
      </c>
      <c r="AK718" s="15" t="s">
        <v>109</v>
      </c>
      <c r="AL718" s="15" t="s">
        <v>109</v>
      </c>
      <c r="AM718" s="15" t="s">
        <v>109</v>
      </c>
      <c r="AN718" s="15" t="s">
        <v>109</v>
      </c>
      <c r="AO718" s="15" t="s">
        <v>109</v>
      </c>
      <c r="AP718" s="15" t="s">
        <v>109</v>
      </c>
      <c r="AQ718" s="15" t="s">
        <v>109</v>
      </c>
      <c r="AR718" s="15" t="s">
        <v>109</v>
      </c>
      <c r="AS718" s="15" t="s">
        <v>109</v>
      </c>
      <c r="AT718" s="15" t="s">
        <v>109</v>
      </c>
      <c r="AU718" s="15" t="s">
        <v>109</v>
      </c>
      <c r="AV718" s="36" t="s">
        <v>109</v>
      </c>
      <c r="AW718" s="5"/>
      <c r="AX718" s="5"/>
      <c r="AY718" s="5"/>
      <c r="AZ718" s="5"/>
      <c r="BA718" s="5"/>
      <c r="BB718" s="5"/>
      <c r="BC718" s="5"/>
      <c r="BD718" s="5"/>
      <c r="BE718" s="5"/>
      <c r="BF718" s="5"/>
      <c r="BG718" s="5"/>
      <c r="BH718" s="5"/>
      <c r="BI718" s="5"/>
      <c r="BJ718" s="5"/>
      <c r="BK718" s="5"/>
      <c r="BL718" s="5"/>
      <c r="BM718" s="5"/>
      <c r="BN718" s="5"/>
      <c r="BO718" s="5"/>
      <c r="BP718" s="5"/>
      <c r="BQ718" s="5"/>
      <c r="BR718" s="5"/>
      <c r="BS718" s="5"/>
      <c r="BT718" s="5"/>
      <c r="BU718" s="5"/>
      <c r="BV718" s="5"/>
      <c r="BW718" s="5"/>
      <c r="BX718" s="5"/>
      <c r="BY718" s="5"/>
      <c r="BZ718" s="5"/>
      <c r="CA718" s="5"/>
      <c r="CB718" s="5"/>
      <c r="CC718" s="5"/>
      <c r="CD718" s="5"/>
      <c r="CE718" s="5"/>
      <c r="CF718" s="5"/>
      <c r="CG718" s="5"/>
      <c r="CH718" s="5"/>
      <c r="CI718" s="5"/>
      <c r="CJ718" s="5"/>
      <c r="CK718" s="5"/>
      <c r="CL718" s="5"/>
      <c r="CM718" s="5"/>
      <c r="CN718" s="5"/>
      <c r="CO718" s="5"/>
      <c r="CP718" s="5"/>
      <c r="CQ718" s="5"/>
      <c r="CR718" s="5"/>
      <c r="CS718" s="5"/>
      <c r="CT718" s="5"/>
      <c r="CU718" s="5"/>
      <c r="CV718" s="5"/>
      <c r="CW718" s="5"/>
      <c r="CX718" s="5"/>
      <c r="CY718" s="5"/>
      <c r="CZ718" s="5"/>
      <c r="DA718" s="5"/>
      <c r="DB718" s="5"/>
      <c r="DC718" s="5"/>
      <c r="DD718" s="5"/>
      <c r="DE718" s="5"/>
      <c r="DF718" s="5"/>
      <c r="DG718" s="5"/>
      <c r="DH718" s="5"/>
      <c r="DI718" s="5"/>
      <c r="DJ718" s="5"/>
      <c r="DK718" s="5"/>
      <c r="DL718" s="5"/>
      <c r="DM718" s="5"/>
      <c r="DN718" s="5"/>
      <c r="DO718" s="5"/>
      <c r="DP718" s="5"/>
      <c r="DQ718" s="5"/>
      <c r="DR718" s="5"/>
      <c r="DS718" s="5"/>
      <c r="DT718" s="5"/>
      <c r="DU718" s="5"/>
      <c r="DV718" s="5"/>
      <c r="DW718" s="5"/>
      <c r="DX718" s="5"/>
      <c r="DY718" s="5"/>
      <c r="DZ718" s="5"/>
      <c r="EA718" s="5"/>
      <c r="EB718" s="5"/>
      <c r="EC718" s="5"/>
      <c r="ED718" s="5"/>
      <c r="EE718" s="5"/>
      <c r="EF718" s="5"/>
      <c r="EG718" s="5"/>
      <c r="EH718" s="5"/>
      <c r="EI718" s="5"/>
      <c r="EJ718" s="5"/>
      <c r="EK718" s="5"/>
      <c r="EL718" s="5"/>
      <c r="EM718" s="5"/>
      <c r="EN718" s="5"/>
      <c r="EO718" s="5"/>
      <c r="EP718" s="5"/>
      <c r="EQ718" s="5"/>
      <c r="ER718" s="5"/>
      <c r="ES718" s="5"/>
      <c r="ET718" s="5"/>
      <c r="EU718" s="5"/>
      <c r="EV718" s="5"/>
      <c r="EW718" s="5"/>
      <c r="EX718" s="5"/>
      <c r="EY718" s="5"/>
      <c r="EZ718" s="5"/>
      <c r="FA718" s="5"/>
      <c r="FB718" s="5"/>
      <c r="FC718" s="5"/>
      <c r="FD718" s="5"/>
      <c r="FE718" s="5"/>
      <c r="FF718" s="5"/>
      <c r="FG718" s="5"/>
      <c r="FH718" s="5"/>
      <c r="FI718" s="5"/>
      <c r="FJ718" s="5"/>
      <c r="FK718" s="5"/>
      <c r="FL718" s="5"/>
      <c r="FM718" s="5"/>
      <c r="FN718" s="5"/>
      <c r="FO718" s="5"/>
      <c r="FP718" s="5"/>
      <c r="FQ718" s="5"/>
      <c r="FR718" s="5"/>
      <c r="FS718" s="5"/>
      <c r="FT718" s="5"/>
      <c r="FU718" s="5"/>
      <c r="FV718" s="5"/>
      <c r="FW718" s="5"/>
      <c r="FX718" s="5"/>
      <c r="FY718" s="5"/>
      <c r="FZ718" s="5"/>
      <c r="GA718" s="5"/>
      <c r="GB718" s="5"/>
      <c r="GC718" s="5"/>
      <c r="GD718" s="5"/>
      <c r="GE718" s="5"/>
      <c r="GF718" s="5"/>
      <c r="GG718" s="5"/>
      <c r="GH718" s="5"/>
      <c r="GI718" s="5"/>
      <c r="GJ718" s="5"/>
      <c r="GK718" s="5"/>
      <c r="GL718" s="5"/>
      <c r="GM718" s="5"/>
      <c r="GN718" s="5"/>
      <c r="GO718" s="5"/>
      <c r="GP718" s="5"/>
      <c r="GQ718" s="5"/>
      <c r="GR718" s="5"/>
      <c r="GS718" s="5"/>
      <c r="GT718" s="5"/>
      <c r="GU718" s="5"/>
      <c r="GV718" s="5"/>
      <c r="GW718" s="5"/>
      <c r="GX718" s="5"/>
      <c r="GY718" s="5"/>
      <c r="GZ718" s="5"/>
      <c r="HA718" s="5"/>
      <c r="HB718" s="5"/>
      <c r="HC718" s="5"/>
      <c r="HD718" s="5"/>
      <c r="HE718" s="5"/>
      <c r="HF718" s="5"/>
      <c r="HG718" s="5"/>
      <c r="HH718" s="5"/>
      <c r="HI718" s="5"/>
      <c r="HJ718" s="5"/>
      <c r="HK718" s="5"/>
      <c r="HL718" s="5"/>
      <c r="HM718" s="5"/>
      <c r="HN718" s="5"/>
      <c r="HO718" s="5"/>
      <c r="HP718" s="5"/>
      <c r="HQ718" s="5"/>
      <c r="HR718" s="5"/>
      <c r="HS718" s="5"/>
      <c r="HT718" s="5"/>
      <c r="HU718" s="5"/>
      <c r="HV718" s="5"/>
      <c r="HW718" s="5"/>
      <c r="HX718" s="5"/>
      <c r="HY718" s="5"/>
      <c r="HZ718" s="5"/>
      <c r="IA718" s="5"/>
      <c r="IB718" s="5"/>
      <c r="IC718" s="5"/>
      <c r="ID718" s="5"/>
      <c r="IE718" s="5"/>
      <c r="IF718" s="5"/>
      <c r="IG718" s="5"/>
      <c r="IH718" s="5"/>
      <c r="II718" s="5"/>
      <c r="IJ718" s="5"/>
      <c r="IK718" s="5"/>
      <c r="IL718" s="5"/>
      <c r="IM718" s="5"/>
      <c r="IN718" s="5"/>
      <c r="IO718" s="5"/>
      <c r="IP718" s="5"/>
      <c r="IQ718" s="5"/>
      <c r="IR718" s="5"/>
      <c r="IS718" s="5"/>
      <c r="IT718" s="5"/>
      <c r="IU718" s="5"/>
      <c r="IV718" s="5"/>
      <c r="IW718" s="5"/>
      <c r="IX718" s="5"/>
      <c r="IY718" s="5"/>
      <c r="IZ718" s="5"/>
      <c r="JA718" s="5"/>
      <c r="JB718" s="5"/>
      <c r="JC718" s="5"/>
      <c r="JD718" s="5"/>
    </row>
    <row r="719" spans="1:264" ht="72.75" hidden="1" customHeight="1" x14ac:dyDescent="0.3">
      <c r="A719" s="15" t="s">
        <v>705</v>
      </c>
      <c r="B719" s="15" t="s">
        <v>1308</v>
      </c>
      <c r="C719" s="15" t="s">
        <v>1318</v>
      </c>
      <c r="D719" s="15" t="s">
        <v>32</v>
      </c>
      <c r="E719" s="18" t="s">
        <v>109</v>
      </c>
      <c r="F719" s="18" t="s">
        <v>109</v>
      </c>
      <c r="G719" s="18" t="s">
        <v>109</v>
      </c>
      <c r="H719" s="18" t="s">
        <v>109</v>
      </c>
      <c r="I719" s="18" t="s">
        <v>19</v>
      </c>
      <c r="J719" s="18" t="s">
        <v>19</v>
      </c>
      <c r="K719" s="18" t="s">
        <v>19</v>
      </c>
      <c r="L719" s="18" t="s">
        <v>19</v>
      </c>
      <c r="M719" s="15" t="s">
        <v>2372</v>
      </c>
      <c r="N719" s="15" t="s">
        <v>1051</v>
      </c>
      <c r="O719" s="33" t="s">
        <v>1645</v>
      </c>
      <c r="P719" s="4" t="s">
        <v>1050</v>
      </c>
      <c r="S719" s="15" t="e" cm="1">
        <f t="array" aca="1" ref="S719" ca="1">COMMONMARKETCOUNT(H719:AV719)</f>
        <v>#NAME?</v>
      </c>
      <c r="T719" s="15" t="e" cm="1">
        <f t="array" aca="1" ref="T719" ca="1">AUTOMATEDCOUNT(H719:AU719)</f>
        <v>#NAME?</v>
      </c>
      <c r="V719" s="18" t="s">
        <v>109</v>
      </c>
      <c r="W719" s="18" t="s">
        <v>109</v>
      </c>
      <c r="X719" s="18" t="s">
        <v>109</v>
      </c>
      <c r="Y719" s="18" t="s">
        <v>109</v>
      </c>
      <c r="Z719" s="18" t="s">
        <v>109</v>
      </c>
      <c r="AA719" s="18" t="s">
        <v>19</v>
      </c>
      <c r="AB719" s="18" t="s">
        <v>19</v>
      </c>
      <c r="AC719" s="18" t="s">
        <v>19</v>
      </c>
      <c r="AD719" s="18" t="s">
        <v>19</v>
      </c>
      <c r="AE719" s="18" t="s">
        <v>19</v>
      </c>
      <c r="AF719" s="15" t="s">
        <v>109</v>
      </c>
      <c r="AG719" s="18" t="s">
        <v>109</v>
      </c>
      <c r="AH719" s="18" t="s">
        <v>109</v>
      </c>
      <c r="AI719" s="18" t="s">
        <v>109</v>
      </c>
      <c r="AJ719" s="18" t="s">
        <v>109</v>
      </c>
      <c r="AK719" s="18" t="s">
        <v>109</v>
      </c>
      <c r="AL719" s="18" t="s">
        <v>109</v>
      </c>
      <c r="AM719" s="18" t="s">
        <v>109</v>
      </c>
      <c r="AN719" s="18" t="s">
        <v>109</v>
      </c>
      <c r="AO719" s="18" t="s">
        <v>109</v>
      </c>
      <c r="AP719" s="18" t="s">
        <v>109</v>
      </c>
      <c r="AQ719" s="18" t="s">
        <v>109</v>
      </c>
      <c r="AR719" s="18" t="s">
        <v>109</v>
      </c>
      <c r="AS719" s="18" t="s">
        <v>109</v>
      </c>
      <c r="AT719" s="18" t="s">
        <v>109</v>
      </c>
      <c r="AU719" s="18" t="s">
        <v>109</v>
      </c>
      <c r="AV719" s="36" t="s">
        <v>109</v>
      </c>
    </row>
    <row r="720" spans="1:264" ht="69" hidden="1" customHeight="1" x14ac:dyDescent="0.3">
      <c r="A720" s="15" t="s">
        <v>705</v>
      </c>
      <c r="B720" s="15" t="s">
        <v>1298</v>
      </c>
      <c r="C720" s="15" t="s">
        <v>1319</v>
      </c>
      <c r="D720" s="15" t="s">
        <v>32</v>
      </c>
      <c r="E720" s="18" t="s">
        <v>109</v>
      </c>
      <c r="F720" s="18" t="s">
        <v>109</v>
      </c>
      <c r="G720" s="18" t="s">
        <v>109</v>
      </c>
      <c r="H720" s="18" t="s">
        <v>109</v>
      </c>
      <c r="I720" s="18" t="s">
        <v>19</v>
      </c>
      <c r="J720" s="18" t="s">
        <v>19</v>
      </c>
      <c r="K720" s="18" t="s">
        <v>19</v>
      </c>
      <c r="L720" s="18" t="s">
        <v>19</v>
      </c>
      <c r="M720" s="15" t="s">
        <v>1030</v>
      </c>
      <c r="N720" s="15" t="s">
        <v>1111</v>
      </c>
      <c r="O720" s="33" t="s">
        <v>1654</v>
      </c>
      <c r="P720" s="4" t="s">
        <v>1799</v>
      </c>
      <c r="S720" s="15" t="e" cm="1">
        <f t="array" aca="1" ref="S720" ca="1">COMMONMARKETCOUNT(H720:AV720)</f>
        <v>#NAME?</v>
      </c>
      <c r="T720" s="15" t="e" cm="1">
        <f t="array" aca="1" ref="T720" ca="1">AUTOMATEDCOUNT(H720:AU720)</f>
        <v>#NAME?</v>
      </c>
      <c r="V720" s="18" t="s">
        <v>109</v>
      </c>
      <c r="W720" s="18" t="s">
        <v>109</v>
      </c>
      <c r="X720" s="18" t="s">
        <v>109</v>
      </c>
      <c r="Y720" s="18" t="s">
        <v>109</v>
      </c>
      <c r="Z720" s="18" t="s">
        <v>109</v>
      </c>
      <c r="AA720" s="18" t="s">
        <v>19</v>
      </c>
      <c r="AB720" s="18" t="s">
        <v>19</v>
      </c>
      <c r="AC720" s="18" t="s">
        <v>19</v>
      </c>
      <c r="AD720" s="18" t="s">
        <v>19</v>
      </c>
      <c r="AE720" s="18" t="s">
        <v>19</v>
      </c>
      <c r="AF720" s="15" t="s">
        <v>109</v>
      </c>
      <c r="AG720" s="18" t="s">
        <v>109</v>
      </c>
      <c r="AH720" s="18" t="s">
        <v>109</v>
      </c>
      <c r="AI720" s="18" t="s">
        <v>109</v>
      </c>
      <c r="AJ720" s="18" t="s">
        <v>109</v>
      </c>
      <c r="AK720" s="18" t="s">
        <v>109</v>
      </c>
      <c r="AL720" s="18" t="s">
        <v>109</v>
      </c>
      <c r="AM720" s="18" t="s">
        <v>109</v>
      </c>
      <c r="AN720" s="18" t="s">
        <v>109</v>
      </c>
      <c r="AO720" s="18" t="s">
        <v>109</v>
      </c>
      <c r="AP720" s="18" t="s">
        <v>109</v>
      </c>
      <c r="AQ720" s="18" t="s">
        <v>109</v>
      </c>
      <c r="AR720" s="18" t="s">
        <v>109</v>
      </c>
      <c r="AS720" s="18" t="s">
        <v>109</v>
      </c>
      <c r="AT720" s="18" t="s">
        <v>109</v>
      </c>
      <c r="AU720" s="18" t="s">
        <v>109</v>
      </c>
      <c r="AV720" s="36" t="s">
        <v>109</v>
      </c>
    </row>
    <row r="721" spans="1:48" ht="61.5" hidden="1" customHeight="1" x14ac:dyDescent="0.3">
      <c r="A721" s="15" t="s">
        <v>705</v>
      </c>
      <c r="B721" s="15" t="s">
        <v>1780</v>
      </c>
      <c r="C721" s="15" t="s">
        <v>1320</v>
      </c>
      <c r="D721" s="15" t="s">
        <v>32</v>
      </c>
      <c r="E721" s="15" t="s">
        <v>109</v>
      </c>
      <c r="F721" s="15" t="s">
        <v>109</v>
      </c>
      <c r="G721" s="15" t="s">
        <v>109</v>
      </c>
      <c r="H721" s="15" t="s">
        <v>109</v>
      </c>
      <c r="I721" s="15" t="s">
        <v>109</v>
      </c>
      <c r="J721" s="15" t="s">
        <v>109</v>
      </c>
      <c r="K721" s="15" t="s">
        <v>109</v>
      </c>
      <c r="L721" s="15" t="s">
        <v>109</v>
      </c>
      <c r="M721" s="15" t="s">
        <v>1800</v>
      </c>
      <c r="N721" s="15" t="s">
        <v>1085</v>
      </c>
      <c r="O721" s="33" t="s">
        <v>1648</v>
      </c>
      <c r="P721" s="4" t="s">
        <v>3136</v>
      </c>
      <c r="S721" s="15" t="e" cm="1">
        <f t="array" aca="1" ref="S721" ca="1">COMMONMARKETCOUNT(H721:AV721)</f>
        <v>#NAME?</v>
      </c>
      <c r="T721" s="15" t="e" cm="1">
        <f t="array" aca="1" ref="T721" ca="1">AUTOMATEDCOUNT(H721:AU721)</f>
        <v>#NAME?</v>
      </c>
      <c r="V721" s="15" t="s">
        <v>109</v>
      </c>
      <c r="W721" s="15" t="s">
        <v>109</v>
      </c>
      <c r="X721" s="15" t="s">
        <v>109</v>
      </c>
      <c r="Y721" s="15" t="s">
        <v>109</v>
      </c>
      <c r="Z721" s="15" t="s">
        <v>109</v>
      </c>
      <c r="AA721" s="15" t="s">
        <v>109</v>
      </c>
      <c r="AB721" s="15" t="s">
        <v>109</v>
      </c>
      <c r="AC721" s="15" t="s">
        <v>109</v>
      </c>
      <c r="AD721" s="18" t="s">
        <v>19</v>
      </c>
      <c r="AE721" s="18" t="s">
        <v>19</v>
      </c>
      <c r="AF721" s="15" t="s">
        <v>109</v>
      </c>
      <c r="AG721" s="15" t="s">
        <v>109</v>
      </c>
      <c r="AH721" s="15" t="s">
        <v>109</v>
      </c>
      <c r="AI721" s="15" t="s">
        <v>109</v>
      </c>
      <c r="AJ721" s="15" t="s">
        <v>109</v>
      </c>
      <c r="AK721" s="15" t="s">
        <v>109</v>
      </c>
      <c r="AL721" s="15" t="s">
        <v>109</v>
      </c>
      <c r="AM721" s="15" t="s">
        <v>109</v>
      </c>
      <c r="AN721" s="15" t="s">
        <v>109</v>
      </c>
      <c r="AO721" s="15" t="s">
        <v>109</v>
      </c>
      <c r="AP721" s="15" t="s">
        <v>109</v>
      </c>
      <c r="AQ721" s="15" t="s">
        <v>109</v>
      </c>
      <c r="AR721" s="15" t="s">
        <v>109</v>
      </c>
      <c r="AS721" s="15" t="s">
        <v>109</v>
      </c>
      <c r="AT721" s="15" t="s">
        <v>19</v>
      </c>
      <c r="AU721" s="15" t="s">
        <v>109</v>
      </c>
      <c r="AV721" s="36" t="s">
        <v>109</v>
      </c>
    </row>
    <row r="722" spans="1:48" ht="60.75" hidden="1" customHeight="1" x14ac:dyDescent="0.3">
      <c r="A722" s="15" t="s">
        <v>705</v>
      </c>
      <c r="B722" s="15" t="s">
        <v>1309</v>
      </c>
      <c r="C722" s="15" t="s">
        <v>1321</v>
      </c>
      <c r="D722" s="15" t="s">
        <v>32</v>
      </c>
      <c r="E722" s="18" t="s">
        <v>109</v>
      </c>
      <c r="F722" s="18" t="s">
        <v>109</v>
      </c>
      <c r="G722" s="18" t="s">
        <v>109</v>
      </c>
      <c r="H722" s="18" t="s">
        <v>109</v>
      </c>
      <c r="I722" s="18" t="s">
        <v>19</v>
      </c>
      <c r="J722" s="18" t="s">
        <v>19</v>
      </c>
      <c r="K722" s="18" t="s">
        <v>19</v>
      </c>
      <c r="L722" s="18" t="s">
        <v>19</v>
      </c>
      <c r="M722" s="15" t="s">
        <v>1047</v>
      </c>
      <c r="N722" s="15" t="s">
        <v>1023</v>
      </c>
      <c r="O722" s="33" t="s">
        <v>1648</v>
      </c>
      <c r="P722" s="4" t="s">
        <v>3137</v>
      </c>
      <c r="S722" s="15" t="e" cm="1">
        <f t="array" aca="1" ref="S722" ca="1">COMMONMARKETCOUNT(H722:AV722)</f>
        <v>#NAME?</v>
      </c>
      <c r="T722" s="15" t="e" cm="1">
        <f t="array" aca="1" ref="T722" ca="1">AUTOMATEDCOUNT(H722:AU722)</f>
        <v>#NAME?</v>
      </c>
      <c r="V722" s="18" t="s">
        <v>109</v>
      </c>
      <c r="W722" s="18" t="s">
        <v>109</v>
      </c>
      <c r="X722" s="18" t="s">
        <v>109</v>
      </c>
      <c r="Y722" s="18" t="s">
        <v>109</v>
      </c>
      <c r="Z722" s="18" t="s">
        <v>109</v>
      </c>
      <c r="AA722" s="18" t="s">
        <v>19</v>
      </c>
      <c r="AB722" s="18" t="s">
        <v>19</v>
      </c>
      <c r="AC722" s="18" t="s">
        <v>19</v>
      </c>
      <c r="AD722" s="18" t="s">
        <v>19</v>
      </c>
      <c r="AE722" s="18" t="s">
        <v>19</v>
      </c>
      <c r="AF722" s="15" t="s">
        <v>109</v>
      </c>
      <c r="AG722" s="18" t="s">
        <v>109</v>
      </c>
      <c r="AH722" s="18" t="s">
        <v>109</v>
      </c>
      <c r="AI722" s="18" t="s">
        <v>109</v>
      </c>
      <c r="AJ722" s="18" t="s">
        <v>109</v>
      </c>
      <c r="AK722" s="18" t="s">
        <v>109</v>
      </c>
      <c r="AL722" s="18" t="s">
        <v>109</v>
      </c>
      <c r="AM722" s="18" t="s">
        <v>109</v>
      </c>
      <c r="AN722" s="18" t="s">
        <v>109</v>
      </c>
      <c r="AO722" s="18" t="s">
        <v>109</v>
      </c>
      <c r="AP722" s="18" t="s">
        <v>109</v>
      </c>
      <c r="AQ722" s="18" t="s">
        <v>109</v>
      </c>
      <c r="AR722" s="18" t="s">
        <v>109</v>
      </c>
      <c r="AS722" s="18" t="s">
        <v>109</v>
      </c>
      <c r="AT722" s="18" t="s">
        <v>109</v>
      </c>
      <c r="AU722" s="18" t="s">
        <v>109</v>
      </c>
      <c r="AV722" s="36" t="s">
        <v>109</v>
      </c>
    </row>
    <row r="723" spans="1:48" ht="60.75" hidden="1" customHeight="1" x14ac:dyDescent="0.3">
      <c r="A723" s="15" t="s">
        <v>705</v>
      </c>
      <c r="B723" s="15" t="s">
        <v>714</v>
      </c>
      <c r="C723" s="15" t="s">
        <v>1322</v>
      </c>
      <c r="D723" s="15" t="s">
        <v>32</v>
      </c>
      <c r="E723" s="18" t="s">
        <v>109</v>
      </c>
      <c r="F723" s="18" t="s">
        <v>109</v>
      </c>
      <c r="G723" s="18" t="s">
        <v>109</v>
      </c>
      <c r="H723" s="18" t="s">
        <v>109</v>
      </c>
      <c r="I723" s="18" t="s">
        <v>19</v>
      </c>
      <c r="J723" s="18" t="s">
        <v>19</v>
      </c>
      <c r="K723" s="18" t="s">
        <v>19</v>
      </c>
      <c r="L723" s="18" t="s">
        <v>19</v>
      </c>
      <c r="M723" s="15" t="s">
        <v>1323</v>
      </c>
      <c r="N723" s="15" t="s">
        <v>516</v>
      </c>
      <c r="O723" s="15"/>
      <c r="P723" s="4" t="s">
        <v>1801</v>
      </c>
      <c r="S723" s="15" t="e" cm="1">
        <f t="array" aca="1" ref="S723" ca="1">COMMONMARKETCOUNT(H723:AV723)</f>
        <v>#NAME?</v>
      </c>
      <c r="T723" s="15" t="e" cm="1">
        <f t="array" aca="1" ref="T723" ca="1">AUTOMATEDCOUNT(H723:AU723)</f>
        <v>#NAME?</v>
      </c>
      <c r="V723" s="18" t="s">
        <v>109</v>
      </c>
      <c r="W723" s="18" t="s">
        <v>109</v>
      </c>
      <c r="X723" s="18" t="s">
        <v>109</v>
      </c>
      <c r="Y723" s="18" t="s">
        <v>109</v>
      </c>
      <c r="Z723" s="18" t="s">
        <v>109</v>
      </c>
      <c r="AA723" s="18" t="s">
        <v>19</v>
      </c>
      <c r="AB723" s="18" t="s">
        <v>19</v>
      </c>
      <c r="AC723" s="18" t="s">
        <v>19</v>
      </c>
      <c r="AD723" s="6" t="s">
        <v>19</v>
      </c>
      <c r="AE723" s="6" t="s">
        <v>19</v>
      </c>
      <c r="AF723" s="18" t="s">
        <v>19</v>
      </c>
      <c r="AG723" s="18" t="s">
        <v>19</v>
      </c>
      <c r="AH723" s="18" t="s">
        <v>19</v>
      </c>
      <c r="AI723" s="18" t="s">
        <v>19</v>
      </c>
      <c r="AJ723" s="18" t="s">
        <v>19</v>
      </c>
      <c r="AK723" s="18" t="s">
        <v>19</v>
      </c>
      <c r="AL723" s="18" t="s">
        <v>19</v>
      </c>
      <c r="AM723" s="18" t="s">
        <v>19</v>
      </c>
      <c r="AN723" s="18" t="s">
        <v>19</v>
      </c>
      <c r="AO723" s="18" t="s">
        <v>19</v>
      </c>
      <c r="AP723" s="18" t="s">
        <v>19</v>
      </c>
      <c r="AQ723" s="18" t="s">
        <v>19</v>
      </c>
      <c r="AR723" s="18" t="s">
        <v>19</v>
      </c>
      <c r="AS723" s="18" t="s">
        <v>19</v>
      </c>
      <c r="AT723" s="18" t="s">
        <v>19</v>
      </c>
      <c r="AU723" s="18" t="s">
        <v>3153</v>
      </c>
      <c r="AV723" s="36" t="s">
        <v>19</v>
      </c>
    </row>
    <row r="724" spans="1:48" ht="60.75" hidden="1" customHeight="1" x14ac:dyDescent="0.3">
      <c r="A724" s="18" t="s">
        <v>705</v>
      </c>
      <c r="B724" s="18" t="s">
        <v>55</v>
      </c>
      <c r="C724" s="15" t="s">
        <v>1377</v>
      </c>
      <c r="D724" s="15" t="s">
        <v>32</v>
      </c>
      <c r="E724" s="18" t="s">
        <v>109</v>
      </c>
      <c r="F724" s="18" t="s">
        <v>109</v>
      </c>
      <c r="G724" s="18" t="s">
        <v>109</v>
      </c>
      <c r="H724" s="18" t="s">
        <v>109</v>
      </c>
      <c r="I724" s="18" t="s">
        <v>109</v>
      </c>
      <c r="J724" s="18" t="s">
        <v>109</v>
      </c>
      <c r="K724" s="18" t="s">
        <v>109</v>
      </c>
      <c r="L724" s="18" t="s">
        <v>109</v>
      </c>
      <c r="M724" s="15" t="s">
        <v>1341</v>
      </c>
      <c r="N724" s="15" t="s">
        <v>2347</v>
      </c>
      <c r="O724" s="15" t="s">
        <v>1653</v>
      </c>
      <c r="P724" s="4" t="s">
        <v>3138</v>
      </c>
      <c r="S724" s="15" t="e" cm="1">
        <f t="array" aca="1" ref="S724" ca="1">COMMONMARKETCOUNT(H724:AV724)</f>
        <v>#NAME?</v>
      </c>
      <c r="T724" s="15" t="e" cm="1">
        <f t="array" aca="1" ref="T724" ca="1">AUTOMATEDCOUNT(H724:AU724)</f>
        <v>#NAME?</v>
      </c>
      <c r="V724" s="18" t="s">
        <v>109</v>
      </c>
      <c r="W724" s="18" t="s">
        <v>109</v>
      </c>
      <c r="X724" s="18" t="s">
        <v>109</v>
      </c>
      <c r="Y724" s="18" t="s">
        <v>109</v>
      </c>
      <c r="Z724" s="18" t="s">
        <v>109</v>
      </c>
      <c r="AA724" s="18" t="s">
        <v>109</v>
      </c>
      <c r="AB724" s="18" t="s">
        <v>109</v>
      </c>
      <c r="AC724" s="18" t="s">
        <v>109</v>
      </c>
      <c r="AD724" s="6" t="s">
        <v>19</v>
      </c>
      <c r="AE724" s="6" t="s">
        <v>19</v>
      </c>
      <c r="AF724" s="18" t="s">
        <v>109</v>
      </c>
      <c r="AG724" s="18" t="s">
        <v>109</v>
      </c>
      <c r="AH724" s="18" t="s">
        <v>109</v>
      </c>
      <c r="AI724" s="18" t="s">
        <v>109</v>
      </c>
      <c r="AJ724" s="18" t="s">
        <v>109</v>
      </c>
      <c r="AK724" s="18" t="s">
        <v>109</v>
      </c>
      <c r="AL724" s="18" t="s">
        <v>109</v>
      </c>
      <c r="AM724" s="18" t="s">
        <v>109</v>
      </c>
      <c r="AN724" s="18" t="s">
        <v>109</v>
      </c>
      <c r="AO724" s="18" t="s">
        <v>109</v>
      </c>
      <c r="AP724" s="18" t="s">
        <v>109</v>
      </c>
      <c r="AQ724" s="18" t="s">
        <v>109</v>
      </c>
      <c r="AR724" s="18" t="s">
        <v>109</v>
      </c>
      <c r="AS724" s="18" t="s">
        <v>109</v>
      </c>
      <c r="AT724" s="18" t="s">
        <v>109</v>
      </c>
      <c r="AU724" s="18" t="s">
        <v>109</v>
      </c>
      <c r="AV724" s="36" t="s">
        <v>109</v>
      </c>
    </row>
    <row r="725" spans="1:48" ht="60.75" hidden="1" customHeight="1" x14ac:dyDescent="0.3">
      <c r="A725" s="18" t="s">
        <v>705</v>
      </c>
      <c r="B725" s="18" t="s">
        <v>55</v>
      </c>
      <c r="C725" s="15" t="s">
        <v>1378</v>
      </c>
      <c r="D725" s="15" t="s">
        <v>32</v>
      </c>
      <c r="E725" s="18" t="s">
        <v>109</v>
      </c>
      <c r="F725" s="18" t="s">
        <v>109</v>
      </c>
      <c r="G725" s="18" t="s">
        <v>109</v>
      </c>
      <c r="H725" s="18" t="s">
        <v>109</v>
      </c>
      <c r="I725" s="18" t="s">
        <v>109</v>
      </c>
      <c r="J725" s="18" t="s">
        <v>109</v>
      </c>
      <c r="K725" s="18" t="s">
        <v>109</v>
      </c>
      <c r="L725" s="18" t="s">
        <v>109</v>
      </c>
      <c r="M725" s="15" t="s">
        <v>1342</v>
      </c>
      <c r="N725" s="15" t="s">
        <v>2348</v>
      </c>
      <c r="O725" s="15" t="s">
        <v>1653</v>
      </c>
      <c r="P725" s="4" t="s">
        <v>2349</v>
      </c>
      <c r="S725" s="15" t="e" cm="1">
        <f t="array" aca="1" ref="S725" ca="1">COMMONMARKETCOUNT(H725:AV725)</f>
        <v>#NAME?</v>
      </c>
      <c r="T725" s="15" t="e" cm="1">
        <f t="array" aca="1" ref="T725" ca="1">AUTOMATEDCOUNT(H725:AU725)</f>
        <v>#NAME?</v>
      </c>
      <c r="V725" s="18" t="s">
        <v>109</v>
      </c>
      <c r="W725" s="18" t="s">
        <v>109</v>
      </c>
      <c r="X725" s="18" t="s">
        <v>109</v>
      </c>
      <c r="Y725" s="18" t="s">
        <v>109</v>
      </c>
      <c r="Z725" s="18" t="s">
        <v>109</v>
      </c>
      <c r="AA725" s="18" t="s">
        <v>109</v>
      </c>
      <c r="AB725" s="18" t="s">
        <v>109</v>
      </c>
      <c r="AC725" s="18" t="s">
        <v>109</v>
      </c>
      <c r="AD725" s="6" t="s">
        <v>19</v>
      </c>
      <c r="AE725" s="6" t="s">
        <v>19</v>
      </c>
      <c r="AF725" s="18" t="s">
        <v>109</v>
      </c>
      <c r="AG725" s="18" t="s">
        <v>109</v>
      </c>
      <c r="AH725" s="18" t="s">
        <v>109</v>
      </c>
      <c r="AI725" s="18" t="s">
        <v>109</v>
      </c>
      <c r="AJ725" s="18" t="s">
        <v>109</v>
      </c>
      <c r="AK725" s="18" t="s">
        <v>109</v>
      </c>
      <c r="AL725" s="18" t="s">
        <v>109</v>
      </c>
      <c r="AM725" s="18" t="s">
        <v>109</v>
      </c>
      <c r="AN725" s="18" t="s">
        <v>109</v>
      </c>
      <c r="AO725" s="18" t="s">
        <v>109</v>
      </c>
      <c r="AP725" s="18" t="s">
        <v>109</v>
      </c>
      <c r="AQ725" s="18" t="s">
        <v>109</v>
      </c>
      <c r="AR725" s="18" t="s">
        <v>109</v>
      </c>
      <c r="AS725" s="18" t="s">
        <v>109</v>
      </c>
      <c r="AT725" s="18" t="s">
        <v>109</v>
      </c>
      <c r="AU725" s="18" t="s">
        <v>109</v>
      </c>
      <c r="AV725" s="36" t="s">
        <v>109</v>
      </c>
    </row>
    <row r="726" spans="1:48" ht="81" hidden="1" customHeight="1" x14ac:dyDescent="0.3">
      <c r="A726" s="15" t="s">
        <v>705</v>
      </c>
      <c r="B726" s="15" t="s">
        <v>1298</v>
      </c>
      <c r="C726" s="15" t="s">
        <v>1379</v>
      </c>
      <c r="D726" s="15" t="s">
        <v>32</v>
      </c>
      <c r="E726" s="18" t="s">
        <v>109</v>
      </c>
      <c r="F726" s="18" t="s">
        <v>109</v>
      </c>
      <c r="G726" s="18" t="s">
        <v>109</v>
      </c>
      <c r="H726" s="18" t="s">
        <v>109</v>
      </c>
      <c r="I726" s="18" t="s">
        <v>19</v>
      </c>
      <c r="J726" s="18" t="s">
        <v>19</v>
      </c>
      <c r="K726" s="18" t="s">
        <v>19</v>
      </c>
      <c r="L726" s="18" t="s">
        <v>19</v>
      </c>
      <c r="M726" s="15" t="s">
        <v>1344</v>
      </c>
      <c r="N726" s="15" t="s">
        <v>1802</v>
      </c>
      <c r="O726" s="15" t="s">
        <v>1655</v>
      </c>
      <c r="P726" s="4" t="s">
        <v>1343</v>
      </c>
      <c r="S726" s="15" t="e" cm="1">
        <f t="array" aca="1" ref="S726" ca="1">COMMONMARKETCOUNT(H726:AV726)</f>
        <v>#NAME?</v>
      </c>
      <c r="T726" s="15" t="e" cm="1">
        <f t="array" aca="1" ref="T726" ca="1">AUTOMATEDCOUNT(H726:AU726)</f>
        <v>#NAME?</v>
      </c>
      <c r="V726" s="18" t="s">
        <v>109</v>
      </c>
      <c r="W726" s="18" t="s">
        <v>109</v>
      </c>
      <c r="X726" s="18" t="s">
        <v>109</v>
      </c>
      <c r="Y726" s="18" t="s">
        <v>109</v>
      </c>
      <c r="Z726" s="18" t="s">
        <v>109</v>
      </c>
      <c r="AA726" s="18" t="s">
        <v>19</v>
      </c>
      <c r="AB726" s="18" t="s">
        <v>19</v>
      </c>
      <c r="AC726" s="18" t="s">
        <v>19</v>
      </c>
      <c r="AD726" s="18" t="s">
        <v>19</v>
      </c>
      <c r="AE726" s="18" t="s">
        <v>19</v>
      </c>
      <c r="AF726" s="15" t="s">
        <v>109</v>
      </c>
      <c r="AG726" s="18" t="s">
        <v>109</v>
      </c>
      <c r="AH726" s="18" t="s">
        <v>109</v>
      </c>
      <c r="AI726" s="18" t="s">
        <v>109</v>
      </c>
      <c r="AJ726" s="18" t="s">
        <v>109</v>
      </c>
      <c r="AK726" s="18" t="s">
        <v>109</v>
      </c>
      <c r="AL726" s="18" t="s">
        <v>109</v>
      </c>
      <c r="AM726" s="18" t="s">
        <v>109</v>
      </c>
      <c r="AN726" s="18" t="s">
        <v>109</v>
      </c>
      <c r="AO726" s="18" t="s">
        <v>109</v>
      </c>
      <c r="AP726" s="18" t="s">
        <v>109</v>
      </c>
      <c r="AQ726" s="18" t="s">
        <v>109</v>
      </c>
      <c r="AR726" s="18" t="s">
        <v>109</v>
      </c>
      <c r="AS726" s="18" t="s">
        <v>109</v>
      </c>
      <c r="AT726" s="18" t="s">
        <v>109</v>
      </c>
      <c r="AU726" s="18" t="s">
        <v>109</v>
      </c>
      <c r="AV726" s="36" t="s">
        <v>109</v>
      </c>
    </row>
    <row r="727" spans="1:48" ht="78" hidden="1" customHeight="1" x14ac:dyDescent="0.3">
      <c r="A727" s="15" t="s">
        <v>705</v>
      </c>
      <c r="B727" s="15" t="s">
        <v>714</v>
      </c>
      <c r="C727" s="15" t="s">
        <v>1881</v>
      </c>
      <c r="D727" s="18" t="s">
        <v>32</v>
      </c>
      <c r="E727" s="18" t="s">
        <v>19</v>
      </c>
      <c r="F727" s="18" t="s">
        <v>19</v>
      </c>
      <c r="G727" s="18" t="s">
        <v>19</v>
      </c>
      <c r="H727" s="18" t="s">
        <v>19</v>
      </c>
      <c r="I727" s="18" t="s">
        <v>19</v>
      </c>
      <c r="J727" s="18" t="s">
        <v>19</v>
      </c>
      <c r="K727" s="18" t="s">
        <v>19</v>
      </c>
      <c r="L727" s="18" t="s">
        <v>19</v>
      </c>
      <c r="M727" s="15" t="s">
        <v>1807</v>
      </c>
      <c r="N727" s="15" t="s">
        <v>1808</v>
      </c>
      <c r="O727" s="30" t="s">
        <v>1658</v>
      </c>
      <c r="P727" s="4" t="s">
        <v>1662</v>
      </c>
      <c r="S727" s="15" t="e" cm="1">
        <f t="array" aca="1" ref="S727" ca="1">COMMONMARKETCOUNT(H727:AV727)</f>
        <v>#NAME?</v>
      </c>
      <c r="T727" s="15" t="e" cm="1">
        <f t="array" aca="1" ref="T727" ca="1">AUTOMATEDCOUNT(H727:AU727)</f>
        <v>#NAME?</v>
      </c>
      <c r="V727" s="18" t="s">
        <v>19</v>
      </c>
      <c r="W727" s="18" t="s">
        <v>19</v>
      </c>
      <c r="X727" s="18" t="s">
        <v>19</v>
      </c>
      <c r="Y727" s="18" t="s">
        <v>19</v>
      </c>
      <c r="Z727" s="18" t="s">
        <v>19</v>
      </c>
      <c r="AA727" s="18" t="s">
        <v>19</v>
      </c>
      <c r="AB727" s="18" t="s">
        <v>19</v>
      </c>
      <c r="AC727" s="18" t="s">
        <v>19</v>
      </c>
      <c r="AD727" s="18" t="s">
        <v>109</v>
      </c>
      <c r="AE727" s="18" t="s">
        <v>109</v>
      </c>
      <c r="AF727" s="18" t="s">
        <v>19</v>
      </c>
      <c r="AG727" s="18" t="s">
        <v>19</v>
      </c>
      <c r="AH727" s="18" t="s">
        <v>19</v>
      </c>
      <c r="AI727" s="18" t="s">
        <v>19</v>
      </c>
      <c r="AJ727" s="18" t="s">
        <v>19</v>
      </c>
      <c r="AK727" s="18" t="s">
        <v>19</v>
      </c>
      <c r="AL727" s="18" t="s">
        <v>19</v>
      </c>
      <c r="AM727" s="18" t="s">
        <v>19</v>
      </c>
      <c r="AN727" s="18" t="s">
        <v>19</v>
      </c>
      <c r="AO727" s="18" t="s">
        <v>19</v>
      </c>
      <c r="AP727" s="18" t="s">
        <v>19</v>
      </c>
      <c r="AQ727" s="18" t="s">
        <v>19</v>
      </c>
      <c r="AR727" s="18" t="s">
        <v>19</v>
      </c>
      <c r="AS727" s="18" t="s">
        <v>19</v>
      </c>
      <c r="AT727" s="18" t="s">
        <v>19</v>
      </c>
      <c r="AU727" s="18" t="s">
        <v>3153</v>
      </c>
      <c r="AV727" s="36" t="s">
        <v>19</v>
      </c>
    </row>
    <row r="728" spans="1:48" ht="96" hidden="1" customHeight="1" x14ac:dyDescent="0.3">
      <c r="A728" s="18" t="s">
        <v>682</v>
      </c>
      <c r="B728" s="15" t="s">
        <v>17</v>
      </c>
      <c r="C728" s="19" t="s">
        <v>1817</v>
      </c>
      <c r="D728" s="18" t="s">
        <v>32</v>
      </c>
      <c r="E728" s="18" t="s">
        <v>109</v>
      </c>
      <c r="F728" s="18" t="s">
        <v>109</v>
      </c>
      <c r="G728" s="18" t="s">
        <v>109</v>
      </c>
      <c r="H728" s="18" t="s">
        <v>109</v>
      </c>
      <c r="I728" s="18" t="s">
        <v>19</v>
      </c>
      <c r="J728" s="18" t="s">
        <v>19</v>
      </c>
      <c r="K728" s="18" t="s">
        <v>19</v>
      </c>
      <c r="L728" s="18" t="s">
        <v>19</v>
      </c>
      <c r="M728" s="15" t="s">
        <v>1670</v>
      </c>
      <c r="N728" s="15" t="s">
        <v>1671</v>
      </c>
      <c r="O728" s="30" t="s">
        <v>1658</v>
      </c>
      <c r="P728" s="4" t="s">
        <v>3139</v>
      </c>
      <c r="S728" s="15" t="e" cm="1">
        <f t="array" aca="1" ref="S728" ca="1">COMMONMARKETCOUNT(H728:AV728)</f>
        <v>#NAME?</v>
      </c>
      <c r="T728" s="15" t="e" cm="1">
        <f t="array" aca="1" ref="T728" ca="1">AUTOMATEDCOUNT(H728:AU728)</f>
        <v>#NAME?</v>
      </c>
      <c r="V728" s="18" t="s">
        <v>109</v>
      </c>
      <c r="W728" s="18" t="s">
        <v>109</v>
      </c>
      <c r="X728" s="18" t="s">
        <v>109</v>
      </c>
      <c r="Y728" s="18" t="s">
        <v>109</v>
      </c>
      <c r="Z728" s="18" t="s">
        <v>109</v>
      </c>
      <c r="AA728" s="18" t="s">
        <v>19</v>
      </c>
      <c r="AB728" s="18" t="s">
        <v>19</v>
      </c>
      <c r="AC728" s="18" t="s">
        <v>19</v>
      </c>
      <c r="AD728" s="6" t="s">
        <v>19</v>
      </c>
      <c r="AE728" s="6" t="s">
        <v>19</v>
      </c>
      <c r="AF728" s="18" t="s">
        <v>19</v>
      </c>
      <c r="AG728" s="18" t="s">
        <v>19</v>
      </c>
      <c r="AH728" s="18" t="s">
        <v>19</v>
      </c>
      <c r="AI728" s="18" t="s">
        <v>19</v>
      </c>
      <c r="AJ728" s="18" t="s">
        <v>19</v>
      </c>
      <c r="AK728" s="18" t="s">
        <v>19</v>
      </c>
      <c r="AL728" s="18" t="s">
        <v>19</v>
      </c>
      <c r="AM728" s="18" t="s">
        <v>19</v>
      </c>
      <c r="AN728" s="18" t="s">
        <v>19</v>
      </c>
      <c r="AO728" s="18" t="s">
        <v>19</v>
      </c>
      <c r="AP728" s="18" t="s">
        <v>109</v>
      </c>
      <c r="AQ728" s="18" t="s">
        <v>109</v>
      </c>
      <c r="AR728" s="18" t="s">
        <v>109</v>
      </c>
      <c r="AS728" s="18" t="s">
        <v>109</v>
      </c>
      <c r="AT728" s="18" t="s">
        <v>109</v>
      </c>
      <c r="AU728" s="18" t="s">
        <v>109</v>
      </c>
      <c r="AV728" s="36" t="s">
        <v>109</v>
      </c>
    </row>
    <row r="729" spans="1:48" ht="96" hidden="1" customHeight="1" x14ac:dyDescent="0.3">
      <c r="A729" s="6" t="s">
        <v>705</v>
      </c>
      <c r="B729" s="6" t="s">
        <v>1309</v>
      </c>
      <c r="C729" s="15" t="s">
        <v>1828</v>
      </c>
      <c r="D729" s="6" t="s">
        <v>32</v>
      </c>
      <c r="E729" s="18" t="s">
        <v>109</v>
      </c>
      <c r="F729" s="18" t="s">
        <v>109</v>
      </c>
      <c r="G729" s="18" t="s">
        <v>109</v>
      </c>
      <c r="H729" s="18" t="s">
        <v>109</v>
      </c>
      <c r="I729" s="18" t="s">
        <v>19</v>
      </c>
      <c r="J729" s="18" t="s">
        <v>19</v>
      </c>
      <c r="K729" s="18" t="s">
        <v>19</v>
      </c>
      <c r="L729" s="18" t="s">
        <v>19</v>
      </c>
      <c r="M729" s="15" t="s">
        <v>1825</v>
      </c>
      <c r="N729" s="4" t="s">
        <v>1827</v>
      </c>
      <c r="O729" s="4"/>
      <c r="P729" s="4" t="s">
        <v>1826</v>
      </c>
      <c r="S729" s="15" t="e" cm="1">
        <f t="array" aca="1" ref="S729" ca="1">COMMONMARKETCOUNT(H729:AV729)</f>
        <v>#NAME?</v>
      </c>
      <c r="T729" s="15" t="e" cm="1">
        <f t="array" aca="1" ref="T729" ca="1">AUTOMATEDCOUNT(H729:AU729)</f>
        <v>#NAME?</v>
      </c>
      <c r="V729" s="18" t="s">
        <v>109</v>
      </c>
      <c r="W729" s="18" t="s">
        <v>109</v>
      </c>
      <c r="X729" s="18" t="s">
        <v>109</v>
      </c>
      <c r="Y729" s="18" t="s">
        <v>109</v>
      </c>
      <c r="Z729" s="18" t="s">
        <v>109</v>
      </c>
      <c r="AA729" s="18" t="s">
        <v>19</v>
      </c>
      <c r="AB729" s="18" t="s">
        <v>19</v>
      </c>
      <c r="AC729" s="18" t="s">
        <v>19</v>
      </c>
      <c r="AD729" s="6" t="s">
        <v>19</v>
      </c>
      <c r="AE729" s="6" t="s">
        <v>19</v>
      </c>
      <c r="AF729" s="15" t="s">
        <v>109</v>
      </c>
      <c r="AG729" s="18" t="s">
        <v>109</v>
      </c>
      <c r="AH729" s="18" t="s">
        <v>109</v>
      </c>
      <c r="AI729" s="18" t="s">
        <v>109</v>
      </c>
      <c r="AJ729" s="18" t="s">
        <v>109</v>
      </c>
      <c r="AK729" s="18" t="s">
        <v>109</v>
      </c>
      <c r="AL729" s="18" t="s">
        <v>109</v>
      </c>
      <c r="AM729" s="18" t="s">
        <v>109</v>
      </c>
      <c r="AN729" s="18" t="s">
        <v>109</v>
      </c>
      <c r="AO729" s="18" t="s">
        <v>109</v>
      </c>
      <c r="AP729" s="18" t="s">
        <v>109</v>
      </c>
      <c r="AQ729" s="18" t="s">
        <v>109</v>
      </c>
      <c r="AR729" s="18" t="s">
        <v>109</v>
      </c>
      <c r="AS729" s="18" t="s">
        <v>109</v>
      </c>
      <c r="AT729" s="18" t="s">
        <v>109</v>
      </c>
      <c r="AU729" s="18" t="s">
        <v>109</v>
      </c>
      <c r="AV729" s="36" t="s">
        <v>109</v>
      </c>
    </row>
    <row r="730" spans="1:48" ht="87" hidden="1" customHeight="1" x14ac:dyDescent="0.3">
      <c r="A730" s="18" t="s">
        <v>682</v>
      </c>
      <c r="B730" s="6" t="s">
        <v>1307</v>
      </c>
      <c r="C730" s="15" t="s">
        <v>1882</v>
      </c>
      <c r="D730" s="6" t="s">
        <v>32</v>
      </c>
      <c r="E730" s="6" t="s">
        <v>19</v>
      </c>
      <c r="F730" s="6" t="s">
        <v>19</v>
      </c>
      <c r="G730" s="6" t="s">
        <v>19</v>
      </c>
      <c r="H730" s="6" t="s">
        <v>19</v>
      </c>
      <c r="I730" s="6" t="s">
        <v>19</v>
      </c>
      <c r="J730" s="6" t="s">
        <v>19</v>
      </c>
      <c r="K730" s="6" t="s">
        <v>19</v>
      </c>
      <c r="L730" s="6" t="s">
        <v>19</v>
      </c>
      <c r="M730" s="15" t="s">
        <v>3016</v>
      </c>
      <c r="N730" s="4" t="s">
        <v>1851</v>
      </c>
      <c r="O730" s="4" t="s">
        <v>1848</v>
      </c>
      <c r="P730" s="4" t="s">
        <v>3140</v>
      </c>
      <c r="S730" s="15" t="e" cm="1">
        <f t="array" aca="1" ref="S730" ca="1">COMMONMARKETCOUNT(H730:AV730)</f>
        <v>#NAME?</v>
      </c>
      <c r="T730" s="15" t="e" cm="1">
        <f t="array" aca="1" ref="T730" ca="1">AUTOMATEDCOUNT(H730:AU730)</f>
        <v>#NAME?</v>
      </c>
      <c r="V730" s="6" t="s">
        <v>19</v>
      </c>
      <c r="W730" s="6" t="s">
        <v>19</v>
      </c>
      <c r="X730" s="6" t="s">
        <v>19</v>
      </c>
      <c r="Y730" s="6" t="s">
        <v>19</v>
      </c>
      <c r="Z730" s="6" t="s">
        <v>19</v>
      </c>
      <c r="AA730" s="6" t="s">
        <v>19</v>
      </c>
      <c r="AB730" s="6" t="s">
        <v>19</v>
      </c>
      <c r="AC730" s="6" t="s">
        <v>19</v>
      </c>
      <c r="AD730" s="6" t="s">
        <v>19</v>
      </c>
      <c r="AE730" s="6" t="s">
        <v>19</v>
      </c>
      <c r="AF730" s="6" t="s">
        <v>19</v>
      </c>
      <c r="AG730" s="6" t="s">
        <v>19</v>
      </c>
      <c r="AH730" s="6" t="s">
        <v>19</v>
      </c>
      <c r="AI730" s="6" t="s">
        <v>19</v>
      </c>
      <c r="AJ730" s="6" t="s">
        <v>19</v>
      </c>
      <c r="AK730" s="6" t="s">
        <v>19</v>
      </c>
      <c r="AL730" s="6" t="s">
        <v>19</v>
      </c>
      <c r="AM730" s="6" t="s">
        <v>19</v>
      </c>
      <c r="AN730" s="6" t="s">
        <v>19</v>
      </c>
      <c r="AO730" s="6" t="s">
        <v>19</v>
      </c>
      <c r="AP730" s="6" t="s">
        <v>19</v>
      </c>
      <c r="AQ730" s="6" t="s">
        <v>19</v>
      </c>
      <c r="AR730" s="6" t="s">
        <v>19</v>
      </c>
      <c r="AS730" s="6" t="s">
        <v>19</v>
      </c>
      <c r="AT730" s="6" t="s">
        <v>19</v>
      </c>
      <c r="AU730" s="6" t="s">
        <v>3153</v>
      </c>
      <c r="AV730" s="36" t="s">
        <v>19</v>
      </c>
    </row>
    <row r="731" spans="1:48" ht="100.5" hidden="1" customHeight="1" x14ac:dyDescent="0.3">
      <c r="A731" s="18" t="s">
        <v>682</v>
      </c>
      <c r="B731" s="6" t="s">
        <v>714</v>
      </c>
      <c r="C731" s="4" t="s">
        <v>1883</v>
      </c>
      <c r="D731" s="6" t="s">
        <v>32</v>
      </c>
      <c r="E731" s="6" t="s">
        <v>19</v>
      </c>
      <c r="F731" s="6" t="s">
        <v>19</v>
      </c>
      <c r="G731" s="6" t="s">
        <v>19</v>
      </c>
      <c r="H731" s="6" t="s">
        <v>19</v>
      </c>
      <c r="I731" s="6" t="s">
        <v>19</v>
      </c>
      <c r="J731" s="6" t="s">
        <v>19</v>
      </c>
      <c r="K731" s="6" t="s">
        <v>19</v>
      </c>
      <c r="L731" s="6" t="s">
        <v>19</v>
      </c>
      <c r="M731" s="15" t="s">
        <v>3017</v>
      </c>
      <c r="N731" s="4" t="s">
        <v>1850</v>
      </c>
      <c r="O731" s="4" t="s">
        <v>1848</v>
      </c>
      <c r="P731" s="4" t="s">
        <v>3141</v>
      </c>
      <c r="S731" s="15" t="e" cm="1">
        <f t="array" aca="1" ref="S731" ca="1">COMMONMARKETCOUNT(H731:AV731)</f>
        <v>#NAME?</v>
      </c>
      <c r="T731" s="15" t="e" cm="1">
        <f t="array" aca="1" ref="T731" ca="1">AUTOMATEDCOUNT(H731:AU731)</f>
        <v>#NAME?</v>
      </c>
      <c r="V731" s="6" t="s">
        <v>19</v>
      </c>
      <c r="W731" s="6" t="s">
        <v>19</v>
      </c>
      <c r="X731" s="6" t="s">
        <v>19</v>
      </c>
      <c r="Y731" s="6" t="s">
        <v>19</v>
      </c>
      <c r="Z731" s="6" t="s">
        <v>19</v>
      </c>
      <c r="AA731" s="6" t="s">
        <v>19</v>
      </c>
      <c r="AB731" s="6" t="s">
        <v>19</v>
      </c>
      <c r="AC731" s="6" t="s">
        <v>19</v>
      </c>
      <c r="AD731" s="6" t="s">
        <v>19</v>
      </c>
      <c r="AE731" s="6" t="s">
        <v>19</v>
      </c>
      <c r="AF731" s="6" t="s">
        <v>19</v>
      </c>
      <c r="AG731" s="6" t="s">
        <v>19</v>
      </c>
      <c r="AH731" s="6" t="s">
        <v>19</v>
      </c>
      <c r="AI731" s="6" t="s">
        <v>19</v>
      </c>
      <c r="AJ731" s="6" t="s">
        <v>19</v>
      </c>
      <c r="AK731" s="6" t="s">
        <v>19</v>
      </c>
      <c r="AL731" s="6" t="s">
        <v>19</v>
      </c>
      <c r="AM731" s="6" t="s">
        <v>19</v>
      </c>
      <c r="AN731" s="6" t="s">
        <v>19</v>
      </c>
      <c r="AO731" s="6" t="s">
        <v>19</v>
      </c>
      <c r="AP731" s="6" t="s">
        <v>19</v>
      </c>
      <c r="AQ731" s="6" t="s">
        <v>19</v>
      </c>
      <c r="AR731" s="6" t="s">
        <v>19</v>
      </c>
      <c r="AS731" s="6" t="s">
        <v>19</v>
      </c>
      <c r="AT731" s="6" t="s">
        <v>19</v>
      </c>
      <c r="AU731" s="6" t="s">
        <v>3153</v>
      </c>
      <c r="AV731" s="36" t="s">
        <v>19</v>
      </c>
    </row>
    <row r="732" spans="1:48" ht="93" hidden="1" customHeight="1" x14ac:dyDescent="0.3">
      <c r="A732" s="15" t="s">
        <v>705</v>
      </c>
      <c r="B732" s="15" t="s">
        <v>1365</v>
      </c>
      <c r="C732" s="4" t="s">
        <v>1884</v>
      </c>
      <c r="D732" s="6" t="s">
        <v>32</v>
      </c>
      <c r="E732" s="18" t="s">
        <v>109</v>
      </c>
      <c r="F732" s="18" t="s">
        <v>109</v>
      </c>
      <c r="G732" s="18" t="s">
        <v>109</v>
      </c>
      <c r="H732" s="18" t="s">
        <v>109</v>
      </c>
      <c r="I732" s="18" t="s">
        <v>19</v>
      </c>
      <c r="J732" s="18" t="s">
        <v>19</v>
      </c>
      <c r="K732" s="18" t="s">
        <v>19</v>
      </c>
      <c r="L732" s="18" t="s">
        <v>19</v>
      </c>
      <c r="M732" s="15" t="s">
        <v>1873</v>
      </c>
      <c r="N732" s="4" t="s">
        <v>1872</v>
      </c>
      <c r="O732" s="4" t="s">
        <v>1848</v>
      </c>
      <c r="P732" s="4" t="s">
        <v>1874</v>
      </c>
      <c r="S732" s="15" t="e" cm="1">
        <f t="array" aca="1" ref="S732" ca="1">COMMONMARKETCOUNT(H732:AV732)</f>
        <v>#NAME?</v>
      </c>
      <c r="T732" s="15" t="e" cm="1">
        <f t="array" aca="1" ref="T732" ca="1">AUTOMATEDCOUNT(H732:AU732)</f>
        <v>#NAME?</v>
      </c>
      <c r="V732" s="18" t="s">
        <v>109</v>
      </c>
      <c r="W732" s="18" t="s">
        <v>109</v>
      </c>
      <c r="X732" s="18" t="s">
        <v>109</v>
      </c>
      <c r="Y732" s="18" t="s">
        <v>109</v>
      </c>
      <c r="Z732" s="18" t="s">
        <v>109</v>
      </c>
      <c r="AA732" s="18" t="s">
        <v>19</v>
      </c>
      <c r="AB732" s="18" t="s">
        <v>19</v>
      </c>
      <c r="AC732" s="18" t="s">
        <v>19</v>
      </c>
      <c r="AD732" s="6" t="s">
        <v>19</v>
      </c>
      <c r="AE732" s="6" t="s">
        <v>19</v>
      </c>
      <c r="AF732" s="15" t="s">
        <v>109</v>
      </c>
      <c r="AG732" s="18" t="s">
        <v>109</v>
      </c>
      <c r="AH732" s="18" t="s">
        <v>109</v>
      </c>
      <c r="AI732" s="18" t="s">
        <v>109</v>
      </c>
      <c r="AJ732" s="18" t="s">
        <v>109</v>
      </c>
      <c r="AK732" s="18" t="s">
        <v>109</v>
      </c>
      <c r="AL732" s="18" t="s">
        <v>109</v>
      </c>
      <c r="AM732" s="18" t="s">
        <v>109</v>
      </c>
      <c r="AN732" s="18" t="s">
        <v>109</v>
      </c>
      <c r="AO732" s="18" t="s">
        <v>109</v>
      </c>
      <c r="AP732" s="18" t="s">
        <v>109</v>
      </c>
      <c r="AQ732" s="18" t="s">
        <v>109</v>
      </c>
      <c r="AR732" s="18" t="s">
        <v>109</v>
      </c>
      <c r="AS732" s="18" t="s">
        <v>109</v>
      </c>
      <c r="AT732" s="18" t="s">
        <v>109</v>
      </c>
      <c r="AU732" s="18" t="s">
        <v>109</v>
      </c>
      <c r="AV732" s="36" t="s">
        <v>109</v>
      </c>
    </row>
    <row r="733" spans="1:48" ht="88.5" hidden="1" customHeight="1" x14ac:dyDescent="0.3">
      <c r="A733" s="15" t="s">
        <v>25</v>
      </c>
      <c r="B733" s="6" t="s">
        <v>2374</v>
      </c>
      <c r="C733" s="15" t="s">
        <v>2318</v>
      </c>
      <c r="D733" s="6" t="s">
        <v>32</v>
      </c>
      <c r="E733" s="6" t="s">
        <v>109</v>
      </c>
      <c r="F733" s="6" t="s">
        <v>109</v>
      </c>
      <c r="G733" s="6" t="s">
        <v>109</v>
      </c>
      <c r="H733" s="6" t="s">
        <v>109</v>
      </c>
      <c r="I733" s="6" t="s">
        <v>109</v>
      </c>
      <c r="J733" s="6" t="s">
        <v>109</v>
      </c>
      <c r="K733" s="6" t="s">
        <v>109</v>
      </c>
      <c r="L733" s="6" t="s">
        <v>109</v>
      </c>
      <c r="M733" s="15" t="s">
        <v>2303</v>
      </c>
      <c r="N733" s="4" t="s">
        <v>2306</v>
      </c>
      <c r="O733" s="4" t="s">
        <v>2304</v>
      </c>
      <c r="P733" s="4" t="s">
        <v>2305</v>
      </c>
      <c r="S733" s="15" t="e" cm="1">
        <f t="array" aca="1" ref="S733" ca="1">COMMONMARKETCOUNT(H733:AV733)</f>
        <v>#NAME?</v>
      </c>
      <c r="T733" s="15" t="e" cm="1">
        <f t="array" aca="1" ref="T733" ca="1">AUTOMATEDCOUNT(H733:AU733)</f>
        <v>#NAME?</v>
      </c>
      <c r="V733" s="6" t="s">
        <v>109</v>
      </c>
      <c r="W733" s="6" t="s">
        <v>109</v>
      </c>
      <c r="X733" s="6" t="s">
        <v>109</v>
      </c>
      <c r="Y733" s="6" t="s">
        <v>109</v>
      </c>
      <c r="Z733" s="6" t="s">
        <v>109</v>
      </c>
      <c r="AA733" s="6" t="s">
        <v>109</v>
      </c>
      <c r="AB733" s="6" t="s">
        <v>109</v>
      </c>
      <c r="AC733" s="6" t="s">
        <v>109</v>
      </c>
      <c r="AD733" s="18" t="s">
        <v>19</v>
      </c>
      <c r="AE733" s="18" t="s">
        <v>19</v>
      </c>
      <c r="AF733" s="6" t="s">
        <v>109</v>
      </c>
      <c r="AG733" s="6" t="s">
        <v>109</v>
      </c>
      <c r="AH733" s="6" t="s">
        <v>109</v>
      </c>
      <c r="AI733" s="6" t="s">
        <v>109</v>
      </c>
      <c r="AJ733" s="6" t="s">
        <v>109</v>
      </c>
      <c r="AK733" s="6" t="s">
        <v>109</v>
      </c>
      <c r="AL733" s="6" t="s">
        <v>19</v>
      </c>
      <c r="AM733" s="6" t="s">
        <v>19</v>
      </c>
      <c r="AN733" s="6" t="s">
        <v>109</v>
      </c>
      <c r="AO733" s="6" t="s">
        <v>109</v>
      </c>
      <c r="AP733" s="6" t="s">
        <v>109</v>
      </c>
      <c r="AQ733" s="6" t="s">
        <v>109</v>
      </c>
      <c r="AR733" s="6" t="s">
        <v>109</v>
      </c>
      <c r="AS733" s="6" t="s">
        <v>109</v>
      </c>
      <c r="AT733" s="6" t="s">
        <v>109</v>
      </c>
      <c r="AU733" s="6" t="s">
        <v>109</v>
      </c>
      <c r="AV733" s="36" t="s">
        <v>109</v>
      </c>
    </row>
    <row r="734" spans="1:48" ht="80.25" hidden="1" customHeight="1" x14ac:dyDescent="0.3">
      <c r="A734" s="6" t="s">
        <v>705</v>
      </c>
      <c r="B734" s="6" t="s">
        <v>55</v>
      </c>
      <c r="C734" s="4" t="s">
        <v>2319</v>
      </c>
      <c r="D734" s="6" t="s">
        <v>32</v>
      </c>
      <c r="E734" s="18" t="s">
        <v>109</v>
      </c>
      <c r="F734" s="18" t="s">
        <v>109</v>
      </c>
      <c r="G734" s="18" t="s">
        <v>109</v>
      </c>
      <c r="H734" s="18" t="s">
        <v>109</v>
      </c>
      <c r="I734" s="18" t="s">
        <v>19</v>
      </c>
      <c r="J734" s="18" t="s">
        <v>19</v>
      </c>
      <c r="K734" s="18" t="s">
        <v>19</v>
      </c>
      <c r="L734" s="18" t="s">
        <v>19</v>
      </c>
      <c r="M734" s="15" t="s">
        <v>2291</v>
      </c>
      <c r="N734" s="4" t="s">
        <v>2294</v>
      </c>
      <c r="O734" s="4" t="s">
        <v>2293</v>
      </c>
      <c r="P734" s="4" t="s">
        <v>2292</v>
      </c>
      <c r="S734" s="15" t="e" cm="1">
        <f t="array" aca="1" ref="S734" ca="1">COMMONMARKETCOUNT(H734:AV734)</f>
        <v>#NAME?</v>
      </c>
      <c r="T734" s="15" t="e" cm="1">
        <f t="array" aca="1" ref="T734" ca="1">AUTOMATEDCOUNT(H734:AU734)</f>
        <v>#NAME?</v>
      </c>
      <c r="V734" s="18" t="s">
        <v>109</v>
      </c>
      <c r="W734" s="18" t="s">
        <v>109</v>
      </c>
      <c r="X734" s="18" t="s">
        <v>109</v>
      </c>
      <c r="Y734" s="18" t="s">
        <v>109</v>
      </c>
      <c r="Z734" s="18" t="s">
        <v>109</v>
      </c>
      <c r="AA734" s="18" t="s">
        <v>19</v>
      </c>
      <c r="AB734" s="18" t="s">
        <v>19</v>
      </c>
      <c r="AC734" s="18" t="s">
        <v>19</v>
      </c>
      <c r="AD734" s="15" t="s">
        <v>19</v>
      </c>
      <c r="AE734" s="15" t="s">
        <v>19</v>
      </c>
      <c r="AF734" s="15" t="s">
        <v>109</v>
      </c>
      <c r="AG734" s="18" t="s">
        <v>109</v>
      </c>
      <c r="AH734" s="18" t="s">
        <v>109</v>
      </c>
      <c r="AI734" s="18" t="s">
        <v>109</v>
      </c>
      <c r="AJ734" s="18" t="s">
        <v>109</v>
      </c>
      <c r="AK734" s="18" t="s">
        <v>109</v>
      </c>
      <c r="AL734" s="18" t="s">
        <v>109</v>
      </c>
      <c r="AM734" s="18" t="s">
        <v>109</v>
      </c>
      <c r="AN734" s="18" t="s">
        <v>109</v>
      </c>
      <c r="AO734" s="18" t="s">
        <v>109</v>
      </c>
      <c r="AP734" s="18" t="s">
        <v>109</v>
      </c>
      <c r="AQ734" s="18" t="s">
        <v>109</v>
      </c>
      <c r="AR734" s="18" t="s">
        <v>109</v>
      </c>
      <c r="AS734" s="18" t="s">
        <v>109</v>
      </c>
      <c r="AT734" s="18" t="s">
        <v>109</v>
      </c>
      <c r="AU734" s="18" t="s">
        <v>109</v>
      </c>
      <c r="AV734" s="36" t="s">
        <v>109</v>
      </c>
    </row>
    <row r="735" spans="1:48" ht="73.5" hidden="1" customHeight="1" x14ac:dyDescent="0.3">
      <c r="A735" s="6" t="s">
        <v>705</v>
      </c>
      <c r="B735" s="6" t="s">
        <v>55</v>
      </c>
      <c r="C735" s="4" t="s">
        <v>2320</v>
      </c>
      <c r="D735" s="6" t="s">
        <v>32</v>
      </c>
      <c r="E735" s="6" t="s">
        <v>109</v>
      </c>
      <c r="F735" s="6" t="s">
        <v>109</v>
      </c>
      <c r="G735" s="6" t="s">
        <v>109</v>
      </c>
      <c r="H735" s="6" t="s">
        <v>109</v>
      </c>
      <c r="I735" s="6" t="s">
        <v>109</v>
      </c>
      <c r="J735" s="6" t="s">
        <v>109</v>
      </c>
      <c r="K735" s="6" t="s">
        <v>109</v>
      </c>
      <c r="L735" s="6" t="s">
        <v>109</v>
      </c>
      <c r="M735" s="15" t="s">
        <v>2295</v>
      </c>
      <c r="N735" s="4" t="s">
        <v>2296</v>
      </c>
      <c r="O735" s="4" t="s">
        <v>2293</v>
      </c>
      <c r="P735" s="4" t="s">
        <v>2297</v>
      </c>
      <c r="S735" s="15" t="e" cm="1">
        <f t="array" aca="1" ref="S735" ca="1">COMMONMARKETCOUNT(H735:AV735)</f>
        <v>#NAME?</v>
      </c>
      <c r="T735" s="15" t="e" cm="1">
        <f t="array" aca="1" ref="T735" ca="1">AUTOMATEDCOUNT(H735:AU735)</f>
        <v>#NAME?</v>
      </c>
      <c r="V735" s="6" t="s">
        <v>109</v>
      </c>
      <c r="W735" s="6" t="s">
        <v>109</v>
      </c>
      <c r="X735" s="6" t="s">
        <v>109</v>
      </c>
      <c r="Y735" s="6" t="s">
        <v>109</v>
      </c>
      <c r="Z735" s="6" t="s">
        <v>109</v>
      </c>
      <c r="AA735" s="6" t="s">
        <v>109</v>
      </c>
      <c r="AB735" s="6" t="s">
        <v>109</v>
      </c>
      <c r="AC735" s="6" t="s">
        <v>109</v>
      </c>
      <c r="AD735" s="18" t="s">
        <v>19</v>
      </c>
      <c r="AE735" s="18" t="s">
        <v>19</v>
      </c>
      <c r="AF735" s="6" t="s">
        <v>109</v>
      </c>
      <c r="AG735" s="6" t="s">
        <v>109</v>
      </c>
      <c r="AH735" s="6" t="s">
        <v>109</v>
      </c>
      <c r="AI735" s="6" t="s">
        <v>109</v>
      </c>
      <c r="AJ735" s="6" t="s">
        <v>19</v>
      </c>
      <c r="AK735" s="6" t="s">
        <v>109</v>
      </c>
      <c r="AL735" s="6" t="s">
        <v>109</v>
      </c>
      <c r="AM735" s="6" t="s">
        <v>109</v>
      </c>
      <c r="AN735" s="6" t="s">
        <v>109</v>
      </c>
      <c r="AO735" s="6" t="s">
        <v>109</v>
      </c>
      <c r="AP735" s="6" t="s">
        <v>109</v>
      </c>
      <c r="AQ735" s="6" t="s">
        <v>109</v>
      </c>
      <c r="AR735" s="6" t="s">
        <v>109</v>
      </c>
      <c r="AS735" s="6" t="s">
        <v>109</v>
      </c>
      <c r="AT735" s="6" t="s">
        <v>109</v>
      </c>
      <c r="AU735" s="18" t="s">
        <v>109</v>
      </c>
      <c r="AV735" s="36" t="s">
        <v>109</v>
      </c>
    </row>
    <row r="736" spans="1:48" ht="48" hidden="1" customHeight="1" x14ac:dyDescent="0.3">
      <c r="A736" s="6" t="s">
        <v>705</v>
      </c>
      <c r="B736" s="6" t="s">
        <v>683</v>
      </c>
      <c r="C736" s="4" t="s">
        <v>2423</v>
      </c>
      <c r="D736" s="15" t="s">
        <v>32</v>
      </c>
      <c r="E736" s="6" t="s">
        <v>19</v>
      </c>
      <c r="F736" s="6" t="s">
        <v>19</v>
      </c>
      <c r="G736" s="6" t="s">
        <v>19</v>
      </c>
      <c r="H736" s="6" t="s">
        <v>19</v>
      </c>
      <c r="I736" s="6" t="s">
        <v>19</v>
      </c>
      <c r="J736" s="6" t="s">
        <v>19</v>
      </c>
      <c r="K736" s="6" t="s">
        <v>19</v>
      </c>
      <c r="L736" s="6" t="s">
        <v>19</v>
      </c>
      <c r="M736" s="15" t="s">
        <v>2416</v>
      </c>
      <c r="N736" s="4" t="s">
        <v>2417</v>
      </c>
      <c r="O736" s="4" t="s">
        <v>2285</v>
      </c>
      <c r="P736" s="4" t="s">
        <v>2418</v>
      </c>
      <c r="S736" s="15" t="e" cm="1">
        <f t="array" aca="1" ref="S736" ca="1">COMMONMARKETCOUNT(H736:AV736)</f>
        <v>#NAME?</v>
      </c>
      <c r="T736" s="6">
        <v>0</v>
      </c>
      <c r="V736" s="6" t="s">
        <v>19</v>
      </c>
      <c r="W736" s="6" t="s">
        <v>19</v>
      </c>
      <c r="X736" s="6" t="s">
        <v>19</v>
      </c>
      <c r="Y736" s="6" t="s">
        <v>19</v>
      </c>
      <c r="Z736" s="6" t="s">
        <v>19</v>
      </c>
      <c r="AA736" s="6" t="s">
        <v>19</v>
      </c>
      <c r="AB736" s="6" t="s">
        <v>19</v>
      </c>
      <c r="AC736" s="6" t="s">
        <v>19</v>
      </c>
      <c r="AD736" s="6" t="s">
        <v>19</v>
      </c>
      <c r="AE736" s="6" t="s">
        <v>19</v>
      </c>
      <c r="AF736" s="6" t="s">
        <v>19</v>
      </c>
      <c r="AG736" s="6" t="s">
        <v>19</v>
      </c>
      <c r="AH736" s="6" t="s">
        <v>19</v>
      </c>
      <c r="AI736" s="6"/>
      <c r="AJ736" s="6" t="s">
        <v>19</v>
      </c>
      <c r="AK736" s="6" t="s">
        <v>19</v>
      </c>
      <c r="AL736" s="6" t="s">
        <v>19</v>
      </c>
      <c r="AM736" s="6" t="s">
        <v>19</v>
      </c>
      <c r="AN736" s="6" t="s">
        <v>19</v>
      </c>
      <c r="AO736" s="6" t="s">
        <v>19</v>
      </c>
      <c r="AP736" s="6" t="s">
        <v>19</v>
      </c>
      <c r="AQ736" s="6" t="s">
        <v>19</v>
      </c>
      <c r="AR736" s="6" t="s">
        <v>19</v>
      </c>
      <c r="AS736" s="6" t="s">
        <v>19</v>
      </c>
      <c r="AT736" s="6" t="s">
        <v>19</v>
      </c>
      <c r="AU736" s="6" t="s">
        <v>3153</v>
      </c>
      <c r="AV736" s="36" t="s">
        <v>19</v>
      </c>
    </row>
    <row r="737" spans="1:196" ht="45.75" hidden="1" customHeight="1" x14ac:dyDescent="0.3">
      <c r="A737" s="6" t="s">
        <v>705</v>
      </c>
      <c r="B737" s="6" t="s">
        <v>55</v>
      </c>
      <c r="C737" s="4" t="s">
        <v>2424</v>
      </c>
      <c r="D737" s="15" t="s">
        <v>32</v>
      </c>
      <c r="E737" s="6" t="s">
        <v>109</v>
      </c>
      <c r="F737" s="6" t="s">
        <v>109</v>
      </c>
      <c r="G737" s="6" t="s">
        <v>109</v>
      </c>
      <c r="H737" s="6" t="s">
        <v>109</v>
      </c>
      <c r="I737" s="6" t="s">
        <v>109</v>
      </c>
      <c r="J737" s="6" t="s">
        <v>109</v>
      </c>
      <c r="K737" s="6" t="s">
        <v>109</v>
      </c>
      <c r="L737" s="6" t="s">
        <v>109</v>
      </c>
      <c r="M737" s="15" t="s">
        <v>2419</v>
      </c>
      <c r="N737" s="2" t="s">
        <v>2420</v>
      </c>
      <c r="O737" s="3" t="s">
        <v>2421</v>
      </c>
      <c r="P737" s="4" t="s">
        <v>2422</v>
      </c>
      <c r="S737" s="15" t="e" cm="1">
        <f t="array" aca="1" ref="S737" ca="1">COMMONMARKETCOUNT(H737:AV737)</f>
        <v>#NAME?</v>
      </c>
      <c r="T737" s="6"/>
      <c r="V737" s="6" t="s">
        <v>109</v>
      </c>
      <c r="W737" s="6" t="s">
        <v>109</v>
      </c>
      <c r="X737" s="6" t="s">
        <v>109</v>
      </c>
      <c r="Y737" s="6" t="s">
        <v>109</v>
      </c>
      <c r="Z737" s="6" t="s">
        <v>109</v>
      </c>
      <c r="AA737" s="6" t="s">
        <v>109</v>
      </c>
      <c r="AB737" s="6" t="s">
        <v>109</v>
      </c>
      <c r="AC737" s="6" t="s">
        <v>109</v>
      </c>
      <c r="AD737" s="6" t="s">
        <v>109</v>
      </c>
      <c r="AE737" s="6" t="s">
        <v>109</v>
      </c>
      <c r="AF737" s="6" t="s">
        <v>109</v>
      </c>
      <c r="AG737" s="6" t="s">
        <v>109</v>
      </c>
      <c r="AH737" s="6" t="s">
        <v>109</v>
      </c>
      <c r="AI737" s="6" t="s">
        <v>109</v>
      </c>
      <c r="AJ737" s="6" t="s">
        <v>109</v>
      </c>
      <c r="AK737" s="6" t="s">
        <v>109</v>
      </c>
      <c r="AL737" s="6" t="s">
        <v>109</v>
      </c>
      <c r="AM737" s="6" t="s">
        <v>109</v>
      </c>
      <c r="AN737" s="6" t="s">
        <v>109</v>
      </c>
      <c r="AO737" s="6" t="s">
        <v>109</v>
      </c>
      <c r="AP737" s="6" t="s">
        <v>109</v>
      </c>
      <c r="AQ737" s="6" t="s">
        <v>19</v>
      </c>
      <c r="AR737" s="6" t="s">
        <v>19</v>
      </c>
      <c r="AS737" s="6" t="s">
        <v>19</v>
      </c>
      <c r="AT737" s="6" t="s">
        <v>19</v>
      </c>
      <c r="AU737" s="6" t="s">
        <v>109</v>
      </c>
      <c r="AV737" s="36" t="s">
        <v>19</v>
      </c>
    </row>
    <row r="738" spans="1:196" ht="107.25" hidden="1" customHeight="1" x14ac:dyDescent="0.3">
      <c r="A738" s="6" t="s">
        <v>705</v>
      </c>
      <c r="B738" s="6" t="s">
        <v>1309</v>
      </c>
      <c r="C738" s="15" t="s">
        <v>2822</v>
      </c>
      <c r="D738" s="15" t="s">
        <v>109</v>
      </c>
      <c r="E738" s="6" t="s">
        <v>109</v>
      </c>
      <c r="F738" s="6" t="s">
        <v>109</v>
      </c>
      <c r="G738" s="6" t="s">
        <v>109</v>
      </c>
      <c r="H738" s="6" t="s">
        <v>109</v>
      </c>
      <c r="I738" s="6" t="s">
        <v>109</v>
      </c>
      <c r="J738" s="6" t="s">
        <v>109</v>
      </c>
      <c r="K738" s="6" t="s">
        <v>109</v>
      </c>
      <c r="L738" s="6" t="s">
        <v>109</v>
      </c>
      <c r="M738" s="15" t="s">
        <v>2823</v>
      </c>
      <c r="N738" s="15" t="s">
        <v>2824</v>
      </c>
      <c r="O738" s="15"/>
      <c r="P738" s="4" t="s">
        <v>2825</v>
      </c>
      <c r="S738" s="15" t="e" cm="1">
        <f t="array" aca="1" ref="S738" ca="1">COMMONMARKETCOUNT(H738:AV738)</f>
        <v>#NAME?</v>
      </c>
      <c r="T738" s="6">
        <v>0</v>
      </c>
      <c r="V738" s="6" t="s">
        <v>109</v>
      </c>
      <c r="W738" s="6" t="s">
        <v>109</v>
      </c>
      <c r="X738" s="6" t="s">
        <v>109</v>
      </c>
      <c r="Y738" s="6" t="s">
        <v>109</v>
      </c>
      <c r="Z738" s="6" t="s">
        <v>109</v>
      </c>
      <c r="AA738" s="6" t="s">
        <v>109</v>
      </c>
      <c r="AB738" s="6" t="s">
        <v>109</v>
      </c>
      <c r="AC738" s="6" t="s">
        <v>109</v>
      </c>
      <c r="AD738" s="6" t="s">
        <v>109</v>
      </c>
      <c r="AE738" s="6" t="s">
        <v>109</v>
      </c>
      <c r="AF738" s="6" t="s">
        <v>109</v>
      </c>
      <c r="AG738" s="6" t="s">
        <v>109</v>
      </c>
      <c r="AH738" s="6" t="s">
        <v>109</v>
      </c>
      <c r="AI738" s="6" t="s">
        <v>109</v>
      </c>
      <c r="AJ738" s="6" t="s">
        <v>109</v>
      </c>
      <c r="AK738" s="6" t="s">
        <v>19</v>
      </c>
      <c r="AL738" s="6" t="s">
        <v>19</v>
      </c>
      <c r="AM738" s="6" t="s">
        <v>109</v>
      </c>
      <c r="AN738" s="6" t="s">
        <v>109</v>
      </c>
      <c r="AO738" s="6" t="s">
        <v>109</v>
      </c>
      <c r="AP738" s="6" t="s">
        <v>109</v>
      </c>
      <c r="AQ738" s="6" t="s">
        <v>109</v>
      </c>
      <c r="AR738" s="6" t="s">
        <v>109</v>
      </c>
      <c r="AS738" s="6" t="s">
        <v>109</v>
      </c>
      <c r="AT738" s="6" t="s">
        <v>109</v>
      </c>
      <c r="AU738" s="6" t="s">
        <v>109</v>
      </c>
      <c r="AV738" s="36" t="s">
        <v>109</v>
      </c>
      <c r="AW738"/>
      <c r="AX738"/>
      <c r="AY738"/>
      <c r="AZ738"/>
      <c r="BA738"/>
      <c r="BB738"/>
      <c r="BC738"/>
      <c r="BD738"/>
      <c r="BE738"/>
      <c r="BF738"/>
      <c r="BG738"/>
      <c r="BH738"/>
      <c r="BI738"/>
      <c r="BJ738"/>
      <c r="BK738"/>
      <c r="BL738"/>
      <c r="BM738"/>
      <c r="BN738"/>
      <c r="BO738"/>
      <c r="BP738"/>
      <c r="BQ738"/>
      <c r="BR738"/>
      <c r="BS738"/>
      <c r="BT738"/>
      <c r="BU738"/>
      <c r="BV738"/>
      <c r="BW738"/>
      <c r="BX738"/>
      <c r="BY738"/>
      <c r="BZ738"/>
      <c r="CA738"/>
      <c r="CB738"/>
      <c r="CC738"/>
      <c r="CD738"/>
      <c r="CE738"/>
      <c r="CF738"/>
      <c r="CG738"/>
      <c r="CH738"/>
      <c r="CI738"/>
      <c r="CJ738"/>
      <c r="CK738"/>
      <c r="CL738"/>
      <c r="CM738"/>
      <c r="CN738"/>
      <c r="CO738"/>
      <c r="CP738"/>
      <c r="CQ738"/>
      <c r="CR738"/>
      <c r="CS738"/>
      <c r="CT738"/>
      <c r="CU738"/>
      <c r="CV738"/>
      <c r="CW738"/>
      <c r="CX738"/>
      <c r="CY738"/>
      <c r="CZ738"/>
      <c r="DA738"/>
      <c r="DB738"/>
      <c r="DC738"/>
      <c r="DD738"/>
      <c r="DE738"/>
      <c r="DF738"/>
      <c r="DG738"/>
      <c r="DH738"/>
      <c r="DI738"/>
      <c r="DJ738"/>
      <c r="DK738"/>
      <c r="DL738"/>
      <c r="DM738"/>
      <c r="DN738"/>
      <c r="DO738"/>
      <c r="DP738"/>
      <c r="DQ738"/>
      <c r="DR738"/>
      <c r="DS738"/>
      <c r="DT738"/>
      <c r="DU738"/>
      <c r="DV738"/>
      <c r="DW738"/>
      <c r="DX738"/>
      <c r="DY738"/>
      <c r="DZ738"/>
      <c r="EA738"/>
      <c r="EB738"/>
      <c r="EC738"/>
      <c r="ED738"/>
      <c r="EE738"/>
      <c r="EF738"/>
      <c r="EG738"/>
      <c r="EH738"/>
      <c r="EI738"/>
      <c r="EJ738"/>
      <c r="EK738"/>
      <c r="EL738"/>
      <c r="EM738"/>
      <c r="EN738"/>
      <c r="EO738"/>
      <c r="EP738"/>
      <c r="EQ738"/>
      <c r="ER738"/>
      <c r="ES738"/>
      <c r="ET738"/>
      <c r="EU738"/>
      <c r="EV738"/>
      <c r="EW738"/>
      <c r="EX738"/>
      <c r="EY738"/>
      <c r="EZ738"/>
      <c r="FA738"/>
      <c r="FB738"/>
      <c r="FC738"/>
      <c r="FD738"/>
      <c r="FE738"/>
      <c r="FF738"/>
      <c r="FG738"/>
      <c r="FH738"/>
      <c r="FI738"/>
      <c r="FJ738"/>
      <c r="FK738"/>
      <c r="FL738"/>
      <c r="FM738"/>
      <c r="FN738"/>
      <c r="FO738"/>
      <c r="FP738"/>
      <c r="FQ738"/>
      <c r="FR738"/>
      <c r="FS738"/>
      <c r="FT738"/>
      <c r="FU738"/>
      <c r="FV738"/>
      <c r="FW738"/>
      <c r="FX738"/>
      <c r="FY738"/>
      <c r="FZ738"/>
      <c r="GA738"/>
      <c r="GB738"/>
      <c r="GC738"/>
      <c r="GD738"/>
      <c r="GE738"/>
      <c r="GF738"/>
      <c r="GG738"/>
      <c r="GH738"/>
      <c r="GI738"/>
      <c r="GJ738"/>
      <c r="GK738"/>
      <c r="GL738"/>
      <c r="GM738"/>
      <c r="GN738"/>
    </row>
    <row r="739" spans="1:196" ht="74.25" hidden="1" customHeight="1" x14ac:dyDescent="0.3">
      <c r="A739" s="6" t="s">
        <v>705</v>
      </c>
      <c r="B739" s="6" t="s">
        <v>2245</v>
      </c>
      <c r="C739" s="15" t="s">
        <v>2826</v>
      </c>
      <c r="D739" s="15" t="s">
        <v>109</v>
      </c>
      <c r="E739" s="6" t="s">
        <v>109</v>
      </c>
      <c r="F739" s="6" t="s">
        <v>109</v>
      </c>
      <c r="G739" s="6" t="s">
        <v>109</v>
      </c>
      <c r="H739" s="6" t="s">
        <v>109</v>
      </c>
      <c r="I739" s="6" t="s">
        <v>109</v>
      </c>
      <c r="J739" s="6" t="s">
        <v>109</v>
      </c>
      <c r="K739" s="6" t="s">
        <v>109</v>
      </c>
      <c r="L739" s="6" t="s">
        <v>109</v>
      </c>
      <c r="M739" s="15" t="s">
        <v>2827</v>
      </c>
      <c r="N739" s="15" t="s">
        <v>2828</v>
      </c>
      <c r="O739" s="15"/>
      <c r="P739" s="4" t="s">
        <v>3142</v>
      </c>
      <c r="S739" s="15" t="e" cm="1">
        <f t="array" aca="1" ref="S739" ca="1">COMMONMARKETCOUNT(H739:AV739)</f>
        <v>#NAME?</v>
      </c>
      <c r="T739" s="6">
        <v>0</v>
      </c>
      <c r="V739" s="6" t="s">
        <v>109</v>
      </c>
      <c r="W739" s="6" t="s">
        <v>109</v>
      </c>
      <c r="X739" s="6" t="s">
        <v>109</v>
      </c>
      <c r="Y739" s="6" t="s">
        <v>109</v>
      </c>
      <c r="Z739" s="6" t="s">
        <v>109</v>
      </c>
      <c r="AA739" s="6" t="s">
        <v>109</v>
      </c>
      <c r="AB739" s="6" t="s">
        <v>109</v>
      </c>
      <c r="AC739" s="6" t="s">
        <v>109</v>
      </c>
      <c r="AD739" s="6" t="s">
        <v>109</v>
      </c>
      <c r="AE739" s="6" t="s">
        <v>109</v>
      </c>
      <c r="AF739" s="6" t="s">
        <v>109</v>
      </c>
      <c r="AG739" s="6" t="s">
        <v>109</v>
      </c>
      <c r="AH739" s="6" t="s">
        <v>109</v>
      </c>
      <c r="AI739" s="6" t="s">
        <v>109</v>
      </c>
      <c r="AJ739" s="6" t="s">
        <v>109</v>
      </c>
      <c r="AK739" s="6" t="s">
        <v>19</v>
      </c>
      <c r="AL739" s="6" t="s">
        <v>19</v>
      </c>
      <c r="AM739" s="6" t="s">
        <v>109</v>
      </c>
      <c r="AN739" s="6" t="s">
        <v>109</v>
      </c>
      <c r="AO739" s="6" t="s">
        <v>109</v>
      </c>
      <c r="AP739" s="6" t="s">
        <v>109</v>
      </c>
      <c r="AQ739" s="6" t="s">
        <v>109</v>
      </c>
      <c r="AR739" s="6" t="s">
        <v>109</v>
      </c>
      <c r="AS739" s="6" t="s">
        <v>109</v>
      </c>
      <c r="AT739" s="6" t="s">
        <v>109</v>
      </c>
      <c r="AU739" s="6" t="s">
        <v>109</v>
      </c>
      <c r="AV739" s="36" t="s">
        <v>109</v>
      </c>
      <c r="AW739"/>
      <c r="AX739"/>
      <c r="AY739"/>
      <c r="AZ739"/>
      <c r="BA739"/>
      <c r="BB739"/>
      <c r="BC739"/>
      <c r="BD739"/>
      <c r="BE739"/>
      <c r="BF739"/>
      <c r="BG739"/>
      <c r="BH739"/>
      <c r="BI739"/>
      <c r="BJ739"/>
      <c r="BK739"/>
      <c r="BL739"/>
      <c r="BM739"/>
      <c r="BN739"/>
      <c r="BO739"/>
      <c r="BP739"/>
      <c r="BQ739"/>
      <c r="BR739"/>
      <c r="BS739"/>
      <c r="BT739"/>
      <c r="BU739"/>
      <c r="BV739"/>
      <c r="BW739"/>
      <c r="BX739"/>
      <c r="BY739"/>
      <c r="BZ739"/>
      <c r="CA739"/>
      <c r="CB739"/>
      <c r="CC739"/>
      <c r="CD739"/>
      <c r="CE739"/>
      <c r="CF739"/>
      <c r="CG739"/>
      <c r="CH739"/>
      <c r="CI739"/>
      <c r="CJ739"/>
      <c r="CK739"/>
      <c r="CL739"/>
      <c r="CM739"/>
      <c r="CN739"/>
      <c r="CO739"/>
      <c r="CP739"/>
      <c r="CQ739"/>
      <c r="CR739"/>
      <c r="CS739"/>
      <c r="CT739"/>
      <c r="CU739"/>
      <c r="CV739"/>
      <c r="CW739"/>
      <c r="CX739"/>
      <c r="CY739"/>
      <c r="CZ739"/>
      <c r="DA739"/>
      <c r="DB739"/>
      <c r="DC739"/>
      <c r="DD739"/>
      <c r="DE739"/>
      <c r="DF739"/>
      <c r="DG739"/>
      <c r="DH739"/>
      <c r="DI739"/>
      <c r="DJ739"/>
      <c r="DK739"/>
      <c r="DL739"/>
      <c r="DM739"/>
      <c r="DN739"/>
      <c r="DO739"/>
      <c r="DP739"/>
      <c r="DQ739"/>
      <c r="DR739"/>
      <c r="DS739"/>
      <c r="DT739"/>
      <c r="DU739"/>
      <c r="DV739"/>
      <c r="DW739"/>
      <c r="DX739"/>
      <c r="DY739"/>
      <c r="DZ739"/>
      <c r="EA739"/>
      <c r="EB739"/>
      <c r="EC739"/>
      <c r="ED739"/>
      <c r="EE739"/>
      <c r="EF739"/>
      <c r="EG739"/>
      <c r="EH739"/>
      <c r="EI739"/>
      <c r="EJ739"/>
      <c r="EK739"/>
      <c r="EL739"/>
      <c r="EM739"/>
      <c r="EN739"/>
      <c r="EO739"/>
      <c r="EP739"/>
      <c r="EQ739"/>
      <c r="ER739"/>
      <c r="ES739"/>
      <c r="ET739"/>
      <c r="EU739"/>
      <c r="EV739"/>
      <c r="EW739"/>
      <c r="EX739"/>
      <c r="EY739"/>
      <c r="EZ739"/>
      <c r="FA739"/>
      <c r="FB739"/>
      <c r="FC739"/>
      <c r="FD739"/>
      <c r="FE739"/>
      <c r="FF739"/>
      <c r="FG739"/>
      <c r="FH739"/>
      <c r="FI739"/>
      <c r="FJ739"/>
      <c r="FK739"/>
      <c r="FL739"/>
      <c r="FM739"/>
      <c r="FN739"/>
      <c r="FO739"/>
      <c r="FP739"/>
      <c r="FQ739"/>
      <c r="FR739"/>
      <c r="FS739"/>
      <c r="FT739"/>
      <c r="FU739"/>
      <c r="FV739"/>
      <c r="FW739"/>
      <c r="FX739"/>
      <c r="FY739"/>
      <c r="FZ739"/>
      <c r="GA739"/>
      <c r="GB739"/>
      <c r="GC739"/>
      <c r="GD739"/>
      <c r="GE739"/>
      <c r="GF739"/>
      <c r="GG739"/>
      <c r="GH739"/>
      <c r="GI739"/>
      <c r="GJ739"/>
      <c r="GK739"/>
      <c r="GL739"/>
      <c r="GM739"/>
      <c r="GN739"/>
    </row>
    <row r="740" spans="1:196" ht="49.5" hidden="1" customHeight="1" x14ac:dyDescent="0.3">
      <c r="A740" s="6" t="s">
        <v>705</v>
      </c>
      <c r="B740" s="6" t="s">
        <v>2701</v>
      </c>
      <c r="C740" s="15" t="s">
        <v>2829</v>
      </c>
      <c r="D740" s="6" t="s">
        <v>32</v>
      </c>
      <c r="E740" s="6" t="s">
        <v>109</v>
      </c>
      <c r="F740" s="6" t="s">
        <v>109</v>
      </c>
      <c r="G740" s="6" t="s">
        <v>109</v>
      </c>
      <c r="H740" s="6" t="s">
        <v>109</v>
      </c>
      <c r="I740" s="6" t="s">
        <v>109</v>
      </c>
      <c r="J740" s="6" t="s">
        <v>109</v>
      </c>
      <c r="K740" s="6" t="s">
        <v>109</v>
      </c>
      <c r="L740" s="6" t="s">
        <v>109</v>
      </c>
      <c r="M740" s="15" t="s">
        <v>2830</v>
      </c>
      <c r="N740" s="15" t="s">
        <v>2831</v>
      </c>
      <c r="O740" s="15" t="s">
        <v>2540</v>
      </c>
      <c r="P740" s="4" t="s">
        <v>2832</v>
      </c>
      <c r="S740" s="15" t="e" cm="1">
        <f t="array" aca="1" ref="S740" ca="1">COMMONMARKETCOUNT(H740:AV740)</f>
        <v>#NAME?</v>
      </c>
      <c r="T740" s="15" t="e">
        <f t="array" aca="1" ref="T740" ca="1">AUTOMATEDCOUNT(H740:AU740)</f>
        <v>#NAME?</v>
      </c>
      <c r="V740" s="6" t="s">
        <v>109</v>
      </c>
      <c r="W740" s="6" t="s">
        <v>109</v>
      </c>
      <c r="X740" s="6" t="s">
        <v>109</v>
      </c>
      <c r="Y740" s="6" t="s">
        <v>109</v>
      </c>
      <c r="Z740" s="6" t="s">
        <v>109</v>
      </c>
      <c r="AA740" s="6" t="s">
        <v>109</v>
      </c>
      <c r="AB740" s="6" t="s">
        <v>109</v>
      </c>
      <c r="AC740" s="6" t="s">
        <v>109</v>
      </c>
      <c r="AD740" s="6" t="s">
        <v>109</v>
      </c>
      <c r="AE740" s="6" t="s">
        <v>109</v>
      </c>
      <c r="AF740" s="6" t="s">
        <v>109</v>
      </c>
      <c r="AG740" s="6" t="s">
        <v>109</v>
      </c>
      <c r="AH740" s="6" t="s">
        <v>109</v>
      </c>
      <c r="AI740" s="6" t="s">
        <v>109</v>
      </c>
      <c r="AJ740" s="6" t="s">
        <v>109</v>
      </c>
      <c r="AK740" s="6" t="s">
        <v>109</v>
      </c>
      <c r="AL740" s="6" t="s">
        <v>109</v>
      </c>
      <c r="AM740" s="6" t="s">
        <v>109</v>
      </c>
      <c r="AN740" s="6" t="s">
        <v>109</v>
      </c>
      <c r="AO740" s="6" t="s">
        <v>109</v>
      </c>
      <c r="AP740" s="6" t="s">
        <v>19</v>
      </c>
      <c r="AQ740" s="6" t="s">
        <v>19</v>
      </c>
      <c r="AR740" s="6" t="s">
        <v>19</v>
      </c>
      <c r="AS740" s="6" t="s">
        <v>19</v>
      </c>
      <c r="AT740" s="6" t="s">
        <v>19</v>
      </c>
      <c r="AU740" s="18" t="s">
        <v>109</v>
      </c>
      <c r="AV740" s="36" t="s">
        <v>19</v>
      </c>
    </row>
    <row r="741" spans="1:196" ht="107.25" hidden="1" customHeight="1" x14ac:dyDescent="0.3">
      <c r="A741" s="6" t="s">
        <v>705</v>
      </c>
      <c r="B741" s="6" t="s">
        <v>2837</v>
      </c>
      <c r="C741" s="15" t="s">
        <v>2833</v>
      </c>
      <c r="D741" s="6" t="s">
        <v>32</v>
      </c>
      <c r="E741" s="6" t="s">
        <v>19</v>
      </c>
      <c r="F741" s="6" t="s">
        <v>19</v>
      </c>
      <c r="G741" s="6" t="s">
        <v>19</v>
      </c>
      <c r="H741" s="6" t="s">
        <v>19</v>
      </c>
      <c r="I741" s="6" t="s">
        <v>19</v>
      </c>
      <c r="J741" s="6" t="s">
        <v>19</v>
      </c>
      <c r="K741" s="6" t="s">
        <v>19</v>
      </c>
      <c r="L741" s="6" t="s">
        <v>19</v>
      </c>
      <c r="M741" s="15" t="s">
        <v>2834</v>
      </c>
      <c r="N741" s="2" t="s">
        <v>2835</v>
      </c>
      <c r="O741" s="4"/>
      <c r="P741" s="4" t="s">
        <v>2836</v>
      </c>
      <c r="S741" s="15" t="e" cm="1">
        <f t="array" aca="1" ref="S741" ca="1">COMMONMARKETCOUNT(H741:AV741)</f>
        <v>#NAME?</v>
      </c>
      <c r="T741" s="15" t="e">
        <f t="array" aca="1" ref="T741" ca="1">AUTOMATEDCOUNT(H741:AU741)</f>
        <v>#NAME?</v>
      </c>
      <c r="V741" s="6" t="s">
        <v>19</v>
      </c>
      <c r="W741" s="6" t="s">
        <v>19</v>
      </c>
      <c r="X741" s="6" t="s">
        <v>19</v>
      </c>
      <c r="Y741" s="6" t="s">
        <v>19</v>
      </c>
      <c r="Z741" s="6" t="s">
        <v>19</v>
      </c>
      <c r="AA741" s="6" t="s">
        <v>19</v>
      </c>
      <c r="AB741" s="6" t="s">
        <v>19</v>
      </c>
      <c r="AC741" s="6" t="s">
        <v>19</v>
      </c>
      <c r="AD741" s="6" t="s">
        <v>19</v>
      </c>
      <c r="AE741" s="6" t="s">
        <v>19</v>
      </c>
      <c r="AF741" s="6" t="s">
        <v>19</v>
      </c>
      <c r="AG741" s="6" t="s">
        <v>19</v>
      </c>
      <c r="AH741" s="6" t="s">
        <v>19</v>
      </c>
      <c r="AI741" s="6" t="s">
        <v>19</v>
      </c>
      <c r="AJ741" s="6" t="s">
        <v>19</v>
      </c>
      <c r="AK741" s="6" t="s">
        <v>19</v>
      </c>
      <c r="AL741" s="6" t="s">
        <v>19</v>
      </c>
      <c r="AM741" s="6" t="s">
        <v>19</v>
      </c>
      <c r="AN741" s="6" t="s">
        <v>19</v>
      </c>
      <c r="AO741" s="6" t="s">
        <v>19</v>
      </c>
      <c r="AP741" s="6" t="s">
        <v>19</v>
      </c>
      <c r="AQ741" s="6" t="s">
        <v>19</v>
      </c>
      <c r="AR741" s="6" t="s">
        <v>19</v>
      </c>
      <c r="AS741" s="6" t="s">
        <v>19</v>
      </c>
      <c r="AT741" s="6" t="s">
        <v>19</v>
      </c>
      <c r="AU741" s="6" t="s">
        <v>3153</v>
      </c>
      <c r="AV741" s="36" t="s">
        <v>19</v>
      </c>
      <c r="AW741" s="5"/>
      <c r="AX741" s="5"/>
      <c r="AY741" s="5"/>
      <c r="AZ741" s="5"/>
      <c r="BA741" s="5"/>
      <c r="BB741" s="5"/>
      <c r="BC741" s="5"/>
      <c r="BD741" s="5"/>
      <c r="BE741" s="5"/>
      <c r="BF741" s="5"/>
      <c r="BG741" s="5"/>
      <c r="BH741" s="5"/>
      <c r="BI741" s="5"/>
      <c r="BJ741" s="5"/>
      <c r="BK741" s="5"/>
      <c r="BL741" s="5"/>
      <c r="BM741" s="5"/>
      <c r="BN741" s="5"/>
      <c r="BO741" s="5"/>
      <c r="BP741" s="5"/>
      <c r="BQ741" s="5"/>
      <c r="BR741" s="5"/>
      <c r="BS741" s="5"/>
      <c r="BT741" s="5"/>
      <c r="BU741" s="5"/>
      <c r="BV741" s="5"/>
      <c r="BW741" s="5"/>
      <c r="BX741" s="5"/>
      <c r="BY741" s="5"/>
      <c r="BZ741" s="5"/>
      <c r="CA741" s="5"/>
      <c r="CB741" s="5"/>
      <c r="CC741" s="5"/>
      <c r="CD741" s="5"/>
      <c r="CE741" s="5"/>
      <c r="CF741" s="5"/>
      <c r="CG741" s="5"/>
      <c r="CH741" s="5"/>
      <c r="CI741" s="5"/>
      <c r="CJ741" s="5"/>
      <c r="CK741" s="5"/>
      <c r="CL741" s="5"/>
      <c r="CM741" s="5"/>
      <c r="CN741" s="5"/>
      <c r="CO741" s="5"/>
      <c r="CP741" s="5"/>
      <c r="CQ741" s="5"/>
      <c r="CR741" s="5"/>
      <c r="CS741" s="5"/>
      <c r="CT741" s="5"/>
      <c r="CU741" s="5"/>
      <c r="CV741" s="5"/>
      <c r="CW741" s="5"/>
      <c r="CX741" s="5"/>
      <c r="CY741" s="5"/>
      <c r="CZ741" s="5"/>
      <c r="DA741" s="5"/>
      <c r="DB741" s="5"/>
      <c r="DC741" s="5"/>
      <c r="DD741" s="5"/>
      <c r="DE741" s="5"/>
      <c r="DF741" s="5"/>
      <c r="DG741" s="5"/>
      <c r="DH741" s="5"/>
      <c r="DI741" s="5"/>
      <c r="DJ741" s="5"/>
      <c r="DK741" s="5"/>
      <c r="DL741" s="5"/>
      <c r="DM741" s="5"/>
      <c r="DN741" s="5"/>
      <c r="DO741" s="5"/>
      <c r="DP741" s="5"/>
      <c r="DQ741" s="5"/>
      <c r="DR741" s="5"/>
      <c r="DS741" s="5"/>
      <c r="DT741" s="5"/>
      <c r="DU741" s="5"/>
      <c r="DV741" s="5"/>
      <c r="DW741" s="5"/>
      <c r="DX741" s="5"/>
      <c r="DY741" s="5"/>
      <c r="DZ741" s="5"/>
      <c r="EA741" s="5"/>
      <c r="EB741" s="5"/>
      <c r="EC741" s="5"/>
      <c r="ED741" s="5"/>
      <c r="EE741" s="5"/>
      <c r="EF741" s="5"/>
      <c r="EG741" s="5"/>
      <c r="EH741" s="5"/>
      <c r="EI741" s="5"/>
      <c r="EJ741" s="5"/>
      <c r="EK741" s="5"/>
      <c r="EL741" s="5"/>
      <c r="EM741" s="5"/>
      <c r="EN741" s="5"/>
      <c r="EO741" s="5"/>
      <c r="EP741" s="5"/>
      <c r="EQ741" s="5"/>
      <c r="ER741" s="5"/>
      <c r="ES741" s="5"/>
      <c r="ET741" s="5"/>
      <c r="EU741" s="5"/>
      <c r="EV741" s="5"/>
      <c r="EW741" s="5"/>
      <c r="EX741" s="5"/>
      <c r="EY741" s="5"/>
      <c r="EZ741" s="5"/>
      <c r="FA741" s="5"/>
      <c r="FB741" s="5"/>
      <c r="FC741" s="5"/>
      <c r="FD741" s="5"/>
      <c r="FE741" s="5"/>
      <c r="FF741" s="5"/>
      <c r="FG741" s="5"/>
      <c r="FH741" s="5"/>
      <c r="FI741" s="5"/>
      <c r="FJ741" s="5"/>
      <c r="FK741" s="5"/>
      <c r="FL741" s="5"/>
      <c r="FM741" s="5"/>
      <c r="FN741" s="5"/>
      <c r="FO741" s="5"/>
      <c r="FP741" s="5"/>
      <c r="FQ741" s="5"/>
      <c r="FR741" s="5"/>
      <c r="FS741" s="5"/>
      <c r="FT741" s="5"/>
      <c r="FU741" s="5"/>
      <c r="FV741" s="5"/>
      <c r="FW741" s="5"/>
      <c r="FX741" s="5"/>
      <c r="FY741" s="5"/>
      <c r="FZ741" s="5"/>
      <c r="GA741" s="5"/>
      <c r="GB741" s="5"/>
      <c r="GC741" s="5"/>
      <c r="GD741" s="5"/>
      <c r="GE741" s="5"/>
      <c r="GF741" s="5"/>
      <c r="GG741" s="5"/>
      <c r="GH741" s="5"/>
      <c r="GI741" s="5"/>
      <c r="GJ741" s="5"/>
      <c r="GK741" s="5"/>
      <c r="GL741" s="5"/>
      <c r="GM741" s="5"/>
      <c r="GN741" s="5"/>
    </row>
    <row r="742" spans="1:196" ht="89.25" hidden="1" customHeight="1" x14ac:dyDescent="0.3">
      <c r="A742" s="6" t="s">
        <v>705</v>
      </c>
      <c r="B742" s="6" t="s">
        <v>2837</v>
      </c>
      <c r="C742" s="15" t="s">
        <v>2838</v>
      </c>
      <c r="D742" s="6" t="s">
        <v>32</v>
      </c>
      <c r="E742" s="6" t="s">
        <v>19</v>
      </c>
      <c r="F742" s="6" t="s">
        <v>19</v>
      </c>
      <c r="G742" s="6" t="s">
        <v>19</v>
      </c>
      <c r="H742" s="6" t="s">
        <v>19</v>
      </c>
      <c r="I742" s="6" t="s">
        <v>19</v>
      </c>
      <c r="J742" s="6" t="s">
        <v>19</v>
      </c>
      <c r="K742" s="6" t="s">
        <v>19</v>
      </c>
      <c r="L742" s="6" t="s">
        <v>19</v>
      </c>
      <c r="M742" s="15" t="s">
        <v>2839</v>
      </c>
      <c r="N742" s="2" t="s">
        <v>2840</v>
      </c>
      <c r="O742" s="4"/>
      <c r="P742" s="4" t="s">
        <v>2841</v>
      </c>
      <c r="S742" s="15" t="e" cm="1">
        <f t="array" aca="1" ref="S742" ca="1">COMMONMARKETCOUNT(H742:AV742)</f>
        <v>#NAME?</v>
      </c>
      <c r="T742" s="15" t="e">
        <f t="array" aca="1" ref="T742" ca="1">AUTOMATEDCOUNT(H742:AU742)</f>
        <v>#NAME?</v>
      </c>
      <c r="V742" s="6" t="s">
        <v>19</v>
      </c>
      <c r="W742" s="6" t="s">
        <v>19</v>
      </c>
      <c r="X742" s="6" t="s">
        <v>19</v>
      </c>
      <c r="Y742" s="6" t="s">
        <v>19</v>
      </c>
      <c r="Z742" s="6" t="s">
        <v>19</v>
      </c>
      <c r="AA742" s="6" t="s">
        <v>19</v>
      </c>
      <c r="AB742" s="6" t="s">
        <v>19</v>
      </c>
      <c r="AC742" s="6" t="s">
        <v>19</v>
      </c>
      <c r="AD742" s="6" t="s">
        <v>19</v>
      </c>
      <c r="AE742" s="6" t="s">
        <v>19</v>
      </c>
      <c r="AF742" s="6" t="s">
        <v>19</v>
      </c>
      <c r="AG742" s="6" t="s">
        <v>19</v>
      </c>
      <c r="AH742" s="6" t="s">
        <v>19</v>
      </c>
      <c r="AI742" s="6" t="s">
        <v>19</v>
      </c>
      <c r="AJ742" s="6" t="s">
        <v>19</v>
      </c>
      <c r="AK742" s="6" t="s">
        <v>19</v>
      </c>
      <c r="AL742" s="6" t="s">
        <v>19</v>
      </c>
      <c r="AM742" s="6" t="s">
        <v>19</v>
      </c>
      <c r="AN742" s="6" t="s">
        <v>19</v>
      </c>
      <c r="AO742" s="6" t="s">
        <v>19</v>
      </c>
      <c r="AP742" s="6" t="s">
        <v>19</v>
      </c>
      <c r="AQ742" s="6" t="s">
        <v>19</v>
      </c>
      <c r="AR742" s="6" t="s">
        <v>19</v>
      </c>
      <c r="AS742" s="6" t="s">
        <v>19</v>
      </c>
      <c r="AT742" s="6" t="s">
        <v>19</v>
      </c>
      <c r="AU742" s="6" t="s">
        <v>3153</v>
      </c>
      <c r="AV742" s="36" t="s">
        <v>19</v>
      </c>
    </row>
    <row r="743" spans="1:196" ht="85.5" hidden="1" customHeight="1" x14ac:dyDescent="0.3">
      <c r="A743" s="6" t="s">
        <v>705</v>
      </c>
      <c r="B743" s="6" t="s">
        <v>2846</v>
      </c>
      <c r="C743" s="15" t="s">
        <v>2842</v>
      </c>
      <c r="D743" s="6" t="s">
        <v>32</v>
      </c>
      <c r="E743" s="6" t="s">
        <v>19</v>
      </c>
      <c r="F743" s="6" t="s">
        <v>19</v>
      </c>
      <c r="G743" s="6" t="s">
        <v>19</v>
      </c>
      <c r="H743" s="6" t="s">
        <v>19</v>
      </c>
      <c r="I743" s="6" t="s">
        <v>19</v>
      </c>
      <c r="J743" s="6" t="s">
        <v>19</v>
      </c>
      <c r="K743" s="6" t="s">
        <v>19</v>
      </c>
      <c r="L743" s="6" t="s">
        <v>19</v>
      </c>
      <c r="M743" s="15" t="s">
        <v>2843</v>
      </c>
      <c r="N743" s="2" t="s">
        <v>2844</v>
      </c>
      <c r="O743" s="4"/>
      <c r="P743" s="4" t="s">
        <v>2845</v>
      </c>
      <c r="S743" s="15" t="e" cm="1">
        <f t="array" aca="1" ref="S743" ca="1">COMMONMARKETCOUNT(H743:AV743)</f>
        <v>#NAME?</v>
      </c>
      <c r="T743" s="15" t="e">
        <f t="array" aca="1" ref="T743" ca="1">AUTOMATEDCOUNT(H743:AU743)</f>
        <v>#NAME?</v>
      </c>
      <c r="V743" s="6" t="s">
        <v>19</v>
      </c>
      <c r="W743" s="6" t="s">
        <v>19</v>
      </c>
      <c r="X743" s="6" t="s">
        <v>19</v>
      </c>
      <c r="Y743" s="6" t="s">
        <v>19</v>
      </c>
      <c r="Z743" s="6" t="s">
        <v>19</v>
      </c>
      <c r="AA743" s="6" t="s">
        <v>19</v>
      </c>
      <c r="AB743" s="6" t="s">
        <v>19</v>
      </c>
      <c r="AC743" s="6" t="s">
        <v>19</v>
      </c>
      <c r="AD743" s="6" t="s">
        <v>19</v>
      </c>
      <c r="AE743" s="6" t="s">
        <v>19</v>
      </c>
      <c r="AF743" s="6" t="s">
        <v>19</v>
      </c>
      <c r="AG743" s="6" t="s">
        <v>19</v>
      </c>
      <c r="AH743" s="6" t="s">
        <v>19</v>
      </c>
      <c r="AI743" s="6" t="s">
        <v>19</v>
      </c>
      <c r="AJ743" s="6" t="s">
        <v>19</v>
      </c>
      <c r="AK743" s="6" t="s">
        <v>19</v>
      </c>
      <c r="AL743" s="6" t="s">
        <v>19</v>
      </c>
      <c r="AM743" s="6" t="s">
        <v>19</v>
      </c>
      <c r="AN743" s="6" t="s">
        <v>19</v>
      </c>
      <c r="AO743" s="6" t="s">
        <v>19</v>
      </c>
      <c r="AP743" s="6" t="s">
        <v>19</v>
      </c>
      <c r="AQ743" s="6" t="s">
        <v>19</v>
      </c>
      <c r="AR743" s="6" t="s">
        <v>19</v>
      </c>
      <c r="AS743" s="6" t="s">
        <v>19</v>
      </c>
      <c r="AT743" s="6" t="s">
        <v>19</v>
      </c>
      <c r="AU743" s="6" t="s">
        <v>3153</v>
      </c>
      <c r="AV743" s="36" t="s">
        <v>19</v>
      </c>
    </row>
    <row r="744" spans="1:196" ht="90.75" hidden="1" customHeight="1" x14ac:dyDescent="0.3">
      <c r="A744" s="6" t="s">
        <v>705</v>
      </c>
      <c r="B744" s="6" t="s">
        <v>2846</v>
      </c>
      <c r="C744" s="15" t="s">
        <v>2847</v>
      </c>
      <c r="D744" s="6" t="s">
        <v>32</v>
      </c>
      <c r="E744" s="6" t="s">
        <v>19</v>
      </c>
      <c r="F744" s="6" t="s">
        <v>19</v>
      </c>
      <c r="G744" s="6" t="s">
        <v>19</v>
      </c>
      <c r="H744" s="6" t="s">
        <v>19</v>
      </c>
      <c r="I744" s="6" t="s">
        <v>19</v>
      </c>
      <c r="J744" s="6" t="s">
        <v>19</v>
      </c>
      <c r="K744" s="6" t="s">
        <v>19</v>
      </c>
      <c r="L744" s="6" t="s">
        <v>19</v>
      </c>
      <c r="M744" s="15" t="s">
        <v>2848</v>
      </c>
      <c r="N744" s="2" t="s">
        <v>2849</v>
      </c>
      <c r="O744" s="4"/>
      <c r="P744" s="4" t="s">
        <v>2850</v>
      </c>
      <c r="S744" s="15" t="e" cm="1">
        <f t="array" aca="1" ref="S744" ca="1">COMMONMARKETCOUNT(H744:AV744)</f>
        <v>#NAME?</v>
      </c>
      <c r="T744" s="15" t="e">
        <f t="array" aca="1" ref="T744" ca="1">AUTOMATEDCOUNT(H744:AU744)</f>
        <v>#NAME?</v>
      </c>
      <c r="V744" s="6" t="s">
        <v>19</v>
      </c>
      <c r="W744" s="6" t="s">
        <v>19</v>
      </c>
      <c r="X744" s="6" t="s">
        <v>19</v>
      </c>
      <c r="Y744" s="6" t="s">
        <v>19</v>
      </c>
      <c r="Z744" s="6" t="s">
        <v>19</v>
      </c>
      <c r="AA744" s="6" t="s">
        <v>19</v>
      </c>
      <c r="AB744" s="6" t="s">
        <v>19</v>
      </c>
      <c r="AC744" s="6" t="s">
        <v>19</v>
      </c>
      <c r="AD744" s="6" t="s">
        <v>19</v>
      </c>
      <c r="AE744" s="6" t="s">
        <v>19</v>
      </c>
      <c r="AF744" s="6" t="s">
        <v>19</v>
      </c>
      <c r="AG744" s="6" t="s">
        <v>19</v>
      </c>
      <c r="AH744" s="6" t="s">
        <v>19</v>
      </c>
      <c r="AI744" s="6" t="s">
        <v>19</v>
      </c>
      <c r="AJ744" s="6" t="s">
        <v>19</v>
      </c>
      <c r="AK744" s="6" t="s">
        <v>19</v>
      </c>
      <c r="AL744" s="6" t="s">
        <v>19</v>
      </c>
      <c r="AM744" s="6" t="s">
        <v>19</v>
      </c>
      <c r="AN744" s="6" t="s">
        <v>19</v>
      </c>
      <c r="AO744" s="6" t="s">
        <v>19</v>
      </c>
      <c r="AP744" s="6" t="s">
        <v>19</v>
      </c>
      <c r="AQ744" s="6" t="s">
        <v>19</v>
      </c>
      <c r="AR744" s="6" t="s">
        <v>19</v>
      </c>
      <c r="AS744" s="6" t="s">
        <v>19</v>
      </c>
      <c r="AT744" s="6" t="s">
        <v>19</v>
      </c>
      <c r="AU744" s="6" t="s">
        <v>3153</v>
      </c>
      <c r="AV744" s="36" t="s">
        <v>19</v>
      </c>
    </row>
    <row r="745" spans="1:196" ht="63" hidden="1" customHeight="1" x14ac:dyDescent="0.3">
      <c r="A745" s="15" t="s">
        <v>315</v>
      </c>
      <c r="B745" s="15" t="s">
        <v>174</v>
      </c>
      <c r="C745" s="15" t="s">
        <v>843</v>
      </c>
      <c r="D745" s="18" t="s">
        <v>32</v>
      </c>
      <c r="E745" s="15" t="s">
        <v>19</v>
      </c>
      <c r="F745" s="15" t="s">
        <v>19</v>
      </c>
      <c r="G745" s="15" t="s">
        <v>19</v>
      </c>
      <c r="H745" s="15" t="s">
        <v>19</v>
      </c>
      <c r="I745" s="18" t="s">
        <v>19</v>
      </c>
      <c r="J745" s="18" t="s">
        <v>19</v>
      </c>
      <c r="K745" s="18" t="s">
        <v>19</v>
      </c>
      <c r="L745" s="18" t="s">
        <v>19</v>
      </c>
      <c r="M745" s="15" t="s">
        <v>844</v>
      </c>
      <c r="N745" s="15" t="s">
        <v>848</v>
      </c>
      <c r="O745" s="15"/>
      <c r="P745" s="4" t="s">
        <v>3143</v>
      </c>
      <c r="S745" s="15" t="e" cm="1">
        <f t="array" aca="1" ref="S745" ca="1">COMMONMARKETCOUNT(H745:AV745)</f>
        <v>#NAME?</v>
      </c>
      <c r="T745" s="15" t="e" cm="1">
        <f t="array" aca="1" ref="T745" ca="1">AUTOMATEDCOUNT(H745:AU745)</f>
        <v>#NAME?</v>
      </c>
      <c r="V745" s="15" t="s">
        <v>19</v>
      </c>
      <c r="W745" s="15" t="s">
        <v>19</v>
      </c>
      <c r="X745" s="15" t="s">
        <v>19</v>
      </c>
      <c r="Y745" s="15" t="s">
        <v>19</v>
      </c>
      <c r="Z745" s="15" t="s">
        <v>19</v>
      </c>
      <c r="AA745" s="18" t="s">
        <v>19</v>
      </c>
      <c r="AB745" s="18" t="s">
        <v>19</v>
      </c>
      <c r="AC745" s="18" t="s">
        <v>19</v>
      </c>
      <c r="AD745" s="18" t="s">
        <v>19</v>
      </c>
      <c r="AE745" s="18" t="s">
        <v>19</v>
      </c>
      <c r="AF745" s="18" t="s">
        <v>19</v>
      </c>
      <c r="AG745" s="18" t="s">
        <v>19</v>
      </c>
      <c r="AH745" s="18" t="s">
        <v>19</v>
      </c>
      <c r="AI745" s="18" t="s">
        <v>19</v>
      </c>
      <c r="AJ745" s="18" t="s">
        <v>19</v>
      </c>
      <c r="AK745" s="18" t="s">
        <v>19</v>
      </c>
      <c r="AL745" s="18" t="s">
        <v>19</v>
      </c>
      <c r="AM745" s="18" t="s">
        <v>19</v>
      </c>
      <c r="AN745" s="18" t="s">
        <v>19</v>
      </c>
      <c r="AO745" s="18" t="s">
        <v>19</v>
      </c>
      <c r="AP745" s="18" t="s">
        <v>19</v>
      </c>
      <c r="AQ745" s="18" t="s">
        <v>19</v>
      </c>
      <c r="AR745" s="18" t="s">
        <v>19</v>
      </c>
      <c r="AS745" s="18" t="s">
        <v>19</v>
      </c>
      <c r="AT745" s="18" t="s">
        <v>19</v>
      </c>
      <c r="AU745" s="18" t="s">
        <v>3153</v>
      </c>
      <c r="AV745" s="36" t="s">
        <v>19</v>
      </c>
    </row>
    <row r="746" spans="1:196" ht="74.25" hidden="1" customHeight="1" x14ac:dyDescent="0.3">
      <c r="A746" s="15" t="s">
        <v>315</v>
      </c>
      <c r="B746" s="15" t="s">
        <v>174</v>
      </c>
      <c r="C746" s="15" t="s">
        <v>846</v>
      </c>
      <c r="D746" s="18" t="s">
        <v>32</v>
      </c>
      <c r="E746" s="15" t="s">
        <v>19</v>
      </c>
      <c r="F746" s="15" t="s">
        <v>19</v>
      </c>
      <c r="G746" s="15" t="s">
        <v>19</v>
      </c>
      <c r="H746" s="15" t="s">
        <v>19</v>
      </c>
      <c r="I746" s="18" t="s">
        <v>19</v>
      </c>
      <c r="J746" s="18" t="s">
        <v>19</v>
      </c>
      <c r="K746" s="18" t="s">
        <v>19</v>
      </c>
      <c r="L746" s="18" t="s">
        <v>19</v>
      </c>
      <c r="M746" s="15" t="s">
        <v>847</v>
      </c>
      <c r="N746" s="15" t="s">
        <v>852</v>
      </c>
      <c r="O746" s="15"/>
      <c r="P746" s="4" t="s">
        <v>849</v>
      </c>
      <c r="S746" s="15" t="e" cm="1">
        <f t="array" aca="1" ref="S746" ca="1">COMMONMARKETCOUNT(H746:AV746)</f>
        <v>#NAME?</v>
      </c>
      <c r="T746" s="15" t="e" cm="1">
        <f t="array" aca="1" ref="T746" ca="1">AUTOMATEDCOUNT(H746:AU746)</f>
        <v>#NAME?</v>
      </c>
      <c r="V746" s="15" t="s">
        <v>19</v>
      </c>
      <c r="W746" s="15" t="s">
        <v>19</v>
      </c>
      <c r="X746" s="15" t="s">
        <v>19</v>
      </c>
      <c r="Y746" s="15" t="s">
        <v>19</v>
      </c>
      <c r="Z746" s="15" t="s">
        <v>19</v>
      </c>
      <c r="AA746" s="18" t="s">
        <v>19</v>
      </c>
      <c r="AB746" s="18" t="s">
        <v>19</v>
      </c>
      <c r="AC746" s="18" t="s">
        <v>19</v>
      </c>
      <c r="AD746" s="18" t="s">
        <v>19</v>
      </c>
      <c r="AE746" s="18" t="s">
        <v>19</v>
      </c>
      <c r="AF746" s="18" t="s">
        <v>19</v>
      </c>
      <c r="AG746" s="18" t="s">
        <v>19</v>
      </c>
      <c r="AH746" s="18" t="s">
        <v>19</v>
      </c>
      <c r="AI746" s="18" t="s">
        <v>19</v>
      </c>
      <c r="AJ746" s="18" t="s">
        <v>19</v>
      </c>
      <c r="AK746" s="18" t="s">
        <v>19</v>
      </c>
      <c r="AL746" s="18" t="s">
        <v>19</v>
      </c>
      <c r="AM746" s="18" t="s">
        <v>19</v>
      </c>
      <c r="AN746" s="18" t="s">
        <v>19</v>
      </c>
      <c r="AO746" s="18" t="s">
        <v>19</v>
      </c>
      <c r="AP746" s="18" t="s">
        <v>19</v>
      </c>
      <c r="AQ746" s="18" t="s">
        <v>19</v>
      </c>
      <c r="AR746" s="18" t="s">
        <v>19</v>
      </c>
      <c r="AS746" s="18" t="s">
        <v>19</v>
      </c>
      <c r="AT746" s="18" t="s">
        <v>19</v>
      </c>
      <c r="AU746" s="18" t="s">
        <v>3153</v>
      </c>
      <c r="AV746" s="36" t="s">
        <v>19</v>
      </c>
    </row>
    <row r="747" spans="1:196" ht="61.5" hidden="1" customHeight="1" x14ac:dyDescent="0.3">
      <c r="A747" s="15" t="s">
        <v>315</v>
      </c>
      <c r="B747" s="15" t="s">
        <v>55</v>
      </c>
      <c r="C747" s="15" t="s">
        <v>850</v>
      </c>
      <c r="D747" s="18" t="s">
        <v>32</v>
      </c>
      <c r="E747" s="15" t="s">
        <v>19</v>
      </c>
      <c r="F747" s="15" t="s">
        <v>19</v>
      </c>
      <c r="G747" s="15" t="s">
        <v>19</v>
      </c>
      <c r="H747" s="15" t="s">
        <v>19</v>
      </c>
      <c r="I747" s="18" t="s">
        <v>19</v>
      </c>
      <c r="J747" s="18" t="s">
        <v>19</v>
      </c>
      <c r="K747" s="18" t="s">
        <v>19</v>
      </c>
      <c r="L747" s="18" t="s">
        <v>19</v>
      </c>
      <c r="M747" s="15" t="s">
        <v>851</v>
      </c>
      <c r="N747" s="15" t="s">
        <v>856</v>
      </c>
      <c r="O747" s="15"/>
      <c r="P747" s="4" t="s">
        <v>853</v>
      </c>
      <c r="S747" s="15" t="e" cm="1">
        <f t="array" aca="1" ref="S747" ca="1">COMMONMARKETCOUNT(H747:AV747)</f>
        <v>#NAME?</v>
      </c>
      <c r="T747" s="15" t="e" cm="1">
        <f t="array" aca="1" ref="T747" ca="1">AUTOMATEDCOUNT(H747:AU747)</f>
        <v>#NAME?</v>
      </c>
      <c r="V747" s="15" t="s">
        <v>19</v>
      </c>
      <c r="W747" s="15" t="s">
        <v>19</v>
      </c>
      <c r="X747" s="15" t="s">
        <v>19</v>
      </c>
      <c r="Y747" s="15" t="s">
        <v>19</v>
      </c>
      <c r="Z747" s="15" t="s">
        <v>19</v>
      </c>
      <c r="AA747" s="18" t="s">
        <v>19</v>
      </c>
      <c r="AB747" s="18" t="s">
        <v>19</v>
      </c>
      <c r="AC747" s="18" t="s">
        <v>19</v>
      </c>
      <c r="AD747" s="18" t="s">
        <v>19</v>
      </c>
      <c r="AE747" s="18" t="s">
        <v>19</v>
      </c>
      <c r="AF747" s="18" t="s">
        <v>19</v>
      </c>
      <c r="AG747" s="18" t="s">
        <v>19</v>
      </c>
      <c r="AH747" s="18" t="s">
        <v>19</v>
      </c>
      <c r="AI747" s="18" t="s">
        <v>19</v>
      </c>
      <c r="AJ747" s="18" t="s">
        <v>19</v>
      </c>
      <c r="AK747" s="18" t="s">
        <v>19</v>
      </c>
      <c r="AL747" s="18" t="s">
        <v>19</v>
      </c>
      <c r="AM747" s="18" t="s">
        <v>19</v>
      </c>
      <c r="AN747" s="18" t="s">
        <v>19</v>
      </c>
      <c r="AO747" s="18" t="s">
        <v>19</v>
      </c>
      <c r="AP747" s="18" t="s">
        <v>19</v>
      </c>
      <c r="AQ747" s="18" t="s">
        <v>19</v>
      </c>
      <c r="AR747" s="18" t="s">
        <v>19</v>
      </c>
      <c r="AS747" s="18" t="s">
        <v>19</v>
      </c>
      <c r="AT747" s="18" t="s">
        <v>19</v>
      </c>
      <c r="AU747" s="18" t="s">
        <v>3153</v>
      </c>
      <c r="AV747" s="36" t="s">
        <v>19</v>
      </c>
    </row>
    <row r="748" spans="1:196" ht="89.25" hidden="1" customHeight="1" x14ac:dyDescent="0.3">
      <c r="A748" s="15" t="s">
        <v>315</v>
      </c>
      <c r="B748" s="15" t="s">
        <v>55</v>
      </c>
      <c r="C748" s="19" t="s">
        <v>854</v>
      </c>
      <c r="D748" s="18" t="s">
        <v>32</v>
      </c>
      <c r="E748" s="15" t="s">
        <v>19</v>
      </c>
      <c r="F748" s="15" t="s">
        <v>19</v>
      </c>
      <c r="G748" s="15" t="s">
        <v>19</v>
      </c>
      <c r="H748" s="15" t="s">
        <v>19</v>
      </c>
      <c r="I748" s="18" t="s">
        <v>19</v>
      </c>
      <c r="J748" s="18" t="s">
        <v>19</v>
      </c>
      <c r="K748" s="18" t="s">
        <v>19</v>
      </c>
      <c r="L748" s="18" t="s">
        <v>19</v>
      </c>
      <c r="M748" s="15" t="s">
        <v>855</v>
      </c>
      <c r="N748" s="15" t="s">
        <v>859</v>
      </c>
      <c r="O748" s="15"/>
      <c r="P748" s="4" t="s">
        <v>2164</v>
      </c>
      <c r="S748" s="15" t="e" cm="1">
        <f t="array" aca="1" ref="S748" ca="1">COMMONMARKETCOUNT(H748:AV748)</f>
        <v>#NAME?</v>
      </c>
      <c r="T748" s="15" t="e" cm="1">
        <f t="array" aca="1" ref="T748" ca="1">AUTOMATEDCOUNT(H748:AU748)</f>
        <v>#NAME?</v>
      </c>
      <c r="V748" s="15" t="s">
        <v>19</v>
      </c>
      <c r="W748" s="15" t="s">
        <v>19</v>
      </c>
      <c r="X748" s="15" t="s">
        <v>19</v>
      </c>
      <c r="Y748" s="15" t="s">
        <v>19</v>
      </c>
      <c r="Z748" s="15" t="s">
        <v>19</v>
      </c>
      <c r="AA748" s="18" t="s">
        <v>19</v>
      </c>
      <c r="AB748" s="18" t="s">
        <v>19</v>
      </c>
      <c r="AC748" s="18" t="s">
        <v>19</v>
      </c>
      <c r="AD748" s="18" t="s">
        <v>19</v>
      </c>
      <c r="AE748" s="18" t="s">
        <v>19</v>
      </c>
      <c r="AF748" s="18" t="s">
        <v>19</v>
      </c>
      <c r="AG748" s="18" t="s">
        <v>19</v>
      </c>
      <c r="AH748" s="18" t="s">
        <v>19</v>
      </c>
      <c r="AI748" s="18" t="s">
        <v>19</v>
      </c>
      <c r="AJ748" s="18" t="s">
        <v>19</v>
      </c>
      <c r="AK748" s="18" t="s">
        <v>19</v>
      </c>
      <c r="AL748" s="18" t="s">
        <v>19</v>
      </c>
      <c r="AM748" s="18" t="s">
        <v>19</v>
      </c>
      <c r="AN748" s="18" t="s">
        <v>19</v>
      </c>
      <c r="AO748" s="18" t="s">
        <v>19</v>
      </c>
      <c r="AP748" s="18" t="s">
        <v>19</v>
      </c>
      <c r="AQ748" s="18" t="s">
        <v>19</v>
      </c>
      <c r="AR748" s="18" t="s">
        <v>19</v>
      </c>
      <c r="AS748" s="18" t="s">
        <v>19</v>
      </c>
      <c r="AT748" s="18" t="s">
        <v>19</v>
      </c>
      <c r="AU748" s="18" t="s">
        <v>3153</v>
      </c>
      <c r="AV748" s="36" t="s">
        <v>19</v>
      </c>
    </row>
    <row r="749" spans="1:196" ht="89.25" hidden="1" customHeight="1" x14ac:dyDescent="0.3">
      <c r="A749" s="15" t="s">
        <v>315</v>
      </c>
      <c r="B749" s="15" t="s">
        <v>55</v>
      </c>
      <c r="C749" s="19" t="s">
        <v>857</v>
      </c>
      <c r="D749" s="18" t="s">
        <v>32</v>
      </c>
      <c r="E749" s="15" t="s">
        <v>19</v>
      </c>
      <c r="F749" s="15" t="s">
        <v>19</v>
      </c>
      <c r="G749" s="15" t="s">
        <v>19</v>
      </c>
      <c r="H749" s="15" t="s">
        <v>19</v>
      </c>
      <c r="I749" s="18" t="s">
        <v>19</v>
      </c>
      <c r="J749" s="18" t="s">
        <v>19</v>
      </c>
      <c r="K749" s="18" t="s">
        <v>19</v>
      </c>
      <c r="L749" s="18" t="s">
        <v>19</v>
      </c>
      <c r="M749" s="15" t="s">
        <v>858</v>
      </c>
      <c r="N749" s="15" t="s">
        <v>862</v>
      </c>
      <c r="O749" s="15"/>
      <c r="P749" s="4" t="s">
        <v>2165</v>
      </c>
      <c r="S749" s="15" t="e" cm="1">
        <f t="array" aca="1" ref="S749" ca="1">COMMONMARKETCOUNT(H749:AV749)</f>
        <v>#NAME?</v>
      </c>
      <c r="T749" s="15" t="e" cm="1">
        <f t="array" aca="1" ref="T749" ca="1">AUTOMATEDCOUNT(H749:AU749)</f>
        <v>#NAME?</v>
      </c>
      <c r="V749" s="15" t="s">
        <v>109</v>
      </c>
      <c r="W749" s="15" t="s">
        <v>109</v>
      </c>
      <c r="X749" s="15" t="s">
        <v>19</v>
      </c>
      <c r="Y749" s="15" t="s">
        <v>19</v>
      </c>
      <c r="Z749" s="15" t="s">
        <v>19</v>
      </c>
      <c r="AA749" s="18" t="s">
        <v>19</v>
      </c>
      <c r="AB749" s="18" t="s">
        <v>19</v>
      </c>
      <c r="AC749" s="18" t="s">
        <v>19</v>
      </c>
      <c r="AD749" s="6" t="s">
        <v>19</v>
      </c>
      <c r="AE749" s="6" t="s">
        <v>19</v>
      </c>
      <c r="AF749" s="18" t="s">
        <v>19</v>
      </c>
      <c r="AG749" s="18" t="s">
        <v>19</v>
      </c>
      <c r="AH749" s="18" t="s">
        <v>19</v>
      </c>
      <c r="AI749" s="18" t="s">
        <v>19</v>
      </c>
      <c r="AJ749" s="18" t="s">
        <v>19</v>
      </c>
      <c r="AK749" s="18" t="s">
        <v>19</v>
      </c>
      <c r="AL749" s="18" t="s">
        <v>19</v>
      </c>
      <c r="AM749" s="18" t="s">
        <v>19</v>
      </c>
      <c r="AN749" s="18" t="s">
        <v>19</v>
      </c>
      <c r="AO749" s="18" t="s">
        <v>19</v>
      </c>
      <c r="AP749" s="18" t="s">
        <v>19</v>
      </c>
      <c r="AQ749" s="18" t="s">
        <v>19</v>
      </c>
      <c r="AR749" s="18" t="s">
        <v>19</v>
      </c>
      <c r="AS749" s="18" t="s">
        <v>19</v>
      </c>
      <c r="AT749" s="18" t="s">
        <v>19</v>
      </c>
      <c r="AU749" s="18" t="s">
        <v>3153</v>
      </c>
      <c r="AV749" s="36" t="s">
        <v>19</v>
      </c>
    </row>
    <row r="750" spans="1:196" ht="41.25" hidden="1" customHeight="1" x14ac:dyDescent="0.3">
      <c r="A750" s="15" t="s">
        <v>315</v>
      </c>
      <c r="B750" s="15" t="s">
        <v>290</v>
      </c>
      <c r="C750" s="15" t="s">
        <v>860</v>
      </c>
      <c r="D750" s="18" t="s">
        <v>32</v>
      </c>
      <c r="E750" s="15" t="s">
        <v>19</v>
      </c>
      <c r="F750" s="15" t="s">
        <v>19</v>
      </c>
      <c r="G750" s="15" t="s">
        <v>19</v>
      </c>
      <c r="H750" s="15" t="s">
        <v>19</v>
      </c>
      <c r="I750" s="18" t="s">
        <v>19</v>
      </c>
      <c r="J750" s="18" t="s">
        <v>19</v>
      </c>
      <c r="K750" s="18" t="s">
        <v>19</v>
      </c>
      <c r="L750" s="18" t="s">
        <v>19</v>
      </c>
      <c r="M750" s="15" t="s">
        <v>861</v>
      </c>
      <c r="N750" s="15" t="s">
        <v>866</v>
      </c>
      <c r="O750" s="15"/>
      <c r="P750" s="4" t="s">
        <v>863</v>
      </c>
      <c r="S750" s="15" t="e" cm="1">
        <f t="array" aca="1" ref="S750" ca="1">COMMONMARKETCOUNT(H750:AV750)</f>
        <v>#NAME?</v>
      </c>
      <c r="T750" s="15" t="e" cm="1">
        <f t="array" aca="1" ref="T750" ca="1">AUTOMATEDCOUNT(H750:AU750)</f>
        <v>#NAME?</v>
      </c>
      <c r="V750" s="15" t="s">
        <v>19</v>
      </c>
      <c r="W750" s="15" t="s">
        <v>19</v>
      </c>
      <c r="X750" s="15" t="s">
        <v>19</v>
      </c>
      <c r="Y750" s="15" t="s">
        <v>19</v>
      </c>
      <c r="Z750" s="15" t="s">
        <v>19</v>
      </c>
      <c r="AA750" s="18" t="s">
        <v>19</v>
      </c>
      <c r="AB750" s="18" t="s">
        <v>19</v>
      </c>
      <c r="AC750" s="18" t="s">
        <v>19</v>
      </c>
      <c r="AD750" s="6" t="s">
        <v>19</v>
      </c>
      <c r="AE750" s="6" t="s">
        <v>19</v>
      </c>
      <c r="AF750" s="18" t="s">
        <v>19</v>
      </c>
      <c r="AG750" s="18" t="s">
        <v>19</v>
      </c>
      <c r="AH750" s="18" t="s">
        <v>19</v>
      </c>
      <c r="AI750" s="18" t="s">
        <v>19</v>
      </c>
      <c r="AJ750" s="18" t="s">
        <v>19</v>
      </c>
      <c r="AK750" s="18" t="s">
        <v>19</v>
      </c>
      <c r="AL750" s="18" t="s">
        <v>19</v>
      </c>
      <c r="AM750" s="18" t="s">
        <v>19</v>
      </c>
      <c r="AN750" s="18" t="s">
        <v>19</v>
      </c>
      <c r="AO750" s="18" t="s">
        <v>19</v>
      </c>
      <c r="AP750" s="18" t="s">
        <v>19</v>
      </c>
      <c r="AQ750" s="18" t="s">
        <v>19</v>
      </c>
      <c r="AR750" s="18" t="s">
        <v>19</v>
      </c>
      <c r="AS750" s="18" t="s">
        <v>19</v>
      </c>
      <c r="AT750" s="18" t="s">
        <v>19</v>
      </c>
      <c r="AU750" s="18" t="s">
        <v>3153</v>
      </c>
      <c r="AV750" s="36" t="s">
        <v>19</v>
      </c>
    </row>
    <row r="751" spans="1:196" ht="93.75" hidden="1" customHeight="1" x14ac:dyDescent="0.3">
      <c r="A751" s="15" t="s">
        <v>315</v>
      </c>
      <c r="B751" s="15" t="s">
        <v>55</v>
      </c>
      <c r="C751" s="15" t="s">
        <v>864</v>
      </c>
      <c r="D751" s="18" t="s">
        <v>32</v>
      </c>
      <c r="E751" s="15" t="s">
        <v>19</v>
      </c>
      <c r="F751" s="15" t="s">
        <v>19</v>
      </c>
      <c r="G751" s="15" t="s">
        <v>19</v>
      </c>
      <c r="H751" s="15" t="s">
        <v>19</v>
      </c>
      <c r="I751" s="18" t="s">
        <v>19</v>
      </c>
      <c r="J751" s="18" t="s">
        <v>19</v>
      </c>
      <c r="K751" s="18" t="s">
        <v>19</v>
      </c>
      <c r="L751" s="18" t="s">
        <v>19</v>
      </c>
      <c r="M751" s="15" t="s">
        <v>865</v>
      </c>
      <c r="N751" s="15" t="s">
        <v>868</v>
      </c>
      <c r="O751" s="15"/>
      <c r="P751" s="4" t="s">
        <v>1058</v>
      </c>
      <c r="S751" s="15" t="e" cm="1">
        <f t="array" aca="1" ref="S751" ca="1">COMMONMARKETCOUNT(H751:AV751)</f>
        <v>#NAME?</v>
      </c>
      <c r="T751" s="15" t="e" cm="1">
        <f t="array" aca="1" ref="T751" ca="1">AUTOMATEDCOUNT(H751:AU751)</f>
        <v>#NAME?</v>
      </c>
      <c r="V751" s="15" t="s">
        <v>19</v>
      </c>
      <c r="W751" s="15" t="s">
        <v>19</v>
      </c>
      <c r="X751" s="15" t="s">
        <v>19</v>
      </c>
      <c r="Y751" s="15" t="s">
        <v>19</v>
      </c>
      <c r="Z751" s="15" t="s">
        <v>19</v>
      </c>
      <c r="AA751" s="18" t="s">
        <v>19</v>
      </c>
      <c r="AB751" s="18" t="s">
        <v>19</v>
      </c>
      <c r="AC751" s="18" t="s">
        <v>19</v>
      </c>
      <c r="AD751" s="18" t="s">
        <v>19</v>
      </c>
      <c r="AE751" s="18" t="s">
        <v>19</v>
      </c>
      <c r="AF751" s="18" t="s">
        <v>19</v>
      </c>
      <c r="AG751" s="18" t="s">
        <v>19</v>
      </c>
      <c r="AH751" s="18" t="s">
        <v>19</v>
      </c>
      <c r="AI751" s="18" t="s">
        <v>19</v>
      </c>
      <c r="AJ751" s="18" t="s">
        <v>19</v>
      </c>
      <c r="AK751" s="18" t="s">
        <v>19</v>
      </c>
      <c r="AL751" s="18" t="s">
        <v>19</v>
      </c>
      <c r="AM751" s="18" t="s">
        <v>19</v>
      </c>
      <c r="AN751" s="18" t="s">
        <v>19</v>
      </c>
      <c r="AO751" s="18" t="s">
        <v>19</v>
      </c>
      <c r="AP751" s="18" t="s">
        <v>19</v>
      </c>
      <c r="AQ751" s="18" t="s">
        <v>19</v>
      </c>
      <c r="AR751" s="18" t="s">
        <v>19</v>
      </c>
      <c r="AS751" s="18" t="s">
        <v>19</v>
      </c>
      <c r="AT751" s="18" t="s">
        <v>19</v>
      </c>
      <c r="AU751" s="18" t="s">
        <v>3153</v>
      </c>
      <c r="AV751" s="36" t="s">
        <v>19</v>
      </c>
    </row>
    <row r="752" spans="1:196" ht="93.75" hidden="1" customHeight="1" x14ac:dyDescent="0.3">
      <c r="A752" s="15" t="s">
        <v>315</v>
      </c>
      <c r="B752" s="15" t="s">
        <v>55</v>
      </c>
      <c r="C752" s="15" t="s">
        <v>1053</v>
      </c>
      <c r="D752" s="18" t="s">
        <v>32</v>
      </c>
      <c r="E752" s="15" t="s">
        <v>19</v>
      </c>
      <c r="F752" s="15" t="s">
        <v>19</v>
      </c>
      <c r="G752" s="15" t="s">
        <v>19</v>
      </c>
      <c r="H752" s="15" t="s">
        <v>19</v>
      </c>
      <c r="I752" s="15" t="s">
        <v>19</v>
      </c>
      <c r="J752" s="15" t="s">
        <v>19</v>
      </c>
      <c r="K752" s="15" t="s">
        <v>19</v>
      </c>
      <c r="L752" s="15" t="s">
        <v>19</v>
      </c>
      <c r="M752" s="15" t="s">
        <v>867</v>
      </c>
      <c r="N752" s="15" t="s">
        <v>871</v>
      </c>
      <c r="O752" s="15"/>
      <c r="P752" s="4" t="s">
        <v>869</v>
      </c>
      <c r="S752" s="15" t="e" cm="1">
        <f t="array" aca="1" ref="S752" ca="1">COMMONMARKETCOUNT(H752:AV752)</f>
        <v>#NAME?</v>
      </c>
      <c r="T752" s="15" t="e" cm="1">
        <f t="array" aca="1" ref="T752" ca="1">AUTOMATEDCOUNT(H752:AU752)</f>
        <v>#NAME?</v>
      </c>
      <c r="V752" s="15" t="s">
        <v>19</v>
      </c>
      <c r="W752" s="15" t="s">
        <v>19</v>
      </c>
      <c r="X752" s="15" t="s">
        <v>19</v>
      </c>
      <c r="Y752" s="15" t="s">
        <v>19</v>
      </c>
      <c r="Z752" s="15" t="s">
        <v>19</v>
      </c>
      <c r="AA752" s="15" t="s">
        <v>19</v>
      </c>
      <c r="AB752" s="15" t="s">
        <v>19</v>
      </c>
      <c r="AC752" s="15" t="s">
        <v>19</v>
      </c>
      <c r="AD752" s="18" t="s">
        <v>19</v>
      </c>
      <c r="AE752" s="18" t="s">
        <v>19</v>
      </c>
      <c r="AF752" s="15" t="s">
        <v>19</v>
      </c>
      <c r="AG752" s="15" t="s">
        <v>19</v>
      </c>
      <c r="AH752" s="15" t="s">
        <v>19</v>
      </c>
      <c r="AI752" s="15" t="s">
        <v>19</v>
      </c>
      <c r="AJ752" s="15" t="s">
        <v>19</v>
      </c>
      <c r="AK752" s="15" t="s">
        <v>19</v>
      </c>
      <c r="AL752" s="15" t="s">
        <v>19</v>
      </c>
      <c r="AM752" s="15" t="s">
        <v>19</v>
      </c>
      <c r="AN752" s="15" t="s">
        <v>19</v>
      </c>
      <c r="AO752" s="15" t="s">
        <v>19</v>
      </c>
      <c r="AP752" s="15" t="s">
        <v>19</v>
      </c>
      <c r="AQ752" s="15" t="s">
        <v>19</v>
      </c>
      <c r="AR752" s="15" t="s">
        <v>19</v>
      </c>
      <c r="AS752" s="15" t="s">
        <v>19</v>
      </c>
      <c r="AT752" s="15" t="s">
        <v>19</v>
      </c>
      <c r="AU752" s="15" t="s">
        <v>3153</v>
      </c>
      <c r="AV752" s="36" t="s">
        <v>19</v>
      </c>
    </row>
    <row r="753" spans="1:264" ht="102.75" hidden="1" customHeight="1" x14ac:dyDescent="0.3">
      <c r="A753" s="6" t="s">
        <v>315</v>
      </c>
      <c r="B753" s="6" t="s">
        <v>254</v>
      </c>
      <c r="C753" s="43" t="s">
        <v>2262</v>
      </c>
      <c r="D753" s="6" t="s">
        <v>32</v>
      </c>
      <c r="E753" s="6" t="s">
        <v>19</v>
      </c>
      <c r="F753" s="6" t="s">
        <v>19</v>
      </c>
      <c r="G753" s="6" t="s">
        <v>19</v>
      </c>
      <c r="H753" s="6" t="s">
        <v>19</v>
      </c>
      <c r="I753" s="6" t="s">
        <v>19</v>
      </c>
      <c r="J753" s="6" t="s">
        <v>19</v>
      </c>
      <c r="K753" s="6" t="s">
        <v>19</v>
      </c>
      <c r="L753" s="6" t="s">
        <v>19</v>
      </c>
      <c r="M753" s="15" t="s">
        <v>867</v>
      </c>
      <c r="N753" s="43" t="s">
        <v>868</v>
      </c>
      <c r="O753" s="4"/>
      <c r="P753" s="4" t="s">
        <v>869</v>
      </c>
      <c r="S753" s="15" t="e" cm="1">
        <f t="array" aca="1" ref="S753" ca="1">COMMONMARKETCOUNT(H753:AV753)</f>
        <v>#NAME?</v>
      </c>
      <c r="T753" s="15" t="e" cm="1">
        <f t="array" aca="1" ref="T753" ca="1">AUTOMATEDCOUNT(H753:AU753)</f>
        <v>#NAME?</v>
      </c>
      <c r="V753" s="6" t="s">
        <v>19</v>
      </c>
      <c r="W753" s="6" t="s">
        <v>19</v>
      </c>
      <c r="X753" s="6" t="s">
        <v>19</v>
      </c>
      <c r="Y753" s="6" t="s">
        <v>19</v>
      </c>
      <c r="Z753" s="6" t="s">
        <v>19</v>
      </c>
      <c r="AA753" s="6" t="s">
        <v>19</v>
      </c>
      <c r="AB753" s="6" t="s">
        <v>19</v>
      </c>
      <c r="AC753" s="6" t="s">
        <v>19</v>
      </c>
      <c r="AD753" s="18" t="s">
        <v>109</v>
      </c>
      <c r="AE753" s="18" t="s">
        <v>109</v>
      </c>
      <c r="AF753" s="6" t="s">
        <v>19</v>
      </c>
      <c r="AG753" s="6" t="s">
        <v>19</v>
      </c>
      <c r="AH753" s="6" t="s">
        <v>19</v>
      </c>
      <c r="AI753" s="6" t="s">
        <v>19</v>
      </c>
      <c r="AJ753" s="6" t="s">
        <v>19</v>
      </c>
      <c r="AK753" s="6" t="s">
        <v>19</v>
      </c>
      <c r="AL753" s="6" t="s">
        <v>19</v>
      </c>
      <c r="AM753" s="6" t="s">
        <v>19</v>
      </c>
      <c r="AN753" s="6" t="s">
        <v>19</v>
      </c>
      <c r="AO753" s="6" t="s">
        <v>19</v>
      </c>
      <c r="AP753" s="6" t="s">
        <v>19</v>
      </c>
      <c r="AQ753" s="6" t="s">
        <v>19</v>
      </c>
      <c r="AR753" s="6" t="s">
        <v>19</v>
      </c>
      <c r="AS753" s="6" t="s">
        <v>19</v>
      </c>
      <c r="AT753" s="6" t="s">
        <v>19</v>
      </c>
      <c r="AU753" s="6" t="s">
        <v>3153</v>
      </c>
      <c r="AV753" s="36" t="s">
        <v>19</v>
      </c>
    </row>
    <row r="754" spans="1:264" ht="84" hidden="1" customHeight="1" x14ac:dyDescent="0.3">
      <c r="A754" s="6" t="s">
        <v>315</v>
      </c>
      <c r="B754" s="6" t="s">
        <v>254</v>
      </c>
      <c r="C754" s="43" t="s">
        <v>2263</v>
      </c>
      <c r="D754" s="6" t="s">
        <v>32</v>
      </c>
      <c r="E754" s="6" t="s">
        <v>19</v>
      </c>
      <c r="F754" s="6" t="s">
        <v>19</v>
      </c>
      <c r="G754" s="6" t="s">
        <v>19</v>
      </c>
      <c r="H754" s="6" t="s">
        <v>19</v>
      </c>
      <c r="I754" s="6" t="s">
        <v>19</v>
      </c>
      <c r="J754" s="6" t="s">
        <v>19</v>
      </c>
      <c r="K754" s="6" t="s">
        <v>19</v>
      </c>
      <c r="L754" s="6" t="s">
        <v>19</v>
      </c>
      <c r="M754" s="15" t="s">
        <v>870</v>
      </c>
      <c r="N754" s="43" t="s">
        <v>871</v>
      </c>
      <c r="O754" s="4"/>
      <c r="P754" s="4" t="s">
        <v>872</v>
      </c>
      <c r="S754" s="15" t="e" cm="1">
        <f t="array" aca="1" ref="S754" ca="1">COMMONMARKETCOUNT(H754:AV754)</f>
        <v>#NAME?</v>
      </c>
      <c r="T754" s="15" t="e" cm="1">
        <f t="array" aca="1" ref="T754" ca="1">AUTOMATEDCOUNT(H754:AU754)</f>
        <v>#NAME?</v>
      </c>
      <c r="V754" s="6" t="s">
        <v>19</v>
      </c>
      <c r="W754" s="6" t="s">
        <v>19</v>
      </c>
      <c r="X754" s="6" t="s">
        <v>19</v>
      </c>
      <c r="Y754" s="6" t="s">
        <v>19</v>
      </c>
      <c r="Z754" s="6" t="s">
        <v>19</v>
      </c>
      <c r="AA754" s="6" t="s">
        <v>19</v>
      </c>
      <c r="AB754" s="6" t="s">
        <v>19</v>
      </c>
      <c r="AC754" s="6" t="s">
        <v>19</v>
      </c>
      <c r="AD754" s="18" t="s">
        <v>109</v>
      </c>
      <c r="AE754" s="18" t="s">
        <v>109</v>
      </c>
      <c r="AF754" s="6" t="s">
        <v>19</v>
      </c>
      <c r="AG754" s="6" t="s">
        <v>19</v>
      </c>
      <c r="AH754" s="6" t="s">
        <v>19</v>
      </c>
      <c r="AI754" s="6" t="s">
        <v>19</v>
      </c>
      <c r="AJ754" s="6" t="s">
        <v>19</v>
      </c>
      <c r="AK754" s="6" t="s">
        <v>19</v>
      </c>
      <c r="AL754" s="6" t="s">
        <v>19</v>
      </c>
      <c r="AM754" s="6" t="s">
        <v>19</v>
      </c>
      <c r="AN754" s="6" t="s">
        <v>19</v>
      </c>
      <c r="AO754" s="6" t="s">
        <v>19</v>
      </c>
      <c r="AP754" s="6" t="s">
        <v>19</v>
      </c>
      <c r="AQ754" s="6" t="s">
        <v>19</v>
      </c>
      <c r="AR754" s="6" t="s">
        <v>19</v>
      </c>
      <c r="AS754" s="6" t="s">
        <v>19</v>
      </c>
      <c r="AT754" s="6" t="s">
        <v>19</v>
      </c>
      <c r="AU754" s="6" t="s">
        <v>3153</v>
      </c>
      <c r="AV754" s="36" t="s">
        <v>19</v>
      </c>
    </row>
    <row r="755" spans="1:264" ht="83.25" hidden="1" customHeight="1" x14ac:dyDescent="0.3">
      <c r="A755" s="15" t="s">
        <v>315</v>
      </c>
      <c r="B755" s="15" t="s">
        <v>55</v>
      </c>
      <c r="C755" s="15" t="s">
        <v>1054</v>
      </c>
      <c r="D755" s="18" t="s">
        <v>32</v>
      </c>
      <c r="E755" s="15" t="s">
        <v>19</v>
      </c>
      <c r="F755" s="15" t="s">
        <v>19</v>
      </c>
      <c r="G755" s="15" t="s">
        <v>19</v>
      </c>
      <c r="H755" s="15" t="s">
        <v>19</v>
      </c>
      <c r="I755" s="15" t="s">
        <v>19</v>
      </c>
      <c r="J755" s="15" t="s">
        <v>19</v>
      </c>
      <c r="K755" s="15" t="s">
        <v>19</v>
      </c>
      <c r="L755" s="15" t="s">
        <v>19</v>
      </c>
      <c r="M755" s="15" t="s">
        <v>870</v>
      </c>
      <c r="N755" s="15" t="s">
        <v>874</v>
      </c>
      <c r="O755" s="15"/>
      <c r="P755" s="4" t="s">
        <v>872</v>
      </c>
      <c r="S755" s="15" t="e" cm="1">
        <f t="array" aca="1" ref="S755" ca="1">COMMONMARKETCOUNT(H755:AV755)</f>
        <v>#NAME?</v>
      </c>
      <c r="T755" s="15" t="e" cm="1">
        <f t="array" aca="1" ref="T755" ca="1">AUTOMATEDCOUNT(H755:AU755)</f>
        <v>#NAME?</v>
      </c>
      <c r="V755" s="15" t="s">
        <v>19</v>
      </c>
      <c r="W755" s="15" t="s">
        <v>19</v>
      </c>
      <c r="X755" s="15" t="s">
        <v>19</v>
      </c>
      <c r="Y755" s="15" t="s">
        <v>19</v>
      </c>
      <c r="Z755" s="15" t="s">
        <v>19</v>
      </c>
      <c r="AA755" s="15" t="s">
        <v>19</v>
      </c>
      <c r="AB755" s="15" t="s">
        <v>19</v>
      </c>
      <c r="AC755" s="15" t="s">
        <v>19</v>
      </c>
      <c r="AD755" s="18" t="s">
        <v>19</v>
      </c>
      <c r="AE755" s="18" t="s">
        <v>19</v>
      </c>
      <c r="AF755" s="15" t="s">
        <v>19</v>
      </c>
      <c r="AG755" s="15" t="s">
        <v>19</v>
      </c>
      <c r="AH755" s="15" t="s">
        <v>19</v>
      </c>
      <c r="AI755" s="15" t="s">
        <v>19</v>
      </c>
      <c r="AJ755" s="15" t="s">
        <v>19</v>
      </c>
      <c r="AK755" s="15" t="s">
        <v>19</v>
      </c>
      <c r="AL755" s="15" t="s">
        <v>19</v>
      </c>
      <c r="AM755" s="15" t="s">
        <v>19</v>
      </c>
      <c r="AN755" s="15" t="s">
        <v>19</v>
      </c>
      <c r="AO755" s="15" t="s">
        <v>19</v>
      </c>
      <c r="AP755" s="15" t="s">
        <v>19</v>
      </c>
      <c r="AQ755" s="15" t="s">
        <v>19</v>
      </c>
      <c r="AR755" s="15" t="s">
        <v>19</v>
      </c>
      <c r="AS755" s="15" t="s">
        <v>19</v>
      </c>
      <c r="AT755" s="15" t="s">
        <v>19</v>
      </c>
      <c r="AU755" s="15" t="s">
        <v>3153</v>
      </c>
      <c r="AV755" s="36" t="s">
        <v>19</v>
      </c>
    </row>
    <row r="756" spans="1:264" ht="87.75" hidden="1" customHeight="1" x14ac:dyDescent="0.3">
      <c r="A756" s="15" t="s">
        <v>315</v>
      </c>
      <c r="B756" s="15" t="s">
        <v>55</v>
      </c>
      <c r="C756" s="15" t="s">
        <v>1055</v>
      </c>
      <c r="D756" s="18" t="s">
        <v>32</v>
      </c>
      <c r="E756" s="15" t="s">
        <v>19</v>
      </c>
      <c r="F756" s="15" t="s">
        <v>19</v>
      </c>
      <c r="G756" s="15" t="s">
        <v>19</v>
      </c>
      <c r="H756" s="15" t="s">
        <v>19</v>
      </c>
      <c r="I756" s="15" t="s">
        <v>19</v>
      </c>
      <c r="J756" s="15" t="s">
        <v>19</v>
      </c>
      <c r="K756" s="15" t="s">
        <v>19</v>
      </c>
      <c r="L756" s="15" t="s">
        <v>19</v>
      </c>
      <c r="M756" s="15" t="s">
        <v>873</v>
      </c>
      <c r="N756" s="15" t="s">
        <v>1034</v>
      </c>
      <c r="O756" s="15"/>
      <c r="P756" s="4" t="s">
        <v>1803</v>
      </c>
      <c r="S756" s="15" t="e" cm="1">
        <f t="array" aca="1" ref="S756" ca="1">COMMONMARKETCOUNT(H756:AV756)</f>
        <v>#NAME?</v>
      </c>
      <c r="T756" s="15" t="e" cm="1">
        <f t="array" aca="1" ref="T756" ca="1">AUTOMATEDCOUNT(H756:AU756)</f>
        <v>#NAME?</v>
      </c>
      <c r="V756" s="15" t="s">
        <v>19</v>
      </c>
      <c r="W756" s="15" t="s">
        <v>19</v>
      </c>
      <c r="X756" s="15" t="s">
        <v>19</v>
      </c>
      <c r="Y756" s="15" t="s">
        <v>19</v>
      </c>
      <c r="Z756" s="15" t="s">
        <v>19</v>
      </c>
      <c r="AA756" s="15" t="s">
        <v>19</v>
      </c>
      <c r="AB756" s="15" t="s">
        <v>19</v>
      </c>
      <c r="AC756" s="15" t="s">
        <v>19</v>
      </c>
      <c r="AD756" s="6" t="s">
        <v>109</v>
      </c>
      <c r="AE756" s="6" t="s">
        <v>109</v>
      </c>
      <c r="AF756" s="15" t="s">
        <v>19</v>
      </c>
      <c r="AG756" s="15" t="s">
        <v>19</v>
      </c>
      <c r="AH756" s="15" t="s">
        <v>19</v>
      </c>
      <c r="AI756" s="15" t="s">
        <v>19</v>
      </c>
      <c r="AJ756" s="15" t="s">
        <v>19</v>
      </c>
      <c r="AK756" s="15" t="s">
        <v>19</v>
      </c>
      <c r="AL756" s="15" t="s">
        <v>19</v>
      </c>
      <c r="AM756" s="15" t="s">
        <v>19</v>
      </c>
      <c r="AN756" s="15" t="s">
        <v>19</v>
      </c>
      <c r="AO756" s="15" t="s">
        <v>19</v>
      </c>
      <c r="AP756" s="15" t="s">
        <v>19</v>
      </c>
      <c r="AQ756" s="15" t="s">
        <v>19</v>
      </c>
      <c r="AR756" s="15" t="s">
        <v>19</v>
      </c>
      <c r="AS756" s="15" t="s">
        <v>19</v>
      </c>
      <c r="AT756" s="15" t="s">
        <v>19</v>
      </c>
      <c r="AU756" s="15" t="s">
        <v>3153</v>
      </c>
      <c r="AV756" s="36" t="s">
        <v>19</v>
      </c>
    </row>
    <row r="757" spans="1:264" ht="82.8" hidden="1" x14ac:dyDescent="0.3">
      <c r="A757" s="15" t="s">
        <v>315</v>
      </c>
      <c r="B757" s="15" t="s">
        <v>55</v>
      </c>
      <c r="C757" s="15" t="s">
        <v>1056</v>
      </c>
      <c r="D757" s="18" t="s">
        <v>32</v>
      </c>
      <c r="E757" s="18" t="s">
        <v>109</v>
      </c>
      <c r="F757" s="18" t="s">
        <v>109</v>
      </c>
      <c r="G757" s="18" t="s">
        <v>109</v>
      </c>
      <c r="H757" s="18" t="s">
        <v>109</v>
      </c>
      <c r="I757" s="18" t="s">
        <v>19</v>
      </c>
      <c r="J757" s="18" t="s">
        <v>19</v>
      </c>
      <c r="K757" s="18" t="s">
        <v>19</v>
      </c>
      <c r="L757" s="18" t="s">
        <v>19</v>
      </c>
      <c r="M757" s="15" t="s">
        <v>1029</v>
      </c>
      <c r="N757" s="15" t="s">
        <v>1032</v>
      </c>
      <c r="O757" s="33" t="s">
        <v>1651</v>
      </c>
      <c r="P757" s="4" t="s">
        <v>1036</v>
      </c>
      <c r="S757" s="15" t="e" cm="1">
        <f t="array" aca="1" ref="S757" ca="1">COMMONMARKETCOUNT(H757:AV757)</f>
        <v>#NAME?</v>
      </c>
      <c r="T757" s="15" t="e" cm="1">
        <f t="array" aca="1" ref="T757" ca="1">AUTOMATEDCOUNT(H757:AU757)</f>
        <v>#NAME?</v>
      </c>
      <c r="V757" s="18" t="s">
        <v>109</v>
      </c>
      <c r="W757" s="18" t="s">
        <v>109</v>
      </c>
      <c r="X757" s="18" t="s">
        <v>109</v>
      </c>
      <c r="Y757" s="18" t="s">
        <v>109</v>
      </c>
      <c r="Z757" s="18" t="s">
        <v>109</v>
      </c>
      <c r="AA757" s="18" t="s">
        <v>19</v>
      </c>
      <c r="AB757" s="18" t="s">
        <v>19</v>
      </c>
      <c r="AC757" s="18" t="s">
        <v>19</v>
      </c>
      <c r="AD757" s="18" t="s">
        <v>19</v>
      </c>
      <c r="AE757" s="18" t="s">
        <v>19</v>
      </c>
      <c r="AF757" s="15" t="s">
        <v>109</v>
      </c>
      <c r="AG757" s="18" t="s">
        <v>109</v>
      </c>
      <c r="AH757" s="18" t="s">
        <v>109</v>
      </c>
      <c r="AI757" s="18" t="s">
        <v>109</v>
      </c>
      <c r="AJ757" s="18" t="s">
        <v>109</v>
      </c>
      <c r="AK757" s="18" t="s">
        <v>109</v>
      </c>
      <c r="AL757" s="18" t="s">
        <v>109</v>
      </c>
      <c r="AM757" s="18" t="s">
        <v>109</v>
      </c>
      <c r="AN757" s="18" t="s">
        <v>109</v>
      </c>
      <c r="AO757" s="18" t="s">
        <v>109</v>
      </c>
      <c r="AP757" s="18" t="s">
        <v>109</v>
      </c>
      <c r="AQ757" s="18" t="s">
        <v>109</v>
      </c>
      <c r="AR757" s="18" t="s">
        <v>109</v>
      </c>
      <c r="AS757" s="18" t="s">
        <v>109</v>
      </c>
      <c r="AT757" s="18" t="s">
        <v>109</v>
      </c>
      <c r="AU757" s="18" t="s">
        <v>109</v>
      </c>
      <c r="AV757" s="36"/>
    </row>
    <row r="758" spans="1:264" ht="94.5" hidden="1" customHeight="1" x14ac:dyDescent="0.3">
      <c r="A758" s="15" t="s">
        <v>315</v>
      </c>
      <c r="B758" s="15" t="s">
        <v>55</v>
      </c>
      <c r="C758" s="15" t="s">
        <v>1057</v>
      </c>
      <c r="D758" s="18" t="s">
        <v>32</v>
      </c>
      <c r="E758" s="18" t="s">
        <v>109</v>
      </c>
      <c r="F758" s="18" t="s">
        <v>109</v>
      </c>
      <c r="G758" s="18" t="s">
        <v>109</v>
      </c>
      <c r="H758" s="18" t="s">
        <v>109</v>
      </c>
      <c r="I758" s="18" t="s">
        <v>19</v>
      </c>
      <c r="J758" s="18" t="s">
        <v>19</v>
      </c>
      <c r="K758" s="18" t="s">
        <v>19</v>
      </c>
      <c r="L758" s="18" t="s">
        <v>19</v>
      </c>
      <c r="M758" s="15" t="s">
        <v>1027</v>
      </c>
      <c r="N758" s="15" t="s">
        <v>1027</v>
      </c>
      <c r="O758" s="33" t="s">
        <v>1651</v>
      </c>
      <c r="P758" s="4" t="s">
        <v>1033</v>
      </c>
      <c r="S758" s="15" t="e" cm="1">
        <f t="array" aca="1" ref="S758" ca="1">COMMONMARKETCOUNT(H758:AV758)</f>
        <v>#NAME?</v>
      </c>
      <c r="T758" s="15" t="e" cm="1">
        <f t="array" aca="1" ref="T758" ca="1">AUTOMATEDCOUNT(H758:AU758)</f>
        <v>#NAME?</v>
      </c>
      <c r="V758" s="18" t="s">
        <v>109</v>
      </c>
      <c r="W758" s="18" t="s">
        <v>109</v>
      </c>
      <c r="X758" s="18" t="s">
        <v>109</v>
      </c>
      <c r="Y758" s="18" t="s">
        <v>109</v>
      </c>
      <c r="Z758" s="18" t="s">
        <v>109</v>
      </c>
      <c r="AA758" s="18" t="s">
        <v>19</v>
      </c>
      <c r="AB758" s="18" t="s">
        <v>19</v>
      </c>
      <c r="AC758" s="18" t="s">
        <v>19</v>
      </c>
      <c r="AD758" s="18" t="s">
        <v>109</v>
      </c>
      <c r="AE758" s="18" t="s">
        <v>109</v>
      </c>
      <c r="AF758" s="15" t="s">
        <v>109</v>
      </c>
      <c r="AG758" s="18" t="s">
        <v>109</v>
      </c>
      <c r="AH758" s="18" t="s">
        <v>109</v>
      </c>
      <c r="AI758" s="18" t="s">
        <v>109</v>
      </c>
      <c r="AJ758" s="18" t="s">
        <v>109</v>
      </c>
      <c r="AK758" s="18" t="s">
        <v>109</v>
      </c>
      <c r="AL758" s="18" t="s">
        <v>109</v>
      </c>
      <c r="AM758" s="18" t="s">
        <v>109</v>
      </c>
      <c r="AN758" s="18" t="s">
        <v>109</v>
      </c>
      <c r="AO758" s="18" t="s">
        <v>109</v>
      </c>
      <c r="AP758" s="18" t="s">
        <v>109</v>
      </c>
      <c r="AQ758" s="18" t="s">
        <v>109</v>
      </c>
      <c r="AR758" s="18" t="s">
        <v>109</v>
      </c>
      <c r="AS758" s="18" t="s">
        <v>109</v>
      </c>
      <c r="AT758" s="18" t="s">
        <v>109</v>
      </c>
      <c r="AU758" s="18" t="s">
        <v>109</v>
      </c>
      <c r="AV758" s="36"/>
    </row>
    <row r="759" spans="1:264" ht="88.5" hidden="1" customHeight="1" x14ac:dyDescent="0.3">
      <c r="A759" s="15" t="s">
        <v>315</v>
      </c>
      <c r="B759" s="15" t="s">
        <v>55</v>
      </c>
      <c r="C759" s="15" t="s">
        <v>1810</v>
      </c>
      <c r="D759" s="18" t="s">
        <v>32</v>
      </c>
      <c r="E759" s="15" t="s">
        <v>19</v>
      </c>
      <c r="F759" s="15" t="s">
        <v>19</v>
      </c>
      <c r="G759" s="15" t="s">
        <v>19</v>
      </c>
      <c r="H759" s="15" t="s">
        <v>19</v>
      </c>
      <c r="I759" s="15" t="s">
        <v>19</v>
      </c>
      <c r="J759" s="15" t="s">
        <v>19</v>
      </c>
      <c r="K759" s="15" t="s">
        <v>19</v>
      </c>
      <c r="L759" s="15" t="s">
        <v>19</v>
      </c>
      <c r="M759" s="15" t="s">
        <v>1672</v>
      </c>
      <c r="N759" s="36" t="s">
        <v>1804</v>
      </c>
      <c r="O759" s="30" t="s">
        <v>1658</v>
      </c>
      <c r="P759" s="4" t="s">
        <v>3144</v>
      </c>
      <c r="S759" s="15" t="e" cm="1">
        <f t="array" aca="1" ref="S759" ca="1">COMMONMARKETCOUNT(H759:AV759)</f>
        <v>#NAME?</v>
      </c>
      <c r="T759" s="15" t="e" cm="1">
        <f t="array" aca="1" ref="T759" ca="1">AUTOMATEDCOUNT(H759:AU759)</f>
        <v>#NAME?</v>
      </c>
      <c r="V759" s="15" t="s">
        <v>19</v>
      </c>
      <c r="W759" s="15" t="s">
        <v>19</v>
      </c>
      <c r="X759" s="15" t="s">
        <v>19</v>
      </c>
      <c r="Y759" s="15" t="s">
        <v>19</v>
      </c>
      <c r="Z759" s="15" t="s">
        <v>19</v>
      </c>
      <c r="AA759" s="15" t="s">
        <v>19</v>
      </c>
      <c r="AB759" s="15" t="s">
        <v>19</v>
      </c>
      <c r="AC759" s="15" t="s">
        <v>19</v>
      </c>
      <c r="AD759" s="18" t="s">
        <v>19</v>
      </c>
      <c r="AE759" s="18" t="s">
        <v>19</v>
      </c>
      <c r="AF759" s="15" t="s">
        <v>19</v>
      </c>
      <c r="AG759" s="15" t="s">
        <v>19</v>
      </c>
      <c r="AH759" s="15" t="s">
        <v>19</v>
      </c>
      <c r="AI759" s="15" t="s">
        <v>19</v>
      </c>
      <c r="AJ759" s="15" t="s">
        <v>19</v>
      </c>
      <c r="AK759" s="15" t="s">
        <v>19</v>
      </c>
      <c r="AL759" s="15" t="s">
        <v>19</v>
      </c>
      <c r="AM759" s="15" t="s">
        <v>19</v>
      </c>
      <c r="AN759" s="15" t="s">
        <v>19</v>
      </c>
      <c r="AO759" s="15" t="s">
        <v>19</v>
      </c>
      <c r="AP759" s="15" t="s">
        <v>19</v>
      </c>
      <c r="AQ759" s="15" t="s">
        <v>19</v>
      </c>
      <c r="AR759" s="15" t="s">
        <v>19</v>
      </c>
      <c r="AS759" s="15" t="s">
        <v>19</v>
      </c>
      <c r="AT759" s="15" t="s">
        <v>19</v>
      </c>
      <c r="AU759" s="15" t="s">
        <v>3153</v>
      </c>
      <c r="AV759" s="36" t="s">
        <v>19</v>
      </c>
    </row>
    <row r="760" spans="1:264" ht="88.5" hidden="1" customHeight="1" x14ac:dyDescent="0.3">
      <c r="A760" s="18" t="s">
        <v>315</v>
      </c>
      <c r="B760" s="18" t="s">
        <v>55</v>
      </c>
      <c r="C760" s="15" t="s">
        <v>2315</v>
      </c>
      <c r="D760" s="18" t="s">
        <v>32</v>
      </c>
      <c r="E760" s="18" t="s">
        <v>109</v>
      </c>
      <c r="F760" s="18" t="s">
        <v>109</v>
      </c>
      <c r="G760" s="18" t="s">
        <v>109</v>
      </c>
      <c r="H760" s="18" t="s">
        <v>109</v>
      </c>
      <c r="I760" s="18" t="s">
        <v>19</v>
      </c>
      <c r="J760" s="18" t="s">
        <v>19</v>
      </c>
      <c r="K760" s="18" t="s">
        <v>19</v>
      </c>
      <c r="L760" s="18" t="s">
        <v>19</v>
      </c>
      <c r="M760" s="15" t="s">
        <v>1427</v>
      </c>
      <c r="N760" s="36" t="s">
        <v>1437</v>
      </c>
      <c r="O760" s="31" t="s">
        <v>1644</v>
      </c>
      <c r="P760" s="4" t="s">
        <v>1438</v>
      </c>
      <c r="S760" s="15" t="e" cm="1">
        <f t="array" aca="1" ref="S760" ca="1">COMMONMARKETCOUNT(H760:AV760)</f>
        <v>#NAME?</v>
      </c>
      <c r="T760" s="15" t="e" cm="1">
        <f t="array" aca="1" ref="T760" ca="1">AUTOMATEDCOUNT(H760:AU760)</f>
        <v>#NAME?</v>
      </c>
      <c r="V760" s="18" t="s">
        <v>109</v>
      </c>
      <c r="W760" s="18" t="s">
        <v>109</v>
      </c>
      <c r="X760" s="18" t="s">
        <v>109</v>
      </c>
      <c r="Y760" s="18" t="s">
        <v>109</v>
      </c>
      <c r="Z760" s="18" t="s">
        <v>109</v>
      </c>
      <c r="AA760" s="18" t="s">
        <v>19</v>
      </c>
      <c r="AB760" s="18" t="s">
        <v>19</v>
      </c>
      <c r="AC760" s="18" t="s">
        <v>19</v>
      </c>
      <c r="AD760" s="15" t="s">
        <v>19</v>
      </c>
      <c r="AE760" s="15" t="s">
        <v>19</v>
      </c>
      <c r="AF760" s="15" t="s">
        <v>109</v>
      </c>
      <c r="AG760" s="18" t="s">
        <v>109</v>
      </c>
      <c r="AH760" s="18" t="s">
        <v>109</v>
      </c>
      <c r="AI760" s="18" t="s">
        <v>109</v>
      </c>
      <c r="AJ760" s="18" t="s">
        <v>109</v>
      </c>
      <c r="AK760" s="18" t="s">
        <v>109</v>
      </c>
      <c r="AL760" s="18" t="s">
        <v>109</v>
      </c>
      <c r="AM760" s="18" t="s">
        <v>109</v>
      </c>
      <c r="AN760" s="18" t="s">
        <v>109</v>
      </c>
      <c r="AO760" s="18" t="s">
        <v>109</v>
      </c>
      <c r="AP760" s="18" t="s">
        <v>109</v>
      </c>
      <c r="AQ760" s="18" t="s">
        <v>109</v>
      </c>
      <c r="AR760" s="18" t="s">
        <v>109</v>
      </c>
      <c r="AS760" s="18" t="s">
        <v>109</v>
      </c>
      <c r="AT760" s="18" t="s">
        <v>109</v>
      </c>
      <c r="AU760" s="18" t="s">
        <v>109</v>
      </c>
      <c r="AV760" s="36"/>
      <c r="AW760" s="37"/>
      <c r="AX760" s="37"/>
      <c r="AY760" s="37"/>
      <c r="AZ760" s="37"/>
      <c r="BA760" s="37"/>
      <c r="BB760" s="37"/>
      <c r="BC760" s="37"/>
      <c r="BD760" s="37"/>
      <c r="BE760" s="37"/>
      <c r="BF760" s="37"/>
      <c r="BG760" s="37"/>
      <c r="BH760" s="37"/>
      <c r="BI760" s="37"/>
      <c r="BJ760" s="37"/>
      <c r="BK760" s="37"/>
      <c r="BL760" s="37"/>
      <c r="BM760" s="37"/>
      <c r="BN760" s="37"/>
      <c r="BO760" s="37"/>
      <c r="BP760" s="37"/>
      <c r="BQ760" s="37"/>
      <c r="BR760" s="37"/>
      <c r="BS760" s="37"/>
      <c r="BT760" s="37"/>
      <c r="BU760" s="37"/>
      <c r="BV760" s="37"/>
      <c r="BW760" s="37"/>
      <c r="BX760" s="37"/>
      <c r="BY760" s="37"/>
      <c r="BZ760" s="37"/>
      <c r="CA760" s="37"/>
      <c r="CB760" s="37"/>
      <c r="CC760" s="37"/>
      <c r="CD760" s="37"/>
      <c r="CE760" s="37"/>
      <c r="CF760" s="37"/>
      <c r="CG760" s="37"/>
      <c r="CH760" s="37"/>
      <c r="CI760" s="37"/>
      <c r="CJ760" s="37"/>
      <c r="CK760" s="37"/>
      <c r="CL760" s="37"/>
      <c r="CM760" s="37"/>
      <c r="CN760" s="37"/>
      <c r="CO760" s="37"/>
      <c r="CP760" s="37"/>
      <c r="CQ760" s="37"/>
      <c r="CR760" s="37"/>
      <c r="CS760" s="37"/>
      <c r="CT760" s="37"/>
      <c r="CU760" s="37"/>
      <c r="CV760" s="37"/>
      <c r="CW760" s="37"/>
      <c r="CX760" s="37"/>
      <c r="CY760" s="37"/>
      <c r="CZ760" s="37"/>
      <c r="DA760" s="37"/>
      <c r="DB760" s="37"/>
      <c r="DC760" s="37"/>
      <c r="DD760" s="37"/>
      <c r="DE760" s="37"/>
      <c r="DF760" s="37"/>
      <c r="DG760" s="37"/>
      <c r="DH760" s="37"/>
      <c r="DI760" s="37"/>
      <c r="DJ760" s="37"/>
      <c r="DK760" s="37"/>
      <c r="DL760" s="37"/>
      <c r="DM760" s="37"/>
      <c r="DN760" s="37"/>
      <c r="DO760" s="37"/>
      <c r="DP760" s="37"/>
      <c r="DQ760" s="37"/>
      <c r="DR760" s="37"/>
      <c r="DS760" s="37"/>
      <c r="DT760" s="37"/>
      <c r="DU760" s="37"/>
      <c r="DV760" s="37"/>
      <c r="DW760" s="37"/>
      <c r="DX760" s="37"/>
      <c r="DY760" s="37"/>
      <c r="DZ760" s="37"/>
      <c r="EA760" s="37"/>
      <c r="EB760" s="37"/>
      <c r="EC760" s="37"/>
      <c r="ED760" s="37"/>
      <c r="EE760" s="37"/>
      <c r="EF760" s="37"/>
      <c r="EG760" s="37"/>
      <c r="EH760" s="37"/>
      <c r="EI760" s="37"/>
      <c r="EJ760" s="37"/>
      <c r="EK760" s="37"/>
      <c r="EL760" s="37"/>
      <c r="EM760" s="37"/>
      <c r="EN760" s="37"/>
      <c r="EO760" s="37"/>
      <c r="EP760" s="37"/>
      <c r="EQ760" s="37"/>
      <c r="ER760" s="37"/>
      <c r="ES760" s="37"/>
      <c r="ET760" s="37"/>
      <c r="EU760" s="37"/>
      <c r="EV760" s="37"/>
      <c r="EW760" s="37"/>
      <c r="EX760" s="37"/>
      <c r="EY760" s="37"/>
      <c r="EZ760" s="37"/>
      <c r="FA760" s="37"/>
      <c r="FB760" s="37"/>
      <c r="FC760" s="37"/>
      <c r="FD760" s="37"/>
      <c r="FE760" s="37"/>
      <c r="FF760" s="37"/>
      <c r="FG760" s="37"/>
      <c r="FH760" s="37"/>
      <c r="FI760" s="37"/>
      <c r="FJ760" s="37"/>
      <c r="FK760" s="37"/>
      <c r="FL760" s="37"/>
      <c r="FM760" s="37"/>
      <c r="FN760" s="37"/>
      <c r="FO760" s="37"/>
      <c r="FP760" s="37"/>
      <c r="FQ760" s="37"/>
      <c r="FR760" s="37"/>
      <c r="FS760" s="37"/>
      <c r="FT760" s="37"/>
      <c r="FU760" s="37"/>
      <c r="FV760" s="37"/>
      <c r="FW760" s="37"/>
      <c r="FX760" s="37"/>
      <c r="FY760" s="37"/>
      <c r="FZ760" s="37"/>
      <c r="GA760" s="37"/>
      <c r="GB760" s="37"/>
      <c r="GC760" s="37"/>
      <c r="GD760" s="37"/>
      <c r="GE760" s="37"/>
      <c r="GF760" s="37"/>
      <c r="GG760" s="37"/>
      <c r="GH760" s="37"/>
      <c r="GI760" s="37"/>
      <c r="GJ760" s="37"/>
      <c r="GK760" s="37"/>
      <c r="GL760" s="37"/>
      <c r="GM760" s="37"/>
      <c r="GN760" s="37"/>
      <c r="GO760" s="37"/>
      <c r="GP760" s="37"/>
      <c r="GQ760" s="37"/>
      <c r="GR760" s="37"/>
      <c r="GS760" s="37"/>
      <c r="GT760" s="37"/>
      <c r="GU760" s="37"/>
      <c r="GV760" s="37"/>
      <c r="GW760" s="37"/>
      <c r="GX760" s="37"/>
      <c r="GY760" s="37"/>
      <c r="GZ760" s="37"/>
      <c r="HA760" s="37"/>
      <c r="HB760" s="37"/>
      <c r="HC760" s="37"/>
      <c r="HD760" s="37"/>
      <c r="HE760" s="37"/>
      <c r="HF760" s="37"/>
      <c r="HG760" s="37"/>
      <c r="HH760" s="37"/>
      <c r="HI760" s="37"/>
      <c r="HJ760" s="37"/>
      <c r="HK760" s="37"/>
      <c r="HL760" s="37"/>
      <c r="HM760" s="37"/>
      <c r="HN760" s="37"/>
      <c r="HO760" s="37"/>
      <c r="HP760" s="37"/>
      <c r="HQ760" s="37"/>
      <c r="HR760" s="37"/>
      <c r="HS760" s="37"/>
      <c r="HT760" s="37"/>
      <c r="HU760" s="37"/>
      <c r="HV760" s="37"/>
      <c r="HW760" s="37"/>
      <c r="HX760" s="37"/>
      <c r="HY760" s="37"/>
      <c r="HZ760" s="37"/>
      <c r="IA760" s="37"/>
      <c r="IB760" s="37"/>
      <c r="IC760" s="37"/>
      <c r="ID760" s="37"/>
      <c r="IE760" s="37"/>
      <c r="IF760" s="37"/>
      <c r="IG760" s="37"/>
      <c r="IH760" s="37"/>
      <c r="II760" s="37"/>
      <c r="IJ760" s="37"/>
      <c r="IK760" s="37"/>
      <c r="IL760" s="37"/>
      <c r="IM760" s="37"/>
      <c r="IN760" s="37"/>
      <c r="IO760" s="37"/>
      <c r="IP760" s="37"/>
      <c r="IQ760" s="37"/>
      <c r="IR760" s="37"/>
      <c r="IS760" s="37"/>
      <c r="IT760" s="37"/>
      <c r="IU760" s="37"/>
      <c r="IV760" s="37"/>
      <c r="IW760" s="37"/>
      <c r="IX760" s="37"/>
      <c r="IY760" s="37"/>
      <c r="IZ760" s="37"/>
      <c r="JA760" s="37"/>
      <c r="JB760" s="37"/>
      <c r="JC760" s="37"/>
      <c r="JD760" s="37"/>
    </row>
    <row r="761" spans="1:264" ht="60" hidden="1" customHeight="1" x14ac:dyDescent="0.3">
      <c r="A761" s="18" t="s">
        <v>315</v>
      </c>
      <c r="B761" s="18" t="s">
        <v>55</v>
      </c>
      <c r="C761" s="15" t="s">
        <v>2317</v>
      </c>
      <c r="D761" s="18" t="s">
        <v>32</v>
      </c>
      <c r="E761" s="18" t="s">
        <v>109</v>
      </c>
      <c r="F761" s="18" t="s">
        <v>109</v>
      </c>
      <c r="G761" s="18" t="s">
        <v>109</v>
      </c>
      <c r="H761" s="18" t="s">
        <v>109</v>
      </c>
      <c r="I761" s="18" t="s">
        <v>19</v>
      </c>
      <c r="J761" s="18" t="s">
        <v>19</v>
      </c>
      <c r="K761" s="18" t="s">
        <v>19</v>
      </c>
      <c r="L761" s="18" t="s">
        <v>19</v>
      </c>
      <c r="M761" s="15" t="s">
        <v>1425</v>
      </c>
      <c r="N761" s="15" t="s">
        <v>1643</v>
      </c>
      <c r="O761" s="31" t="s">
        <v>1644</v>
      </c>
      <c r="P761" s="4" t="s">
        <v>3145</v>
      </c>
      <c r="S761" s="15" t="e" cm="1">
        <f t="array" aca="1" ref="S761" ca="1">COMMONMARKETCOUNT(H761:AV761)</f>
        <v>#NAME?</v>
      </c>
      <c r="T761" s="15" t="e" cm="1">
        <f t="array" aca="1" ref="T761" ca="1">AUTOMATEDCOUNT(H761:AU761)</f>
        <v>#NAME?</v>
      </c>
      <c r="V761" s="18" t="s">
        <v>109</v>
      </c>
      <c r="W761" s="18" t="s">
        <v>109</v>
      </c>
      <c r="X761" s="18" t="s">
        <v>109</v>
      </c>
      <c r="Y761" s="18" t="s">
        <v>109</v>
      </c>
      <c r="Z761" s="18" t="s">
        <v>109</v>
      </c>
      <c r="AA761" s="18" t="s">
        <v>19</v>
      </c>
      <c r="AB761" s="18" t="s">
        <v>19</v>
      </c>
      <c r="AC761" s="18" t="s">
        <v>19</v>
      </c>
      <c r="AD761" s="15" t="s">
        <v>19</v>
      </c>
      <c r="AE761" s="15" t="s">
        <v>19</v>
      </c>
      <c r="AF761" s="15" t="s">
        <v>109</v>
      </c>
      <c r="AG761" s="18" t="s">
        <v>109</v>
      </c>
      <c r="AH761" s="18" t="s">
        <v>109</v>
      </c>
      <c r="AI761" s="18" t="s">
        <v>109</v>
      </c>
      <c r="AJ761" s="18" t="s">
        <v>109</v>
      </c>
      <c r="AK761" s="18" t="s">
        <v>109</v>
      </c>
      <c r="AL761" s="18" t="s">
        <v>109</v>
      </c>
      <c r="AM761" s="18" t="s">
        <v>109</v>
      </c>
      <c r="AN761" s="18" t="s">
        <v>109</v>
      </c>
      <c r="AO761" s="18" t="s">
        <v>109</v>
      </c>
      <c r="AP761" s="18" t="s">
        <v>109</v>
      </c>
      <c r="AQ761" s="18" t="s">
        <v>109</v>
      </c>
      <c r="AR761" s="18" t="s">
        <v>109</v>
      </c>
      <c r="AS761" s="18" t="s">
        <v>109</v>
      </c>
      <c r="AT761" s="18" t="s">
        <v>109</v>
      </c>
      <c r="AU761" s="18" t="s">
        <v>109</v>
      </c>
      <c r="AV761" s="36"/>
    </row>
    <row r="762" spans="1:264" ht="79.5" hidden="1" customHeight="1" x14ac:dyDescent="0.3">
      <c r="A762" s="15" t="s">
        <v>315</v>
      </c>
      <c r="B762" s="6" t="s">
        <v>254</v>
      </c>
      <c r="C762" s="19" t="s">
        <v>2316</v>
      </c>
      <c r="D762" s="6" t="s">
        <v>32</v>
      </c>
      <c r="E762" s="6" t="s">
        <v>109</v>
      </c>
      <c r="F762" s="6" t="s">
        <v>109</v>
      </c>
      <c r="G762" s="6" t="s">
        <v>109</v>
      </c>
      <c r="H762" s="6" t="s">
        <v>109</v>
      </c>
      <c r="I762" s="18" t="s">
        <v>19</v>
      </c>
      <c r="J762" s="18" t="s">
        <v>19</v>
      </c>
      <c r="K762" s="6" t="s">
        <v>109</v>
      </c>
      <c r="L762" s="6" t="s">
        <v>109</v>
      </c>
      <c r="M762" s="15" t="s">
        <v>2299</v>
      </c>
      <c r="N762" s="4" t="s">
        <v>2298</v>
      </c>
      <c r="O762" s="4" t="s">
        <v>2293</v>
      </c>
      <c r="P762" s="4" t="s">
        <v>2300</v>
      </c>
      <c r="S762" s="15" t="e" cm="1">
        <f t="array" aca="1" ref="S762" ca="1">COMMONMARKETCOUNT(H762:AV762)</f>
        <v>#NAME?</v>
      </c>
      <c r="T762" s="15" t="e" cm="1">
        <f t="array" aca="1" ref="T762" ca="1">AUTOMATEDCOUNT(H762:AU762)</f>
        <v>#NAME?</v>
      </c>
      <c r="V762" s="6" t="s">
        <v>109</v>
      </c>
      <c r="W762" s="6" t="s">
        <v>109</v>
      </c>
      <c r="X762" s="6" t="s">
        <v>109</v>
      </c>
      <c r="Y762" s="6" t="s">
        <v>109</v>
      </c>
      <c r="Z762" s="6" t="s">
        <v>109</v>
      </c>
      <c r="AA762" s="18" t="s">
        <v>19</v>
      </c>
      <c r="AB762" s="18" t="s">
        <v>19</v>
      </c>
      <c r="AC762" s="18" t="s">
        <v>19</v>
      </c>
      <c r="AD762" s="18" t="s">
        <v>19</v>
      </c>
      <c r="AE762" s="18" t="s">
        <v>19</v>
      </c>
      <c r="AF762" s="6" t="s">
        <v>109</v>
      </c>
      <c r="AG762" s="6" t="s">
        <v>109</v>
      </c>
      <c r="AH762" s="6" t="s">
        <v>109</v>
      </c>
      <c r="AI762" s="6" t="s">
        <v>109</v>
      </c>
      <c r="AJ762" s="6" t="s">
        <v>109</v>
      </c>
      <c r="AK762" s="6" t="s">
        <v>109</v>
      </c>
      <c r="AL762" s="6" t="s">
        <v>109</v>
      </c>
      <c r="AM762" s="6" t="s">
        <v>109</v>
      </c>
      <c r="AN762" s="6" t="s">
        <v>109</v>
      </c>
      <c r="AO762" s="6" t="s">
        <v>109</v>
      </c>
      <c r="AP762" s="6" t="s">
        <v>19</v>
      </c>
      <c r="AQ762" s="6" t="s">
        <v>19</v>
      </c>
      <c r="AR762" s="6" t="s">
        <v>19</v>
      </c>
      <c r="AS762" s="6" t="s">
        <v>19</v>
      </c>
      <c r="AT762" s="6" t="s">
        <v>19</v>
      </c>
      <c r="AU762" s="18" t="s">
        <v>109</v>
      </c>
      <c r="AV762" s="36"/>
    </row>
    <row r="763" spans="1:264" ht="146.25" hidden="1" customHeight="1" x14ac:dyDescent="0.3">
      <c r="A763" s="6" t="s">
        <v>705</v>
      </c>
      <c r="B763" s="6" t="s">
        <v>55</v>
      </c>
      <c r="C763" s="19" t="s">
        <v>2851</v>
      </c>
      <c r="D763" s="6" t="s">
        <v>32</v>
      </c>
      <c r="E763" s="6" t="s">
        <v>109</v>
      </c>
      <c r="F763" s="6" t="s">
        <v>109</v>
      </c>
      <c r="G763" s="6" t="s">
        <v>109</v>
      </c>
      <c r="H763" s="6" t="s">
        <v>109</v>
      </c>
      <c r="I763" s="6" t="s">
        <v>109</v>
      </c>
      <c r="J763" s="6" t="s">
        <v>109</v>
      </c>
      <c r="K763" s="6" t="s">
        <v>109</v>
      </c>
      <c r="L763" s="6" t="s">
        <v>109</v>
      </c>
      <c r="M763" s="15" t="s">
        <v>2852</v>
      </c>
      <c r="N763" s="15" t="s">
        <v>2853</v>
      </c>
      <c r="O763" s="15" t="s">
        <v>2634</v>
      </c>
      <c r="P763" s="4" t="s">
        <v>2854</v>
      </c>
      <c r="S763" s="15" t="e" cm="1">
        <f t="array" aca="1" ref="S763" ca="1">COMMONMARKETCOUNT(H763:AV763)</f>
        <v>#NAME?</v>
      </c>
      <c r="T763" s="15" t="e">
        <f t="array" aca="1" ref="T763" ca="1">AUTOMATEDCOUNT(H763:AU763)</f>
        <v>#NAME?</v>
      </c>
      <c r="V763" s="6" t="s">
        <v>109</v>
      </c>
      <c r="W763" s="6" t="s">
        <v>109</v>
      </c>
      <c r="X763" s="6" t="s">
        <v>109</v>
      </c>
      <c r="Y763" s="6" t="s">
        <v>109</v>
      </c>
      <c r="Z763" s="6" t="s">
        <v>109</v>
      </c>
      <c r="AA763" s="6" t="s">
        <v>109</v>
      </c>
      <c r="AB763" s="6" t="s">
        <v>109</v>
      </c>
      <c r="AC763" s="6" t="s">
        <v>109</v>
      </c>
      <c r="AD763" s="6" t="s">
        <v>109</v>
      </c>
      <c r="AE763" s="6" t="s">
        <v>109</v>
      </c>
      <c r="AF763" s="6" t="s">
        <v>109</v>
      </c>
      <c r="AG763" s="6" t="s">
        <v>109</v>
      </c>
      <c r="AH763" s="6" t="s">
        <v>109</v>
      </c>
      <c r="AI763" s="6" t="s">
        <v>109</v>
      </c>
      <c r="AJ763" s="6" t="s">
        <v>109</v>
      </c>
      <c r="AK763" s="6" t="s">
        <v>109</v>
      </c>
      <c r="AL763" s="6" t="s">
        <v>109</v>
      </c>
      <c r="AM763" s="6" t="s">
        <v>109</v>
      </c>
      <c r="AN763" s="6" t="s">
        <v>109</v>
      </c>
      <c r="AO763" s="6" t="s">
        <v>109</v>
      </c>
      <c r="AP763" s="6" t="s">
        <v>19</v>
      </c>
      <c r="AQ763" s="6" t="s">
        <v>19</v>
      </c>
      <c r="AR763" s="6" t="s">
        <v>19</v>
      </c>
      <c r="AS763" s="6" t="s">
        <v>19</v>
      </c>
      <c r="AT763" s="6" t="s">
        <v>19</v>
      </c>
      <c r="AU763" s="18" t="s">
        <v>109</v>
      </c>
      <c r="AV763" s="36" t="s">
        <v>19</v>
      </c>
    </row>
  </sheetData>
  <autoFilter ref="A1:JF763" xr:uid="{6A81BF58-D1D5-4A29-980E-FB1D1E1BD208}">
    <filterColumn colId="3">
      <filters>
        <filter val="Yes"/>
      </filters>
    </filterColumn>
    <filterColumn colId="7">
      <filters>
        <filter val="Yes"/>
      </filters>
    </filterColumn>
  </autoFilter>
  <sortState xmlns:xlrd2="http://schemas.microsoft.com/office/spreadsheetml/2017/richdata2" ref="C2:AU516">
    <sortCondition descending="1" ref="O515:O516"/>
  </sortState>
  <phoneticPr fontId="10" type="noConversion"/>
  <conditionalFormatting sqref="O293 O256:O257 O295 O297:O298 C295 A295">
    <cfRule type="containsText" dxfId="4" priority="29" operator="containsText" text="T+n">
      <formula>NOT(ISERROR(SEARCH("T+n",A256)))</formula>
    </cfRule>
  </conditionalFormatting>
  <conditionalFormatting sqref="O255">
    <cfRule type="containsText" dxfId="3" priority="28" operator="containsText" text="T+n">
      <formula>NOT(ISERROR(SEARCH("T+n",O255)))</formula>
    </cfRule>
  </conditionalFormatting>
  <conditionalFormatting sqref="O287">
    <cfRule type="containsText" dxfId="2" priority="26" operator="containsText" text="T+n">
      <formula>NOT(ISERROR(SEARCH("T+n",O287)))</formula>
    </cfRule>
  </conditionalFormatting>
  <conditionalFormatting sqref="O294">
    <cfRule type="containsText" dxfId="1" priority="18" operator="containsText" text="T+n">
      <formula>NOT(ISERROR(SEARCH("T+n",O294)))</formula>
    </cfRule>
  </conditionalFormatting>
  <conditionalFormatting sqref="O296">
    <cfRule type="containsText" dxfId="0" priority="11" operator="containsText" text="T+n">
      <formula>NOT(ISERROR(SEARCH("T+n",O296)))</formula>
    </cfRule>
  </conditionalFormatting>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626565-09C6-494A-A902-896CB634EA92}">
  <sheetPr codeName="Sheet2"/>
  <dimension ref="A1:E29"/>
  <sheetViews>
    <sheetView zoomScale="80" zoomScaleNormal="80" workbookViewId="0">
      <selection activeCell="A27" sqref="A27"/>
    </sheetView>
  </sheetViews>
  <sheetFormatPr defaultRowHeight="14.4" x14ac:dyDescent="0.3"/>
  <cols>
    <col min="1" max="1" width="44.88671875" customWidth="1"/>
    <col min="3" max="3" width="40.5546875" customWidth="1"/>
    <col min="5" max="5" width="30.109375" customWidth="1"/>
  </cols>
  <sheetData>
    <row r="1" spans="1:5" ht="18" x14ac:dyDescent="0.35">
      <c r="A1" s="7" t="s">
        <v>1333</v>
      </c>
    </row>
    <row r="6" spans="1:5" ht="15" thickBot="1" x14ac:dyDescent="0.35"/>
    <row r="7" spans="1:5" x14ac:dyDescent="0.3">
      <c r="A7" s="81" t="s">
        <v>1336</v>
      </c>
      <c r="B7" s="82"/>
      <c r="C7" s="82" t="s">
        <v>1334</v>
      </c>
      <c r="D7" s="82"/>
      <c r="E7" s="83" t="s">
        <v>1335</v>
      </c>
    </row>
    <row r="8" spans="1:5" x14ac:dyDescent="0.3">
      <c r="A8" s="8"/>
      <c r="E8" s="9"/>
    </row>
    <row r="9" spans="1:5" ht="16.2" x14ac:dyDescent="0.3">
      <c r="A9" s="84" t="s">
        <v>2281</v>
      </c>
      <c r="B9" s="1"/>
      <c r="C9" s="3" t="s">
        <v>2386</v>
      </c>
      <c r="D9" s="1"/>
      <c r="E9" s="14" t="s">
        <v>951</v>
      </c>
    </row>
    <row r="10" spans="1:5" ht="16.2" x14ac:dyDescent="0.3">
      <c r="A10" s="84" t="s">
        <v>2282</v>
      </c>
      <c r="B10" s="1"/>
      <c r="C10" s="3" t="s">
        <v>2387</v>
      </c>
      <c r="D10" s="1"/>
      <c r="E10" s="14" t="s">
        <v>951</v>
      </c>
    </row>
    <row r="11" spans="1:5" ht="16.2" x14ac:dyDescent="0.3">
      <c r="A11" s="84" t="s">
        <v>2388</v>
      </c>
      <c r="B11" s="1"/>
      <c r="C11" s="3" t="s">
        <v>2389</v>
      </c>
      <c r="D11" s="1"/>
      <c r="E11" s="14" t="s">
        <v>951</v>
      </c>
    </row>
    <row r="12" spans="1:5" ht="16.2" x14ac:dyDescent="0.3">
      <c r="A12" s="84" t="s">
        <v>0</v>
      </c>
      <c r="B12" s="1"/>
      <c r="C12" s="3" t="s">
        <v>2390</v>
      </c>
      <c r="D12" s="1"/>
      <c r="E12" s="14" t="s">
        <v>951</v>
      </c>
    </row>
    <row r="13" spans="1:5" ht="16.2" x14ac:dyDescent="0.3">
      <c r="A13" s="84" t="s">
        <v>1</v>
      </c>
      <c r="B13" s="1"/>
      <c r="C13" s="3" t="s">
        <v>2391</v>
      </c>
      <c r="D13" s="1"/>
      <c r="E13" s="14" t="s">
        <v>951</v>
      </c>
    </row>
    <row r="14" spans="1:5" ht="16.2" x14ac:dyDescent="0.3">
      <c r="A14" s="84" t="s">
        <v>1646</v>
      </c>
      <c r="B14" s="1"/>
      <c r="C14" s="3" t="s">
        <v>2392</v>
      </c>
      <c r="D14" s="1"/>
      <c r="E14" s="14" t="s">
        <v>951</v>
      </c>
    </row>
    <row r="15" spans="1:5" x14ac:dyDescent="0.3">
      <c r="A15" s="85"/>
      <c r="C15" s="86"/>
      <c r="E15" s="10"/>
    </row>
    <row r="16" spans="1:5" ht="16.2" x14ac:dyDescent="0.3">
      <c r="A16" s="87" t="s">
        <v>1026</v>
      </c>
      <c r="B16" s="1"/>
      <c r="C16" s="3" t="s">
        <v>2393</v>
      </c>
      <c r="D16" s="1"/>
      <c r="E16" s="14" t="s">
        <v>951</v>
      </c>
    </row>
    <row r="17" spans="1:5" ht="16.2" x14ac:dyDescent="0.3">
      <c r="A17" s="87" t="s">
        <v>2</v>
      </c>
      <c r="B17" s="1"/>
      <c r="C17" s="3" t="s">
        <v>2394</v>
      </c>
      <c r="D17" s="1"/>
      <c r="E17" s="14" t="s">
        <v>952</v>
      </c>
    </row>
    <row r="18" spans="1:5" ht="16.2" x14ac:dyDescent="0.3">
      <c r="A18" s="87" t="s">
        <v>2044</v>
      </c>
      <c r="B18" s="1"/>
      <c r="C18" s="3" t="s">
        <v>1075</v>
      </c>
      <c r="D18" s="1"/>
      <c r="E18" s="14" t="s">
        <v>952</v>
      </c>
    </row>
    <row r="19" spans="1:5" x14ac:dyDescent="0.3">
      <c r="A19" s="85"/>
      <c r="C19" s="86"/>
      <c r="E19" s="10"/>
    </row>
    <row r="20" spans="1:5" ht="16.2" x14ac:dyDescent="0.3">
      <c r="A20" s="88" t="s">
        <v>2337</v>
      </c>
      <c r="B20" s="1"/>
      <c r="C20" s="2" t="s">
        <v>2401</v>
      </c>
      <c r="D20" s="1"/>
      <c r="E20" s="14" t="s">
        <v>1011</v>
      </c>
    </row>
    <row r="21" spans="1:5" ht="16.2" x14ac:dyDescent="0.3">
      <c r="A21" s="88" t="s">
        <v>2336</v>
      </c>
      <c r="B21" s="89"/>
      <c r="C21" s="3" t="s">
        <v>2395</v>
      </c>
      <c r="D21" s="90"/>
      <c r="E21" s="14" t="s">
        <v>1011</v>
      </c>
    </row>
    <row r="22" spans="1:5" x14ac:dyDescent="0.3">
      <c r="A22" s="85"/>
      <c r="C22" s="86"/>
      <c r="E22" s="10"/>
    </row>
    <row r="23" spans="1:5" ht="16.2" x14ac:dyDescent="0.3">
      <c r="A23" s="91" t="s">
        <v>2396</v>
      </c>
      <c r="B23" s="1"/>
      <c r="C23" s="3" t="s">
        <v>2397</v>
      </c>
      <c r="D23" s="1"/>
      <c r="E23" s="14" t="s">
        <v>951</v>
      </c>
    </row>
    <row r="24" spans="1:5" x14ac:dyDescent="0.3">
      <c r="A24" s="92"/>
      <c r="C24" s="86"/>
      <c r="E24" s="10"/>
    </row>
    <row r="25" spans="1:5" ht="16.2" x14ac:dyDescent="0.3">
      <c r="A25" s="93" t="s">
        <v>2398</v>
      </c>
      <c r="B25" s="1"/>
      <c r="C25" s="3" t="s">
        <v>2398</v>
      </c>
      <c r="D25" s="1"/>
      <c r="E25" s="14" t="s">
        <v>951</v>
      </c>
    </row>
    <row r="26" spans="1:5" x14ac:dyDescent="0.3">
      <c r="A26" s="85"/>
      <c r="C26" s="86"/>
      <c r="E26" s="10"/>
    </row>
    <row r="27" spans="1:5" ht="16.2" x14ac:dyDescent="0.3">
      <c r="A27" s="94" t="s">
        <v>2399</v>
      </c>
      <c r="B27" s="1"/>
      <c r="C27" s="2" t="s">
        <v>2402</v>
      </c>
      <c r="D27" s="1"/>
      <c r="E27" s="14" t="s">
        <v>1011</v>
      </c>
    </row>
    <row r="28" spans="1:5" ht="16.2" x14ac:dyDescent="0.3">
      <c r="A28" s="95" t="s">
        <v>2400</v>
      </c>
      <c r="B28" s="1"/>
      <c r="C28" s="3" t="s">
        <v>2403</v>
      </c>
      <c r="D28" s="1"/>
      <c r="E28" s="14" t="s">
        <v>1011</v>
      </c>
    </row>
    <row r="29" spans="1:5" ht="15" thickBot="1" x14ac:dyDescent="0.35">
      <c r="A29" s="13"/>
      <c r="B29" s="11"/>
      <c r="C29" s="11"/>
      <c r="D29" s="11"/>
      <c r="E29" s="12"/>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7C8D94-D5E3-483E-BF20-E695F083AA34}">
  <sheetPr codeName="Sheet3"/>
  <dimension ref="B1:S30"/>
  <sheetViews>
    <sheetView tabSelected="1" zoomScaleNormal="100" workbookViewId="0">
      <selection activeCell="I34" sqref="I34"/>
    </sheetView>
  </sheetViews>
  <sheetFormatPr defaultRowHeight="14.4" x14ac:dyDescent="0.3"/>
  <cols>
    <col min="1" max="1" width="10.5546875" bestFit="1" customWidth="1"/>
    <col min="2" max="2" width="15.5546875" bestFit="1" customWidth="1"/>
    <col min="4" max="4" width="12.5546875" bestFit="1" customWidth="1"/>
    <col min="5" max="5" width="14.109375" bestFit="1" customWidth="1"/>
    <col min="6" max="6" width="16.44140625" bestFit="1" customWidth="1"/>
    <col min="7" max="7" width="10.109375" bestFit="1" customWidth="1"/>
    <col min="9" max="9" width="15.5546875" bestFit="1" customWidth="1"/>
    <col min="10" max="10" width="12.5546875" bestFit="1" customWidth="1"/>
    <col min="11" max="11" width="16.5546875" customWidth="1"/>
    <col min="12" max="12" width="18.77734375" customWidth="1"/>
    <col min="13" max="13" width="12.109375" customWidth="1"/>
    <col min="15" max="15" width="15.5546875" bestFit="1" customWidth="1"/>
    <col min="16" max="16" width="13.109375" bestFit="1" customWidth="1"/>
    <col min="17" max="17" width="13.88671875" customWidth="1"/>
    <col min="18" max="18" width="13.109375" customWidth="1"/>
    <col min="19" max="19" width="20" bestFit="1" customWidth="1"/>
  </cols>
  <sheetData>
    <row r="1" spans="2:19" ht="15" thickBot="1" x14ac:dyDescent="0.35">
      <c r="C1" s="125" t="s">
        <v>2380</v>
      </c>
      <c r="D1" s="126"/>
      <c r="E1" s="126"/>
      <c r="F1" s="127"/>
      <c r="J1" s="128" t="s">
        <v>2381</v>
      </c>
      <c r="K1" s="129"/>
      <c r="L1" s="130"/>
      <c r="P1" s="131" t="s">
        <v>2382</v>
      </c>
      <c r="Q1" s="132"/>
      <c r="R1" s="133"/>
    </row>
    <row r="2" spans="2:19" ht="15" thickBot="1" x14ac:dyDescent="0.35">
      <c r="B2" s="51" t="s">
        <v>2322</v>
      </c>
      <c r="C2" s="74" t="s">
        <v>2325</v>
      </c>
      <c r="D2" s="74" t="s">
        <v>2323</v>
      </c>
      <c r="E2" s="74" t="s">
        <v>2385</v>
      </c>
      <c r="F2" s="74" t="s">
        <v>2324</v>
      </c>
      <c r="G2" s="47" t="s">
        <v>2328</v>
      </c>
      <c r="I2" s="57" t="s">
        <v>2322</v>
      </c>
      <c r="J2" s="53" t="s">
        <v>2323</v>
      </c>
      <c r="K2" s="46" t="s">
        <v>2338</v>
      </c>
      <c r="L2" s="61" t="s">
        <v>2339</v>
      </c>
      <c r="M2" s="47" t="s">
        <v>2326</v>
      </c>
      <c r="O2" s="65" t="s">
        <v>2322</v>
      </c>
      <c r="P2" s="75" t="s">
        <v>2338</v>
      </c>
      <c r="Q2" s="74" t="s">
        <v>2383</v>
      </c>
      <c r="R2" s="74" t="s">
        <v>2384</v>
      </c>
      <c r="S2" s="47" t="s">
        <v>2327</v>
      </c>
    </row>
    <row r="3" spans="2:19" x14ac:dyDescent="0.3">
      <c r="B3" s="54" t="s">
        <v>1841</v>
      </c>
      <c r="C3" s="45">
        <f>COUNTIF('Trade Clearing BRD Requirements'!H:H,"YES")</f>
        <v>277</v>
      </c>
      <c r="D3" s="49">
        <f>COUNTIFS('Trade Clearing BRD Requirements'!H:H,"Yes",'Trade Clearing BRD Requirements'!D:D,"YES")</f>
        <v>70</v>
      </c>
      <c r="E3" s="76">
        <f>D3/C3</f>
        <v>0.25270758122743681</v>
      </c>
      <c r="F3" s="49">
        <f>COUNTIFS('Trade Clearing BRD Requirements'!H:H,"Yes",'Trade Clearing BRD Requirements'!D:D,"No")</f>
        <v>54</v>
      </c>
      <c r="G3" s="50">
        <f>COUNTIFS('Trade Clearing BRD Requirements'!H:H,"Yes",'Trade Clearing BRD Requirements'!D:D,"N")</f>
        <v>153</v>
      </c>
      <c r="I3" s="59" t="s">
        <v>2330</v>
      </c>
      <c r="J3" s="45">
        <f t="shared" ref="J3:J29" si="0">D3</f>
        <v>70</v>
      </c>
      <c r="K3" s="49" cm="1">
        <f t="array" ref="K3">AUTOMATEDCOUNT('Trade Clearing BRD Requirements'!H2:H1985)</f>
        <v>55</v>
      </c>
      <c r="L3" s="71">
        <f>K3/J3</f>
        <v>0.7857142857142857</v>
      </c>
      <c r="M3" s="50">
        <f>J3-K3</f>
        <v>15</v>
      </c>
      <c r="O3" s="113" t="s">
        <v>2330</v>
      </c>
      <c r="P3" s="45">
        <f>K3</f>
        <v>55</v>
      </c>
      <c r="Q3" s="49" cm="1">
        <f t="array" ref="Q3">IMPLEMENTEDCOUNT('Trade Clearing BRD Requirements'!H2:H1985)</f>
        <v>50</v>
      </c>
      <c r="R3" s="71">
        <f>Q3/P3</f>
        <v>0.90909090909090906</v>
      </c>
      <c r="S3" s="50">
        <f>P3-Q3</f>
        <v>5</v>
      </c>
    </row>
    <row r="4" spans="2:19" x14ac:dyDescent="0.3">
      <c r="B4" s="55" t="s">
        <v>2283</v>
      </c>
      <c r="C4" s="52">
        <f>COUNTIF('Trade Clearing BRD Requirements'!V:V,"YES")</f>
        <v>325</v>
      </c>
      <c r="D4" s="1">
        <f>COUNTIFS('Trade Clearing BRD Requirements'!V:V,"Yes",'Trade Clearing BRD Requirements'!D:D,"YES")</f>
        <v>133</v>
      </c>
      <c r="E4" s="76">
        <f t="shared" ref="E4:E30" si="1">D4/C4</f>
        <v>0.40923076923076923</v>
      </c>
      <c r="F4" s="1">
        <f>COUNTIFS('Trade Clearing BRD Requirements'!V:V,"Yes",'Trade Clearing BRD Requirements'!D:D,"No")</f>
        <v>56</v>
      </c>
      <c r="G4" s="48">
        <f>COUNTIFS('Trade Clearing BRD Requirements'!V:V,"Yes",'Trade Clearing BRD Requirements'!D:D,"N")</f>
        <v>136</v>
      </c>
      <c r="I4" s="55" t="s">
        <v>2283</v>
      </c>
      <c r="J4" s="45">
        <f t="shared" si="0"/>
        <v>133</v>
      </c>
      <c r="K4" s="49" cm="1">
        <f t="array" ref="K4">AUTOMATEDCOUNT('Trade Clearing BRD Requirements'!V2:V1985)</f>
        <v>114</v>
      </c>
      <c r="L4" s="71">
        <f>K4/J4</f>
        <v>0.8571428571428571</v>
      </c>
      <c r="M4" s="50">
        <f t="shared" ref="M4:M29" si="2">J4-K4</f>
        <v>19</v>
      </c>
      <c r="O4" s="114" t="s">
        <v>2283</v>
      </c>
      <c r="P4" s="45">
        <f t="shared" ref="P4:P29" si="3">K4</f>
        <v>114</v>
      </c>
      <c r="Q4" s="49" cm="1">
        <f t="array" ref="Q4">IMPLEMENTEDCOUNT('Trade Clearing BRD Requirements'!V2:V1985)</f>
        <v>111</v>
      </c>
      <c r="R4" s="71">
        <f t="shared" ref="R4:R27" si="4">Q4/P4</f>
        <v>0.97368421052631582</v>
      </c>
      <c r="S4" s="50">
        <f t="shared" ref="S4:S29" si="5">P4-Q4</f>
        <v>3</v>
      </c>
    </row>
    <row r="5" spans="2:19" x14ac:dyDescent="0.3">
      <c r="B5" s="55" t="s">
        <v>3</v>
      </c>
      <c r="C5" s="52">
        <f>COUNTIF('Trade Clearing BRD Requirements'!W:W,"YES")</f>
        <v>330</v>
      </c>
      <c r="D5" s="1">
        <f>COUNTIFS('Trade Clearing BRD Requirements'!W:W,"Yes",'Trade Clearing BRD Requirements'!D:D,"YES")</f>
        <v>136</v>
      </c>
      <c r="E5" s="76">
        <f t="shared" si="1"/>
        <v>0.41212121212121211</v>
      </c>
      <c r="F5" s="1">
        <f>COUNTIFS('Trade Clearing BRD Requirements'!W:W,"Yes",'Trade Clearing BRD Requirements'!D:D,"No")</f>
        <v>56</v>
      </c>
      <c r="G5" s="48">
        <f>COUNTIFS('Trade Clearing BRD Requirements'!W:W,"Yes",'Trade Clearing BRD Requirements'!D:D,"N")</f>
        <v>138</v>
      </c>
      <c r="I5" s="55" t="s">
        <v>3</v>
      </c>
      <c r="J5" s="45">
        <f t="shared" si="0"/>
        <v>136</v>
      </c>
      <c r="K5" s="1" cm="1">
        <f t="array" ref="K5">AUTOMATEDCOUNT('Trade Clearing BRD Requirements'!W2:W1985)</f>
        <v>121</v>
      </c>
      <c r="L5" s="71">
        <f t="shared" ref="L5:L30" si="6">K5/J5</f>
        <v>0.88970588235294112</v>
      </c>
      <c r="M5" s="50">
        <f t="shared" si="2"/>
        <v>15</v>
      </c>
      <c r="O5" s="114" t="s">
        <v>3</v>
      </c>
      <c r="P5" s="45">
        <f t="shared" si="3"/>
        <v>121</v>
      </c>
      <c r="Q5" s="1" cm="1">
        <f t="array" ref="Q5">IMPLEMENTEDCOUNT('Trade Clearing BRD Requirements'!W2:W1985)</f>
        <v>118</v>
      </c>
      <c r="R5" s="71">
        <f t="shared" si="4"/>
        <v>0.97520661157024791</v>
      </c>
      <c r="S5" s="50">
        <f t="shared" si="5"/>
        <v>3</v>
      </c>
    </row>
    <row r="6" spans="2:19" x14ac:dyDescent="0.3">
      <c r="B6" s="55" t="s">
        <v>4</v>
      </c>
      <c r="C6" s="52">
        <f>COUNTIF('Trade Clearing BRD Requirements'!X:X,"YES")</f>
        <v>456</v>
      </c>
      <c r="D6" s="1">
        <f>COUNTIFS('Trade Clearing BRD Requirements'!X:X,"Yes",'Trade Clearing BRD Requirements'!D:D,"YES")</f>
        <v>240</v>
      </c>
      <c r="E6" s="76">
        <f t="shared" si="1"/>
        <v>0.52631578947368418</v>
      </c>
      <c r="F6" s="1">
        <f>COUNTIFS('Trade Clearing BRD Requirements'!X:X,"Yes",'Trade Clearing BRD Requirements'!D:D,"No")</f>
        <v>56</v>
      </c>
      <c r="G6" s="48">
        <f>COUNTIFS('Trade Clearing BRD Requirements'!X:X,"Yes",'Trade Clearing BRD Requirements'!D:D,"N")</f>
        <v>160</v>
      </c>
      <c r="I6" s="55" t="s">
        <v>4</v>
      </c>
      <c r="J6" s="45">
        <f t="shared" si="0"/>
        <v>240</v>
      </c>
      <c r="K6" s="1" cm="1">
        <f t="array" ref="K6">AUTOMATEDCOUNT('Trade Clearing BRD Requirements'!X2:X1985)</f>
        <v>231</v>
      </c>
      <c r="L6" s="71">
        <f t="shared" si="6"/>
        <v>0.96250000000000002</v>
      </c>
      <c r="M6" s="50">
        <f t="shared" si="2"/>
        <v>9</v>
      </c>
      <c r="O6" s="114" t="s">
        <v>4</v>
      </c>
      <c r="P6" s="45">
        <f t="shared" si="3"/>
        <v>231</v>
      </c>
      <c r="Q6" s="1" cm="1">
        <f t="array" ref="Q6">IMPLEMENTEDCOUNT('Trade Clearing BRD Requirements'!X2:X1985)</f>
        <v>210</v>
      </c>
      <c r="R6" s="71">
        <f t="shared" si="4"/>
        <v>0.90909090909090906</v>
      </c>
      <c r="S6" s="50">
        <f t="shared" si="5"/>
        <v>21</v>
      </c>
    </row>
    <row r="7" spans="2:19" x14ac:dyDescent="0.3">
      <c r="B7" s="55" t="s">
        <v>5</v>
      </c>
      <c r="C7" s="52">
        <f>COUNTIF('Trade Clearing BRD Requirements'!Y:Y,"YES")</f>
        <v>455</v>
      </c>
      <c r="D7" s="1">
        <f>COUNTIFS('Trade Clearing BRD Requirements'!Y:Y,"Yes",'Trade Clearing BRD Requirements'!D:D,"YES")</f>
        <v>239</v>
      </c>
      <c r="E7" s="76">
        <f t="shared" si="1"/>
        <v>0.5252747252747253</v>
      </c>
      <c r="F7" s="1">
        <f>COUNTIFS('Trade Clearing BRD Requirements'!Y:Y,"Yes",'Trade Clearing BRD Requirements'!D:D,"No")</f>
        <v>56</v>
      </c>
      <c r="G7" s="48">
        <f>COUNTIFS('Trade Clearing BRD Requirements'!Y:Y,"Yes",'Trade Clearing BRD Requirements'!D:D,"N")</f>
        <v>160</v>
      </c>
      <c r="I7" s="55" t="s">
        <v>5</v>
      </c>
      <c r="J7" s="45">
        <f t="shared" si="0"/>
        <v>239</v>
      </c>
      <c r="K7" s="1" cm="1">
        <f t="array" ref="K7">AUTOMATEDCOUNT('Trade Clearing BRD Requirements'!Y2:Y1985)</f>
        <v>230</v>
      </c>
      <c r="L7" s="71">
        <f t="shared" si="6"/>
        <v>0.96234309623430958</v>
      </c>
      <c r="M7" s="50">
        <f t="shared" si="2"/>
        <v>9</v>
      </c>
      <c r="O7" s="114" t="s">
        <v>5</v>
      </c>
      <c r="P7" s="45">
        <f t="shared" si="3"/>
        <v>230</v>
      </c>
      <c r="Q7" s="1" cm="1">
        <f t="array" ref="Q7">IMPLEMENTEDCOUNT('Trade Clearing BRD Requirements'!Y2:Y1985)</f>
        <v>209</v>
      </c>
      <c r="R7" s="71">
        <f t="shared" si="4"/>
        <v>0.90869565217391302</v>
      </c>
      <c r="S7" s="50">
        <f t="shared" si="5"/>
        <v>21</v>
      </c>
    </row>
    <row r="8" spans="2:19" x14ac:dyDescent="0.3">
      <c r="B8" s="55" t="s">
        <v>6</v>
      </c>
      <c r="C8" s="52">
        <f>COUNTIF('Trade Clearing BRD Requirements'!Z:Z,"YES")</f>
        <v>463</v>
      </c>
      <c r="D8" s="1">
        <f>COUNTIFS('Trade Clearing BRD Requirements'!Z:Z,"Yes",'Trade Clearing BRD Requirements'!D:D,"YES")</f>
        <v>244</v>
      </c>
      <c r="E8" s="76">
        <f t="shared" si="1"/>
        <v>0.52699784017278617</v>
      </c>
      <c r="F8" s="1">
        <f>COUNTIFS('Trade Clearing BRD Requirements'!Z:Z,"Yes",'Trade Clearing BRD Requirements'!D:D,"No")</f>
        <v>56</v>
      </c>
      <c r="G8" s="48">
        <f>COUNTIFS('Trade Clearing BRD Requirements'!Z:Z,"Yes",'Trade Clearing BRD Requirements'!D:D,"N")</f>
        <v>163</v>
      </c>
      <c r="I8" s="55" t="s">
        <v>6</v>
      </c>
      <c r="J8" s="45">
        <f t="shared" si="0"/>
        <v>244</v>
      </c>
      <c r="K8" s="1" cm="1">
        <f t="array" ref="K8">AUTOMATEDCOUNT('Trade Clearing BRD Requirements'!Z2:Z1985)</f>
        <v>235</v>
      </c>
      <c r="L8" s="71">
        <f t="shared" si="6"/>
        <v>0.96311475409836067</v>
      </c>
      <c r="M8" s="50">
        <f t="shared" si="2"/>
        <v>9</v>
      </c>
      <c r="O8" s="114" t="s">
        <v>6</v>
      </c>
      <c r="P8" s="45">
        <f t="shared" si="3"/>
        <v>235</v>
      </c>
      <c r="Q8" s="1" cm="1">
        <f t="array" ref="Q8">IMPLEMENTEDCOUNT('Trade Clearing BRD Requirements'!Z2:Z1985)</f>
        <v>212</v>
      </c>
      <c r="R8" s="71">
        <f t="shared" si="4"/>
        <v>0.90212765957446805</v>
      </c>
      <c r="S8" s="50">
        <f t="shared" si="5"/>
        <v>23</v>
      </c>
    </row>
    <row r="9" spans="2:19" x14ac:dyDescent="0.3">
      <c r="B9" s="55" t="s">
        <v>7</v>
      </c>
      <c r="C9" s="52">
        <f>COUNTIF('Trade Clearing BRD Requirements'!F:F,"YES")</f>
        <v>402</v>
      </c>
      <c r="D9" s="1">
        <f>COUNTIFS('Trade Clearing BRD Requirements'!F:F,"Yes",'Trade Clearing BRD Requirements'!D:D,"YES")</f>
        <v>181</v>
      </c>
      <c r="E9" s="76">
        <f t="shared" si="1"/>
        <v>0.45024875621890548</v>
      </c>
      <c r="F9" s="1">
        <f>COUNTIFS('Trade Clearing BRD Requirements'!F:F,"Yes",'Trade Clearing BRD Requirements'!D:D,"No")</f>
        <v>56</v>
      </c>
      <c r="G9" s="48">
        <f>COUNTIFS('Trade Clearing BRD Requirements'!F:F,"Yes",'Trade Clearing BRD Requirements'!D:D,"N")</f>
        <v>165</v>
      </c>
      <c r="I9" s="55" t="s">
        <v>7</v>
      </c>
      <c r="J9" s="45">
        <f t="shared" si="0"/>
        <v>181</v>
      </c>
      <c r="K9" s="1" cm="1">
        <f t="array" ref="K9">AUTOMATEDCOUNT('Trade Clearing BRD Requirements'!F2:F1985)</f>
        <v>172</v>
      </c>
      <c r="L9" s="71">
        <f t="shared" si="6"/>
        <v>0.95027624309392267</v>
      </c>
      <c r="M9" s="50">
        <f t="shared" si="2"/>
        <v>9</v>
      </c>
      <c r="O9" s="114" t="s">
        <v>7</v>
      </c>
      <c r="P9" s="45">
        <f t="shared" si="3"/>
        <v>172</v>
      </c>
      <c r="Q9" s="1" cm="1">
        <f t="array" ref="Q9">IMPLEMENTEDCOUNT('Trade Clearing BRD Requirements'!F2:F1985)</f>
        <v>153</v>
      </c>
      <c r="R9" s="71">
        <f t="shared" si="4"/>
        <v>0.88953488372093026</v>
      </c>
      <c r="S9" s="50">
        <f t="shared" si="5"/>
        <v>19</v>
      </c>
    </row>
    <row r="10" spans="2:19" x14ac:dyDescent="0.3">
      <c r="B10" s="55" t="s">
        <v>2093</v>
      </c>
      <c r="C10" s="52">
        <f>COUNTIF('Trade Clearing BRD Requirements'!AA:AA,"YES")</f>
        <v>531</v>
      </c>
      <c r="D10" s="1">
        <f>COUNTIFS('Trade Clearing BRD Requirements'!AA:AA,"Yes",'Trade Clearing BRD Requirements'!D:D,"YES")</f>
        <v>246</v>
      </c>
      <c r="E10" s="76">
        <f t="shared" si="1"/>
        <v>0.4632768361581921</v>
      </c>
      <c r="F10" s="1">
        <f>COUNTIFS('Trade Clearing BRD Requirements'!AA:AA,"Yes",'Trade Clearing BRD Requirements'!D:D,"No")</f>
        <v>57</v>
      </c>
      <c r="G10" s="48">
        <f>COUNTIFS('Trade Clearing BRD Requirements'!AA:AA,"Yes",'Trade Clearing BRD Requirements'!D:D,"N")</f>
        <v>228</v>
      </c>
      <c r="I10" s="55" t="s">
        <v>2093</v>
      </c>
      <c r="J10" s="45">
        <f t="shared" si="0"/>
        <v>246</v>
      </c>
      <c r="K10" s="1" cm="1">
        <f t="array" ref="K10">AUTOMATEDCOUNT('Trade Clearing BRD Requirements'!AA2:AA1985)</f>
        <v>198</v>
      </c>
      <c r="L10" s="71">
        <f t="shared" si="6"/>
        <v>0.80487804878048785</v>
      </c>
      <c r="M10" s="50">
        <f t="shared" si="2"/>
        <v>48</v>
      </c>
      <c r="O10" s="114" t="s">
        <v>2093</v>
      </c>
      <c r="P10" s="45">
        <f t="shared" si="3"/>
        <v>198</v>
      </c>
      <c r="Q10" s="1" cm="1">
        <f t="array" ref="Q10">IMPLEMENTEDCOUNT('Trade Clearing BRD Requirements'!AA2:AA1985)</f>
        <v>196</v>
      </c>
      <c r="R10" s="71">
        <f t="shared" si="4"/>
        <v>0.98989898989898994</v>
      </c>
      <c r="S10" s="50">
        <f t="shared" si="5"/>
        <v>2</v>
      </c>
    </row>
    <row r="11" spans="2:19" x14ac:dyDescent="0.3">
      <c r="B11" s="55" t="s">
        <v>2094</v>
      </c>
      <c r="C11" s="52">
        <f>COUNTIF('Trade Clearing BRD Requirements'!J:J,"YES")</f>
        <v>502</v>
      </c>
      <c r="D11" s="1">
        <f>COUNTIFS('Trade Clearing BRD Requirements'!J:J,"Yes",'Trade Clearing BRD Requirements'!D:D,"YES")</f>
        <v>217</v>
      </c>
      <c r="E11" s="76">
        <f t="shared" si="1"/>
        <v>0.43227091633466136</v>
      </c>
      <c r="F11" s="1">
        <f>COUNTIFS('Trade Clearing BRD Requirements'!J:J,"Yes",'Trade Clearing BRD Requirements'!D:D,"No")</f>
        <v>57</v>
      </c>
      <c r="G11" s="48">
        <f>COUNTIFS('Trade Clearing BRD Requirements'!J:J,"Yes",'Trade Clearing BRD Requirements'!D:D,"N")</f>
        <v>228</v>
      </c>
      <c r="I11" s="55" t="s">
        <v>2094</v>
      </c>
      <c r="J11" s="45">
        <f t="shared" si="0"/>
        <v>217</v>
      </c>
      <c r="K11" s="1" cm="1">
        <f t="array" ref="K11">AUTOMATEDCOUNT('Trade Clearing BRD Requirements'!J2:J1985)</f>
        <v>169</v>
      </c>
      <c r="L11" s="71">
        <f t="shared" si="6"/>
        <v>0.77880184331797231</v>
      </c>
      <c r="M11" s="50">
        <f t="shared" si="2"/>
        <v>48</v>
      </c>
      <c r="O11" s="114" t="s">
        <v>2094</v>
      </c>
      <c r="P11" s="45">
        <f t="shared" si="3"/>
        <v>169</v>
      </c>
      <c r="Q11" s="1" cm="1">
        <f t="array" ref="Q11">IMPLEMENTEDCOUNT('Trade Clearing BRD Requirements'!J2:J1985)</f>
        <v>167</v>
      </c>
      <c r="R11" s="71">
        <f t="shared" si="4"/>
        <v>0.98816568047337283</v>
      </c>
      <c r="S11" s="50">
        <f t="shared" si="5"/>
        <v>2</v>
      </c>
    </row>
    <row r="12" spans="2:19" x14ac:dyDescent="0.3">
      <c r="B12" s="55" t="s">
        <v>2095</v>
      </c>
      <c r="C12" s="52">
        <f>COUNTIF('Trade Clearing BRD Requirements'!AB:AB,"YES")</f>
        <v>539</v>
      </c>
      <c r="D12" s="1">
        <f>COUNTIFS('Trade Clearing BRD Requirements'!AB:AB,"Yes",'Trade Clearing BRD Requirements'!D:D,"YES")</f>
        <v>246</v>
      </c>
      <c r="E12" s="76">
        <f t="shared" si="1"/>
        <v>0.45640074211502785</v>
      </c>
      <c r="F12" s="1">
        <f>COUNTIFS('Trade Clearing BRD Requirements'!AB:AB,"Yes",'Trade Clearing BRD Requirements'!D:D,"No")</f>
        <v>57</v>
      </c>
      <c r="G12" s="48">
        <f>COUNTIFS('Trade Clearing BRD Requirements'!AB:AB,"Yes",'Trade Clearing BRD Requirements'!D:D,"N")</f>
        <v>236</v>
      </c>
      <c r="I12" s="55" t="s">
        <v>2095</v>
      </c>
      <c r="J12" s="45">
        <f t="shared" si="0"/>
        <v>246</v>
      </c>
      <c r="K12" s="1" cm="1">
        <f t="array" ref="K12">AUTOMATEDCOUNT('Trade Clearing BRD Requirements'!AB2:AB1985)</f>
        <v>198</v>
      </c>
      <c r="L12" s="71">
        <f t="shared" si="6"/>
        <v>0.80487804878048785</v>
      </c>
      <c r="M12" s="50">
        <f t="shared" si="2"/>
        <v>48</v>
      </c>
      <c r="O12" s="114" t="s">
        <v>2095</v>
      </c>
      <c r="P12" s="45">
        <f t="shared" si="3"/>
        <v>198</v>
      </c>
      <c r="Q12" s="1" cm="1">
        <f t="array" ref="Q12">IMPLEMENTEDCOUNT('Trade Clearing BRD Requirements'!AB2:AB1985)</f>
        <v>196</v>
      </c>
      <c r="R12" s="71">
        <f t="shared" si="4"/>
        <v>0.98989898989898994</v>
      </c>
      <c r="S12" s="50">
        <f t="shared" si="5"/>
        <v>2</v>
      </c>
    </row>
    <row r="13" spans="2:19" x14ac:dyDescent="0.3">
      <c r="B13" s="55" t="s">
        <v>2096</v>
      </c>
      <c r="C13" s="52">
        <f>COUNTIF('Trade Clearing BRD Requirements'!AC:AC,"YES")</f>
        <v>539</v>
      </c>
      <c r="D13" s="1">
        <f>COUNTIFS('Trade Clearing BRD Requirements'!AC:AC,"Yes",'Trade Clearing BRD Requirements'!D:D,"YES")</f>
        <v>246</v>
      </c>
      <c r="E13" s="76">
        <f t="shared" si="1"/>
        <v>0.45640074211502785</v>
      </c>
      <c r="F13" s="1">
        <f>COUNTIFS('Trade Clearing BRD Requirements'!AC:AC,"Yes",'Trade Clearing BRD Requirements'!D:D,"No")</f>
        <v>57</v>
      </c>
      <c r="G13" s="48">
        <f>COUNTIFS('Trade Clearing BRD Requirements'!AC:AC,"Yes",'Trade Clearing BRD Requirements'!D:D,"N")</f>
        <v>236</v>
      </c>
      <c r="I13" s="55" t="s">
        <v>2096</v>
      </c>
      <c r="J13" s="45">
        <f t="shared" si="0"/>
        <v>246</v>
      </c>
      <c r="K13" s="1" cm="1">
        <f t="array" ref="K13">AUTOMATEDCOUNT('Trade Clearing BRD Requirements'!AC2:AC1985)</f>
        <v>198</v>
      </c>
      <c r="L13" s="71">
        <f t="shared" si="6"/>
        <v>0.80487804878048785</v>
      </c>
      <c r="M13" s="50">
        <f t="shared" si="2"/>
        <v>48</v>
      </c>
      <c r="O13" s="114" t="s">
        <v>2096</v>
      </c>
      <c r="P13" s="45">
        <f t="shared" si="3"/>
        <v>198</v>
      </c>
      <c r="Q13" s="1" cm="1">
        <f t="array" ref="Q13">IMPLEMENTEDCOUNT('Trade Clearing BRD Requirements'!AC2:AC1985)</f>
        <v>196</v>
      </c>
      <c r="R13" s="71">
        <f t="shared" si="4"/>
        <v>0.98989898989898994</v>
      </c>
      <c r="S13" s="50">
        <f t="shared" si="5"/>
        <v>2</v>
      </c>
    </row>
    <row r="14" spans="2:19" x14ac:dyDescent="0.3">
      <c r="B14" s="55" t="s">
        <v>2408</v>
      </c>
      <c r="C14" s="52">
        <f>COUNTIF('Trade Clearing BRD Requirements'!AD:AD,"YES")</f>
        <v>537</v>
      </c>
      <c r="D14" s="1">
        <f>COUNTIFS('Trade Clearing BRD Requirements'!AD:AD,"Yes",'Trade Clearing BRD Requirements'!D:D,"YES")</f>
        <v>243</v>
      </c>
      <c r="E14" s="76">
        <f t="shared" si="1"/>
        <v>0.45251396648044695</v>
      </c>
      <c r="F14" s="1">
        <f>COUNTIFS('Trade Clearing BRD Requirements'!AD:AD,"Yes",'Trade Clearing BRD Requirements'!D:D,"No")</f>
        <v>44</v>
      </c>
      <c r="G14" s="48">
        <f>COUNTIFS('Trade Clearing BRD Requirements'!AD:AD,"Yes",'Trade Clearing BRD Requirements'!D:D,"N")</f>
        <v>250</v>
      </c>
      <c r="I14" s="55" t="s">
        <v>2408</v>
      </c>
      <c r="J14" s="45">
        <f t="shared" si="0"/>
        <v>243</v>
      </c>
      <c r="K14" s="1" cm="1">
        <f t="array" ref="K14">AUTOMATEDCOUNT('Trade Clearing BRD Requirements'!AD2:AD1985)</f>
        <v>174</v>
      </c>
      <c r="L14" s="71">
        <f t="shared" si="6"/>
        <v>0.71604938271604934</v>
      </c>
      <c r="M14" s="50">
        <f t="shared" si="2"/>
        <v>69</v>
      </c>
      <c r="O14" s="114" t="s">
        <v>2408</v>
      </c>
      <c r="P14" s="45">
        <f t="shared" si="3"/>
        <v>174</v>
      </c>
      <c r="Q14" s="1" cm="1">
        <f t="array" ref="Q14">IMPLEMENTEDCOUNT('Trade Clearing BRD Requirements'!AD2:AD1985)</f>
        <v>172</v>
      </c>
      <c r="R14" s="71">
        <f t="shared" si="4"/>
        <v>0.9885057471264368</v>
      </c>
      <c r="S14" s="50">
        <f t="shared" si="5"/>
        <v>2</v>
      </c>
    </row>
    <row r="15" spans="2:19" x14ac:dyDescent="0.3">
      <c r="B15" s="55" t="s">
        <v>2329</v>
      </c>
      <c r="C15" s="52">
        <f>COUNTIF('Trade Clearing BRD Requirements'!K:K,"YES")</f>
        <v>533</v>
      </c>
      <c r="D15" s="1">
        <f>COUNTIFS('Trade Clearing BRD Requirements'!K:K,"Yes",'Trade Clearing BRD Requirements'!D:D,"YES")</f>
        <v>238</v>
      </c>
      <c r="E15" s="76">
        <f t="shared" si="1"/>
        <v>0.44652908067542213</v>
      </c>
      <c r="F15" s="1">
        <f>COUNTIFS('Trade Clearing BRD Requirements'!K:K,"Yes",'Trade Clearing BRD Requirements'!D:D,"No")</f>
        <v>59</v>
      </c>
      <c r="G15" s="48">
        <f>COUNTIFS('Trade Clearing BRD Requirements'!K:K,"Yes",'Trade Clearing BRD Requirements'!D:D,"N")</f>
        <v>236</v>
      </c>
      <c r="I15" s="55" t="s">
        <v>2329</v>
      </c>
      <c r="J15" s="45">
        <f t="shared" si="0"/>
        <v>238</v>
      </c>
      <c r="K15" s="1" cm="1">
        <f t="array" ref="K15">AUTOMATEDCOUNT('Trade Clearing BRD Requirements'!K2:K1985)</f>
        <v>178</v>
      </c>
      <c r="L15" s="71">
        <f t="shared" si="6"/>
        <v>0.74789915966386555</v>
      </c>
      <c r="M15" s="50">
        <f t="shared" si="2"/>
        <v>60</v>
      </c>
      <c r="O15" s="114" t="s">
        <v>2329</v>
      </c>
      <c r="P15" s="45">
        <f t="shared" si="3"/>
        <v>178</v>
      </c>
      <c r="Q15" s="1" cm="1">
        <f t="array" ref="Q15">IMPLEMENTEDCOUNT('Trade Clearing BRD Requirements'!K2:K1985)</f>
        <v>149</v>
      </c>
      <c r="R15" s="71">
        <f t="shared" si="4"/>
        <v>0.8370786516853933</v>
      </c>
      <c r="S15" s="50">
        <f t="shared" si="5"/>
        <v>29</v>
      </c>
    </row>
    <row r="16" spans="2:19" x14ac:dyDescent="0.3">
      <c r="B16" s="97" t="s">
        <v>1899</v>
      </c>
      <c r="C16" s="52">
        <f>COUNTIF('Trade Clearing BRD Requirements'!AF:AF,"YES")</f>
        <v>456</v>
      </c>
      <c r="D16" s="1">
        <f>COUNTIFS('Trade Clearing BRD Requirements'!AF:AF,"Yes",'Trade Clearing BRD Requirements'!D:D,"YES")</f>
        <v>213</v>
      </c>
      <c r="E16" s="76">
        <f t="shared" si="1"/>
        <v>0.46710526315789475</v>
      </c>
      <c r="F16" s="1">
        <f>COUNTIFS('Trade Clearing BRD Requirements'!AF:AF,"Yes",'Trade Clearing BRD Requirements'!D:D,"No")</f>
        <v>59</v>
      </c>
      <c r="G16" s="48">
        <f>COUNTIFS('Trade Clearing BRD Requirements'!AF:AF,"Yes",'Trade Clearing BRD Requirements'!D:D,"N")</f>
        <v>184</v>
      </c>
      <c r="I16" s="55" t="s">
        <v>1899</v>
      </c>
      <c r="J16" s="45">
        <f t="shared" si="0"/>
        <v>213</v>
      </c>
      <c r="K16" s="1" cm="1">
        <f t="array" ref="K16">AUTOMATEDCOUNT('Trade Clearing BRD Requirements'!AF2:AF1985)</f>
        <v>0</v>
      </c>
      <c r="L16" s="71">
        <f t="shared" si="6"/>
        <v>0</v>
      </c>
      <c r="M16" s="50">
        <f t="shared" si="2"/>
        <v>213</v>
      </c>
      <c r="O16" s="66" t="s">
        <v>1899</v>
      </c>
      <c r="P16" s="45">
        <f t="shared" si="3"/>
        <v>0</v>
      </c>
      <c r="Q16" s="1" cm="1">
        <f t="array" ref="Q16">IMPLEMENTEDCOUNT('Trade Clearing BRD Requirements'!AF2:AF1985)</f>
        <v>0</v>
      </c>
      <c r="R16" s="71">
        <v>0</v>
      </c>
      <c r="S16" s="50">
        <f t="shared" si="5"/>
        <v>0</v>
      </c>
    </row>
    <row r="17" spans="2:19" x14ac:dyDescent="0.3">
      <c r="B17" s="55" t="s">
        <v>2331</v>
      </c>
      <c r="C17" s="52">
        <f>COUNTIF('Trade Clearing BRD Requirements'!AG:AG,"YES")</f>
        <v>435</v>
      </c>
      <c r="D17" s="1">
        <f>COUNTIFS('Trade Clearing BRD Requirements'!AG:AG,"Yes",'Trade Clearing BRD Requirements'!D:D,"YES")</f>
        <v>205</v>
      </c>
      <c r="E17" s="76">
        <f t="shared" si="1"/>
        <v>0.47126436781609193</v>
      </c>
      <c r="F17" s="1">
        <f>COUNTIFS('Trade Clearing BRD Requirements'!AG:AG,"Yes",'Trade Clearing BRD Requirements'!D:D,"No")</f>
        <v>59</v>
      </c>
      <c r="G17" s="48">
        <f>COUNTIFS('Trade Clearing BRD Requirements'!AG:AG,"Yes",'Trade Clearing BRD Requirements'!D:D,"N")</f>
        <v>171</v>
      </c>
      <c r="I17" s="55" t="s">
        <v>2331</v>
      </c>
      <c r="J17" s="45">
        <f t="shared" si="0"/>
        <v>205</v>
      </c>
      <c r="K17" s="1" cm="1">
        <f t="array" ref="K17">AUTOMATEDCOUNT('Trade Clearing BRD Requirements'!AG2:AG1985)</f>
        <v>70</v>
      </c>
      <c r="L17" s="71">
        <f t="shared" si="6"/>
        <v>0.34146341463414637</v>
      </c>
      <c r="M17" s="50">
        <f t="shared" si="2"/>
        <v>135</v>
      </c>
      <c r="O17" s="66" t="s">
        <v>2331</v>
      </c>
      <c r="P17" s="45">
        <f t="shared" si="3"/>
        <v>70</v>
      </c>
      <c r="Q17" s="1" cm="1">
        <f t="array" ref="Q17">IMPLEMENTEDCOUNT('Trade Clearing BRD Requirements'!AG2:AG1985)</f>
        <v>0</v>
      </c>
      <c r="R17" s="71">
        <v>0</v>
      </c>
      <c r="S17" s="50">
        <f t="shared" si="5"/>
        <v>70</v>
      </c>
    </row>
    <row r="18" spans="2:19" x14ac:dyDescent="0.3">
      <c r="B18" s="55" t="s">
        <v>2332</v>
      </c>
      <c r="C18" s="52">
        <f>COUNTIF('Trade Clearing BRD Requirements'!AH:AH,"YES")</f>
        <v>435</v>
      </c>
      <c r="D18" s="1">
        <f>COUNTIFS('Trade Clearing BRD Requirements'!AH:AH,"Yes",'Trade Clearing BRD Requirements'!D:D,"YES")</f>
        <v>205</v>
      </c>
      <c r="E18" s="76">
        <f t="shared" si="1"/>
        <v>0.47126436781609193</v>
      </c>
      <c r="F18" s="1">
        <f>COUNTIFS('Trade Clearing BRD Requirements'!AH:AH,"Yes",'Trade Clearing BRD Requirements'!D:D,"No")</f>
        <v>58</v>
      </c>
      <c r="G18" s="48">
        <f>COUNTIFS('Trade Clearing BRD Requirements'!AH:AH,"Yes",'Trade Clearing BRD Requirements'!D:D,"N")</f>
        <v>172</v>
      </c>
      <c r="I18" s="55" t="s">
        <v>2332</v>
      </c>
      <c r="J18" s="45">
        <f t="shared" si="0"/>
        <v>205</v>
      </c>
      <c r="K18" s="1" cm="1">
        <f t="array" ref="K18">AUTOMATEDCOUNT('Trade Clearing BRD Requirements'!AH2:AH1985)</f>
        <v>13</v>
      </c>
      <c r="L18" s="71">
        <f t="shared" si="6"/>
        <v>6.3414634146341464E-2</v>
      </c>
      <c r="M18" s="50">
        <f t="shared" si="2"/>
        <v>192</v>
      </c>
      <c r="O18" s="66" t="s">
        <v>2332</v>
      </c>
      <c r="P18" s="45">
        <f t="shared" si="3"/>
        <v>13</v>
      </c>
      <c r="Q18" s="1" cm="1">
        <f t="array" ref="Q18">IMPLEMENTEDCOUNT('Trade Clearing BRD Requirements'!AH2:AH1985)</f>
        <v>0</v>
      </c>
      <c r="R18" s="71">
        <v>0</v>
      </c>
      <c r="S18" s="50">
        <f t="shared" si="5"/>
        <v>13</v>
      </c>
    </row>
    <row r="19" spans="2:19" x14ac:dyDescent="0.3">
      <c r="B19" s="55" t="s">
        <v>2333</v>
      </c>
      <c r="C19" s="52">
        <f>COUNTIF('Trade Clearing BRD Requirements'!AJ:AJ,"YES")</f>
        <v>423</v>
      </c>
      <c r="D19" s="1">
        <f>COUNTIFS('Trade Clearing BRD Requirements'!AJ:AJ,"Yes",'Trade Clearing BRD Requirements'!D:D,"YES")</f>
        <v>201</v>
      </c>
      <c r="E19" s="76">
        <f t="shared" si="1"/>
        <v>0.47517730496453903</v>
      </c>
      <c r="F19" s="1">
        <f>COUNTIFS('Trade Clearing BRD Requirements'!AJ:AJ,"Yes",'Trade Clearing BRD Requirements'!D:D,"No")</f>
        <v>58</v>
      </c>
      <c r="G19" s="48">
        <f>COUNTIFS('Trade Clearing BRD Requirements'!AJ:AJ,"Yes",'Trade Clearing BRD Requirements'!D:D,"N")</f>
        <v>164</v>
      </c>
      <c r="I19" s="55" t="s">
        <v>2333</v>
      </c>
      <c r="J19" s="45">
        <f t="shared" si="0"/>
        <v>201</v>
      </c>
      <c r="K19" s="1" cm="1">
        <f t="array" ref="K19">AUTOMATEDCOUNT('Trade Clearing BRD Requirements'!AJ2:AJ1985)</f>
        <v>0</v>
      </c>
      <c r="L19" s="71">
        <f t="shared" si="6"/>
        <v>0</v>
      </c>
      <c r="M19" s="50">
        <f t="shared" si="2"/>
        <v>201</v>
      </c>
      <c r="O19" s="66" t="s">
        <v>2333</v>
      </c>
      <c r="P19" s="45">
        <f t="shared" si="3"/>
        <v>0</v>
      </c>
      <c r="Q19" s="1" cm="1">
        <f t="array" ref="Q19">IMPLEMENTEDCOUNT('Trade Clearing BRD Requirements'!AJ2:AJ1985)</f>
        <v>0</v>
      </c>
      <c r="R19" s="71">
        <v>0</v>
      </c>
      <c r="S19" s="50">
        <f t="shared" si="5"/>
        <v>0</v>
      </c>
    </row>
    <row r="20" spans="2:19" x14ac:dyDescent="0.3">
      <c r="B20" s="98" t="s">
        <v>2334</v>
      </c>
      <c r="C20" s="52">
        <f>COUNTIF('Trade Clearing BRD Requirements'!AK:AK,"YES")</f>
        <v>441</v>
      </c>
      <c r="D20" s="1">
        <f>COUNTIFS('Trade Clearing BRD Requirements'!AK:AK,"Yes",'Trade Clearing BRD Requirements'!D:D,"YES")</f>
        <v>201</v>
      </c>
      <c r="E20" s="76">
        <f t="shared" si="1"/>
        <v>0.45578231292517007</v>
      </c>
      <c r="F20" s="1">
        <f>COUNTIFS('Trade Clearing BRD Requirements'!AK:AK,"Yes",'Trade Clearing BRD Requirements'!D:D,"No")</f>
        <v>70</v>
      </c>
      <c r="G20" s="48">
        <f>COUNTIFS('Trade Clearing BRD Requirements'!AK:AK,"Yes",'Trade Clearing BRD Requirements'!D:D,"N")</f>
        <v>170</v>
      </c>
      <c r="I20" s="55" t="s">
        <v>2334</v>
      </c>
      <c r="J20" s="45">
        <f t="shared" si="0"/>
        <v>201</v>
      </c>
      <c r="K20" s="1" cm="1">
        <f t="array" ref="K20">AUTOMATEDCOUNT('Trade Clearing BRD Requirements'!AK2:AK1985)</f>
        <v>7</v>
      </c>
      <c r="L20" s="71">
        <f t="shared" si="6"/>
        <v>3.482587064676617E-2</v>
      </c>
      <c r="M20" s="50">
        <f t="shared" si="2"/>
        <v>194</v>
      </c>
      <c r="O20" s="66" t="s">
        <v>2334</v>
      </c>
      <c r="P20" s="45">
        <f t="shared" si="3"/>
        <v>7</v>
      </c>
      <c r="Q20" s="1" cm="1">
        <f t="array" ref="Q20">IMPLEMENTEDCOUNT('Trade Clearing BRD Requirements'!AK2:AK1985)</f>
        <v>0</v>
      </c>
      <c r="R20" s="71">
        <v>0</v>
      </c>
      <c r="S20" s="50">
        <f t="shared" si="5"/>
        <v>7</v>
      </c>
    </row>
    <row r="21" spans="2:19" x14ac:dyDescent="0.3">
      <c r="B21" s="98" t="s">
        <v>2335</v>
      </c>
      <c r="C21" s="52">
        <f>COUNTIF('Trade Clearing BRD Requirements'!AL:AL,"YES")</f>
        <v>441</v>
      </c>
      <c r="D21" s="1">
        <f>COUNTIFS('Trade Clearing BRD Requirements'!AL:AL,"Yes",'Trade Clearing BRD Requirements'!D:D,"YES")</f>
        <v>200</v>
      </c>
      <c r="E21" s="76">
        <f t="shared" si="1"/>
        <v>0.45351473922902497</v>
      </c>
      <c r="F21" s="1">
        <f>COUNTIFS('Trade Clearing BRD Requirements'!AL:AL,"Yes",'Trade Clearing BRD Requirements'!D:D,"No")</f>
        <v>70</v>
      </c>
      <c r="G21" s="48">
        <f>COUNTIFS('Trade Clearing BRD Requirements'!AL:AL,"Yes",'Trade Clearing BRD Requirements'!D:D,"N")</f>
        <v>171</v>
      </c>
      <c r="I21" s="55" t="s">
        <v>2335</v>
      </c>
      <c r="J21" s="45">
        <f t="shared" si="0"/>
        <v>200</v>
      </c>
      <c r="K21" s="1" cm="1">
        <f t="array" ref="K21">AUTOMATEDCOUNT('Trade Clearing BRD Requirements'!AL2:AL1985)</f>
        <v>8</v>
      </c>
      <c r="L21" s="71">
        <f t="shared" si="6"/>
        <v>0.04</v>
      </c>
      <c r="M21" s="50">
        <f t="shared" si="2"/>
        <v>192</v>
      </c>
      <c r="O21" s="66" t="s">
        <v>2335</v>
      </c>
      <c r="P21" s="45">
        <f t="shared" si="3"/>
        <v>8</v>
      </c>
      <c r="Q21" s="1" cm="1">
        <f t="array" ref="Q21">IMPLEMENTEDCOUNT('Trade Clearing BRD Requirements'!AL2:AL1985)</f>
        <v>0</v>
      </c>
      <c r="R21" s="71">
        <v>0</v>
      </c>
      <c r="S21" s="50">
        <f t="shared" si="5"/>
        <v>8</v>
      </c>
    </row>
    <row r="22" spans="2:19" x14ac:dyDescent="0.3">
      <c r="B22" s="55" t="s">
        <v>1283</v>
      </c>
      <c r="C22" s="52">
        <f>COUNTIF('Trade Clearing BRD Requirements'!AM:AM,"YES")</f>
        <v>422</v>
      </c>
      <c r="D22" s="1">
        <f>COUNTIFS('Trade Clearing BRD Requirements'!AM:AM,"Yes",'Trade Clearing BRD Requirements'!D:D,"YES")</f>
        <v>179</v>
      </c>
      <c r="E22" s="76">
        <f t="shared" si="1"/>
        <v>0.42417061611374407</v>
      </c>
      <c r="F22" s="1">
        <f>COUNTIFS('Trade Clearing BRD Requirements'!AM:AM,"Yes",'Trade Clearing BRD Requirements'!D:D,"No")</f>
        <v>64</v>
      </c>
      <c r="G22" s="48">
        <f>COUNTIFS('Trade Clearing BRD Requirements'!AM:AM,"Yes",'Trade Clearing BRD Requirements'!D:D,"N")</f>
        <v>179</v>
      </c>
      <c r="I22" s="55" t="s">
        <v>1283</v>
      </c>
      <c r="J22" s="45">
        <f t="shared" si="0"/>
        <v>179</v>
      </c>
      <c r="K22" s="1" cm="1">
        <f t="array" ref="K22">AUTOMATEDCOUNT('Trade Clearing BRD Requirements'!AM2:AM1985)</f>
        <v>1</v>
      </c>
      <c r="L22" s="71">
        <f t="shared" si="6"/>
        <v>5.5865921787709499E-3</v>
      </c>
      <c r="M22" s="50">
        <f t="shared" si="2"/>
        <v>178</v>
      </c>
      <c r="O22" s="66" t="s">
        <v>1283</v>
      </c>
      <c r="P22" s="45">
        <f t="shared" si="3"/>
        <v>1</v>
      </c>
      <c r="Q22" s="1" cm="1">
        <f t="array" ref="Q22">IMPLEMENTEDCOUNT('Trade Clearing BRD Requirements'!AM2:AM1985)</f>
        <v>0</v>
      </c>
      <c r="R22" s="71">
        <v>0</v>
      </c>
      <c r="S22" s="50">
        <f t="shared" si="5"/>
        <v>1</v>
      </c>
    </row>
    <row r="23" spans="2:19" x14ac:dyDescent="0.3">
      <c r="B23" s="55" t="s">
        <v>2246</v>
      </c>
      <c r="C23" s="52">
        <f>COUNTIF('Trade Clearing BRD Requirements'!AP:AP,"YES")</f>
        <v>403</v>
      </c>
      <c r="D23" s="1">
        <f>COUNTIFS('Trade Clearing BRD Requirements'!AP:AP,"Yes",'Trade Clearing BRD Requirements'!D:D,"YES")</f>
        <v>181</v>
      </c>
      <c r="E23" s="76">
        <f t="shared" si="1"/>
        <v>0.4491315136476427</v>
      </c>
      <c r="F23" s="1">
        <f>COUNTIFS('Trade Clearing BRD Requirements'!AP:AP,"Yes",'Trade Clearing BRD Requirements'!D:D,"No")</f>
        <v>57</v>
      </c>
      <c r="G23" s="48">
        <f>COUNTIFS('Trade Clearing BRD Requirements'!AP:AP,"Yes",'Trade Clearing BRD Requirements'!D:D,"N")</f>
        <v>165</v>
      </c>
      <c r="I23" s="55" t="s">
        <v>2246</v>
      </c>
      <c r="J23" s="45">
        <f t="shared" si="0"/>
        <v>181</v>
      </c>
      <c r="K23" s="1" cm="1">
        <f t="array" ref="K23">AUTOMATEDCOUNT('Trade Clearing BRD Requirements'!AP2:AP1985)</f>
        <v>0</v>
      </c>
      <c r="L23" s="71">
        <f t="shared" si="6"/>
        <v>0</v>
      </c>
      <c r="M23" s="50">
        <f t="shared" si="2"/>
        <v>181</v>
      </c>
      <c r="O23" s="66" t="s">
        <v>2246</v>
      </c>
      <c r="P23" s="45">
        <f t="shared" si="3"/>
        <v>0</v>
      </c>
      <c r="Q23" s="1" cm="1">
        <f t="array" ref="Q23">IMPLEMENTEDCOUNT('Trade Clearing BRD Requirements'!AP2:AP1985)</f>
        <v>0</v>
      </c>
      <c r="R23" s="71">
        <v>0</v>
      </c>
      <c r="S23" s="50">
        <f t="shared" si="5"/>
        <v>0</v>
      </c>
    </row>
    <row r="24" spans="2:19" x14ac:dyDescent="0.3">
      <c r="B24" s="55" t="s">
        <v>2247</v>
      </c>
      <c r="C24" s="52">
        <f>COUNTIF('Trade Clearing BRD Requirements'!AQ:AQ,"YES")</f>
        <v>404</v>
      </c>
      <c r="D24" s="1">
        <f>COUNTIFS('Trade Clearing BRD Requirements'!AQ:AQ,"Yes",'Trade Clearing BRD Requirements'!D:D,"YES")</f>
        <v>181</v>
      </c>
      <c r="E24" s="76">
        <f t="shared" si="1"/>
        <v>0.44801980198019803</v>
      </c>
      <c r="F24" s="1">
        <f>COUNTIFS('Trade Clearing BRD Requirements'!AQ:AQ,"Yes",'Trade Clearing BRD Requirements'!D:D,"No")</f>
        <v>57</v>
      </c>
      <c r="G24" s="48">
        <f>COUNTIFS('Trade Clearing BRD Requirements'!AQ:AQ,"Yes",'Trade Clearing BRD Requirements'!D:D,"N")</f>
        <v>166</v>
      </c>
      <c r="I24" s="55" t="s">
        <v>2247</v>
      </c>
      <c r="J24" s="45">
        <f t="shared" si="0"/>
        <v>181</v>
      </c>
      <c r="K24" s="1" cm="1">
        <f t="array" ref="K24">AUTOMATEDCOUNT('Trade Clearing BRD Requirements'!AQ2:AQ1985)</f>
        <v>0</v>
      </c>
      <c r="L24" s="71">
        <f t="shared" si="6"/>
        <v>0</v>
      </c>
      <c r="M24" s="50">
        <f t="shared" si="2"/>
        <v>181</v>
      </c>
      <c r="O24" s="66" t="s">
        <v>2247</v>
      </c>
      <c r="P24" s="45">
        <f t="shared" si="3"/>
        <v>0</v>
      </c>
      <c r="Q24" s="1" cm="1">
        <f t="array" ref="Q24">IMPLEMENTEDCOUNT('Trade Clearing BRD Requirements'!AQ2:AQ1985)</f>
        <v>0</v>
      </c>
      <c r="R24" s="71">
        <v>0</v>
      </c>
      <c r="S24" s="50">
        <f t="shared" si="5"/>
        <v>0</v>
      </c>
    </row>
    <row r="25" spans="2:19" x14ac:dyDescent="0.3">
      <c r="B25" s="99" t="s">
        <v>1898</v>
      </c>
      <c r="C25" s="52">
        <f>COUNTIF('Trade Clearing BRD Requirements'!AR:AR,"YES")</f>
        <v>407</v>
      </c>
      <c r="D25" s="1">
        <f>COUNTIFS('Trade Clearing BRD Requirements'!AR:AR,"Yes",'Trade Clearing BRD Requirements'!D:D,"YES")</f>
        <v>181</v>
      </c>
      <c r="E25" s="76">
        <f t="shared" si="1"/>
        <v>0.44471744471744473</v>
      </c>
      <c r="F25" s="1">
        <f>COUNTIFS('Trade Clearing BRD Requirements'!AR:AR,"Yes",'Trade Clearing BRD Requirements'!D:D,"No")</f>
        <v>58</v>
      </c>
      <c r="G25" s="48">
        <f>COUNTIFS('Trade Clearing BRD Requirements'!AR:AR,"Yes",'Trade Clearing BRD Requirements'!D:D,"N")</f>
        <v>168</v>
      </c>
      <c r="I25" s="55" t="s">
        <v>1898</v>
      </c>
      <c r="J25" s="45">
        <f t="shared" si="0"/>
        <v>181</v>
      </c>
      <c r="K25" s="1" cm="1">
        <f t="array" ref="K25">AUTOMATEDCOUNT('Trade Clearing BRD Requirements'!AR2:AR1985)</f>
        <v>0</v>
      </c>
      <c r="L25" s="71">
        <f t="shared" si="6"/>
        <v>0</v>
      </c>
      <c r="M25" s="50">
        <f t="shared" si="2"/>
        <v>181</v>
      </c>
      <c r="O25" s="66" t="s">
        <v>1898</v>
      </c>
      <c r="P25" s="45">
        <f t="shared" si="3"/>
        <v>0</v>
      </c>
      <c r="Q25" s="1" cm="1">
        <f t="array" ref="Q25">IMPLEMENTEDCOUNT('Trade Clearing BRD Requirements'!AR2:AR1985)</f>
        <v>0</v>
      </c>
      <c r="R25" s="71">
        <v>0</v>
      </c>
      <c r="S25" s="50">
        <f t="shared" si="5"/>
        <v>0</v>
      </c>
    </row>
    <row r="26" spans="2:19" x14ac:dyDescent="0.3">
      <c r="B26" s="55" t="s">
        <v>190</v>
      </c>
      <c r="C26" s="52">
        <f>COUNTIF('Trade Clearing BRD Requirements'!AS:AS,"YES")</f>
        <v>407</v>
      </c>
      <c r="D26" s="1">
        <f>COUNTIFS('Trade Clearing BRD Requirements'!AS:AS,"Yes",'Trade Clearing BRD Requirements'!D:D,"YES")</f>
        <v>181</v>
      </c>
      <c r="E26" s="76">
        <f t="shared" si="1"/>
        <v>0.44471744471744473</v>
      </c>
      <c r="F26" s="1">
        <f>COUNTIFS('Trade Clearing BRD Requirements'!AS:AS,"Yes",'Trade Clearing BRD Requirements'!D:D,"No")</f>
        <v>58</v>
      </c>
      <c r="G26" s="48">
        <f>COUNTIFS('Trade Clearing BRD Requirements'!AS:AS,"Yes",'Trade Clearing BRD Requirements'!D:D,"N")</f>
        <v>168</v>
      </c>
      <c r="I26" s="55" t="s">
        <v>190</v>
      </c>
      <c r="J26" s="45">
        <f t="shared" si="0"/>
        <v>181</v>
      </c>
      <c r="K26" s="1" cm="1">
        <f t="array" ref="K26">AUTOMATEDCOUNT('Trade Clearing BRD Requirements'!AS2:AS1985)</f>
        <v>111</v>
      </c>
      <c r="L26" s="71">
        <f t="shared" si="6"/>
        <v>0.61325966850828728</v>
      </c>
      <c r="M26" s="50">
        <f t="shared" si="2"/>
        <v>70</v>
      </c>
      <c r="O26" s="114" t="s">
        <v>190</v>
      </c>
      <c r="P26" s="45">
        <f t="shared" si="3"/>
        <v>111</v>
      </c>
      <c r="Q26" s="1" cm="1">
        <f t="array" ref="Q26">IMPLEMENTEDCOUNT('Trade Clearing BRD Requirements'!AS2:AS1985)</f>
        <v>108</v>
      </c>
      <c r="R26" s="71">
        <f t="shared" si="4"/>
        <v>0.97297297297297303</v>
      </c>
      <c r="S26" s="50">
        <f t="shared" si="5"/>
        <v>3</v>
      </c>
    </row>
    <row r="27" spans="2:19" x14ac:dyDescent="0.3">
      <c r="B27" s="55" t="s">
        <v>954</v>
      </c>
      <c r="C27" s="52">
        <f>COUNTIF('Trade Clearing BRD Requirements'!AT:AT,"YES")</f>
        <v>411</v>
      </c>
      <c r="D27" s="1">
        <f>COUNTIFS('Trade Clearing BRD Requirements'!AT:AT,"Yes",'Trade Clearing BRD Requirements'!D:D,"YES")</f>
        <v>184</v>
      </c>
      <c r="E27" s="76">
        <f t="shared" si="1"/>
        <v>0.44768856447688565</v>
      </c>
      <c r="F27" s="1">
        <f>COUNTIFS('Trade Clearing BRD Requirements'!AT:AT,"Yes",'Trade Clearing BRD Requirements'!D:D,"No")</f>
        <v>58</v>
      </c>
      <c r="G27" s="48">
        <f>COUNTIFS('Trade Clearing BRD Requirements'!AT:AT,"Yes",'Trade Clearing BRD Requirements'!D:D,"N")</f>
        <v>169</v>
      </c>
      <c r="I27" s="55" t="s">
        <v>954</v>
      </c>
      <c r="J27" s="45">
        <f t="shared" si="0"/>
        <v>184</v>
      </c>
      <c r="K27" s="1" cm="1">
        <f t="array" ref="K27">AUTOMATEDCOUNT('Trade Clearing BRD Requirements'!AT2:AT1985)</f>
        <v>103</v>
      </c>
      <c r="L27" s="71">
        <f t="shared" si="6"/>
        <v>0.55978260869565222</v>
      </c>
      <c r="M27" s="50">
        <f t="shared" si="2"/>
        <v>81</v>
      </c>
      <c r="O27" s="114" t="s">
        <v>954</v>
      </c>
      <c r="P27" s="45">
        <f t="shared" si="3"/>
        <v>103</v>
      </c>
      <c r="Q27" s="1" cm="1">
        <f t="array" ref="Q27">IMPLEMENTEDCOUNT('Trade Clearing BRD Requirements'!AT2:AT1985)</f>
        <v>98</v>
      </c>
      <c r="R27" s="71">
        <f t="shared" si="4"/>
        <v>0.95145631067961167</v>
      </c>
      <c r="S27" s="50">
        <f t="shared" si="5"/>
        <v>5</v>
      </c>
    </row>
    <row r="28" spans="2:19" x14ac:dyDescent="0.3">
      <c r="B28" s="60" t="s">
        <v>2428</v>
      </c>
      <c r="C28" s="68">
        <f>COUNTIF('Trade Clearing BRD Requirements'!AV:AV,"YES")</f>
        <v>375</v>
      </c>
      <c r="D28" s="1">
        <f>COUNTIFS('Trade Clearing BRD Requirements'!AV:AV,"Yes",'Trade Clearing BRD Requirements'!D:D,"YES")</f>
        <v>181</v>
      </c>
      <c r="E28" s="76">
        <f t="shared" si="1"/>
        <v>0.48266666666666669</v>
      </c>
      <c r="F28" s="1">
        <f>COUNTIFS('Trade Clearing BRD Requirements'!AV:AV,"Yes",'Trade Clearing BRD Requirements'!D:D,"No")</f>
        <v>47</v>
      </c>
      <c r="G28" s="48">
        <f>COUNTIFS('Trade Clearing BRD Requirements'!AV:AV,"Yes",'Trade Clearing BRD Requirements'!D:D,"N")</f>
        <v>147</v>
      </c>
      <c r="I28" s="60" t="s">
        <v>2428</v>
      </c>
      <c r="J28" s="45">
        <f t="shared" si="0"/>
        <v>181</v>
      </c>
      <c r="K28" s="1" cm="1">
        <f t="array" ref="K28">AUTOMATEDCOUNT('Trade Clearing BRD Requirements'!AV2:AV1985)</f>
        <v>0</v>
      </c>
      <c r="L28" s="71">
        <f t="shared" si="6"/>
        <v>0</v>
      </c>
      <c r="M28" s="50">
        <f t="shared" si="2"/>
        <v>181</v>
      </c>
      <c r="O28" s="66" t="s">
        <v>2428</v>
      </c>
      <c r="P28" s="45">
        <f t="shared" si="3"/>
        <v>0</v>
      </c>
      <c r="Q28" s="63" cm="1">
        <f t="array" ref="Q28">IMPLEMENTEDCOUNT('Trade Clearing BRD Requirements'!AV2:AV1985)</f>
        <v>0</v>
      </c>
      <c r="R28" s="71">
        <v>0</v>
      </c>
      <c r="S28" s="50">
        <f t="shared" si="5"/>
        <v>0</v>
      </c>
    </row>
    <row r="29" spans="2:19" ht="15" thickBot="1" x14ac:dyDescent="0.35">
      <c r="B29" s="56" t="s">
        <v>1121</v>
      </c>
      <c r="C29" s="68">
        <f>COUNTIF('Trade Clearing BRD Requirements'!AU:AU,"YES")</f>
        <v>0</v>
      </c>
      <c r="D29" s="63">
        <f>COUNTIFS('Trade Clearing BRD Requirements'!AU:AU,"Yes",'Trade Clearing BRD Requirements'!D:D,"YES")</f>
        <v>0</v>
      </c>
      <c r="E29" s="77"/>
      <c r="F29" s="63">
        <f>COUNTIFS('Trade Clearing BRD Requirements'!AU:AU,"Yes",'Trade Clearing BRD Requirements'!D:D,"No")</f>
        <v>0</v>
      </c>
      <c r="G29" s="69">
        <f>COUNTIFS('Trade Clearing BRD Requirements'!AU:AU,"Yes",'Trade Clearing BRD Requirements'!D:D,"N")</f>
        <v>0</v>
      </c>
      <c r="I29" s="60" t="s">
        <v>1121</v>
      </c>
      <c r="J29" s="62">
        <f t="shared" si="0"/>
        <v>0</v>
      </c>
      <c r="K29" s="63" cm="1">
        <f t="array" ref="K29">AUTOMATEDCOUNT('Trade Clearing BRD Requirements'!AU2:AU1985)</f>
        <v>0</v>
      </c>
      <c r="L29" s="79"/>
      <c r="M29" s="64">
        <f t="shared" si="2"/>
        <v>0</v>
      </c>
      <c r="O29" s="66" t="s">
        <v>1121</v>
      </c>
      <c r="P29" s="45">
        <f t="shared" si="3"/>
        <v>0</v>
      </c>
      <c r="Q29" s="63" cm="1">
        <f t="array" ref="Q29">IMPLEMENTEDCOUNT('Trade Clearing BRD Requirements'!AU2:AU1985)</f>
        <v>0</v>
      </c>
      <c r="R29" s="71">
        <v>0</v>
      </c>
      <c r="S29" s="50">
        <f t="shared" si="5"/>
        <v>0</v>
      </c>
    </row>
    <row r="30" spans="2:19" ht="15" thickBot="1" x14ac:dyDescent="0.35">
      <c r="B30" s="57" t="s">
        <v>2325</v>
      </c>
      <c r="C30" s="51">
        <f xml:space="preserve"> SUM(C3:C29)</f>
        <v>11349</v>
      </c>
      <c r="D30" s="46">
        <f xml:space="preserve"> SUM(D3:D29)</f>
        <v>5172</v>
      </c>
      <c r="E30" s="78">
        <f t="shared" si="1"/>
        <v>0.4557229711868887</v>
      </c>
      <c r="F30" s="46">
        <f xml:space="preserve"> SUM(F3:F29)</f>
        <v>1494</v>
      </c>
      <c r="G30" s="47">
        <f xml:space="preserve"> SUM(G3:G29)</f>
        <v>4683</v>
      </c>
      <c r="I30" s="57" t="s">
        <v>2325</v>
      </c>
      <c r="J30" s="53">
        <f xml:space="preserve"> SUM(J3:J29)</f>
        <v>5172</v>
      </c>
      <c r="K30" s="53">
        <f xml:space="preserve"> SUM(K3:K29)</f>
        <v>2586</v>
      </c>
      <c r="L30" s="80">
        <f t="shared" si="6"/>
        <v>0.5</v>
      </c>
      <c r="M30" s="58">
        <f xml:space="preserve"> SUM(M3:M29)</f>
        <v>2586</v>
      </c>
      <c r="O30" s="67" t="s">
        <v>2325</v>
      </c>
      <c r="P30" s="53">
        <f xml:space="preserve"> SUM(P3:P29)</f>
        <v>2586</v>
      </c>
      <c r="Q30" s="53">
        <f t="shared" ref="Q30:S30" si="7" xml:space="preserve"> SUM(Q3:Q29)</f>
        <v>2345</v>
      </c>
      <c r="R30" s="73">
        <f>Q30/P30</f>
        <v>0.90680587780355759</v>
      </c>
      <c r="S30" s="58">
        <f t="shared" si="7"/>
        <v>241</v>
      </c>
    </row>
  </sheetData>
  <mergeCells count="3">
    <mergeCell ref="C1:F1"/>
    <mergeCell ref="J1:L1"/>
    <mergeCell ref="P1:R1"/>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10CF68-17B1-4193-8C60-DB3BDA1D8A36}">
  <sheetPr codeName="Sheet4"/>
  <dimension ref="A1:C12"/>
  <sheetViews>
    <sheetView workbookViewId="0">
      <selection activeCell="C1" sqref="C1"/>
    </sheetView>
  </sheetViews>
  <sheetFormatPr defaultRowHeight="14.4" x14ac:dyDescent="0.3"/>
  <cols>
    <col min="1" max="1" width="21" bestFit="1" customWidth="1"/>
    <col min="2" max="2" width="22.44140625" bestFit="1" customWidth="1"/>
  </cols>
  <sheetData>
    <row r="1" spans="1:3" x14ac:dyDescent="0.3">
      <c r="A1" s="1" t="s">
        <v>2325</v>
      </c>
      <c r="B1" s="1">
        <v>11545</v>
      </c>
      <c r="C1" s="1"/>
    </row>
    <row r="2" spans="1:3" x14ac:dyDescent="0.3">
      <c r="A2" s="1" t="s">
        <v>2323</v>
      </c>
      <c r="B2" s="1">
        <v>5368</v>
      </c>
      <c r="C2" s="116">
        <f>B2/$B$1</f>
        <v>0.464963187527068</v>
      </c>
    </row>
    <row r="3" spans="1:3" x14ac:dyDescent="0.3">
      <c r="A3" s="1" t="s">
        <v>2324</v>
      </c>
      <c r="B3" s="1">
        <v>1494</v>
      </c>
      <c r="C3" s="116">
        <f t="shared" ref="C3:C4" si="0">B3/$B$1</f>
        <v>0.12940666955391944</v>
      </c>
    </row>
    <row r="4" spans="1:3" x14ac:dyDescent="0.3">
      <c r="A4" s="1" t="s">
        <v>2328</v>
      </c>
      <c r="B4" s="1">
        <v>4683</v>
      </c>
      <c r="C4" s="116">
        <f t="shared" si="0"/>
        <v>0.40563014291901256</v>
      </c>
    </row>
    <row r="5" spans="1:3" x14ac:dyDescent="0.3">
      <c r="C5" s="115"/>
    </row>
    <row r="6" spans="1:3" x14ac:dyDescent="0.3">
      <c r="A6" s="1" t="s">
        <v>3169</v>
      </c>
      <c r="B6" s="1">
        <v>5368</v>
      </c>
      <c r="C6" s="116"/>
    </row>
    <row r="7" spans="1:3" x14ac:dyDescent="0.3">
      <c r="A7" s="1" t="s">
        <v>2338</v>
      </c>
      <c r="B7" s="1">
        <v>2778</v>
      </c>
      <c r="C7" s="116">
        <f t="shared" ref="C7:C8" si="1">B7/$B$6</f>
        <v>0.51751117734724295</v>
      </c>
    </row>
    <row r="8" spans="1:3" x14ac:dyDescent="0.3">
      <c r="A8" s="1" t="s">
        <v>3167</v>
      </c>
      <c r="B8" s="1">
        <v>2590</v>
      </c>
      <c r="C8" s="116">
        <f t="shared" si="1"/>
        <v>0.48248882265275705</v>
      </c>
    </row>
    <row r="9" spans="1:3" x14ac:dyDescent="0.3">
      <c r="A9" t="s">
        <v>3170</v>
      </c>
      <c r="C9" s="115"/>
    </row>
    <row r="10" spans="1:3" x14ac:dyDescent="0.3">
      <c r="A10" s="1" t="s">
        <v>3171</v>
      </c>
      <c r="B10" s="1">
        <v>2778</v>
      </c>
      <c r="C10" s="116"/>
    </row>
    <row r="11" spans="1:3" x14ac:dyDescent="0.3">
      <c r="A11" s="1" t="s">
        <v>3168</v>
      </c>
      <c r="B11" s="1">
        <v>2532</v>
      </c>
      <c r="C11" s="116">
        <f t="shared" ref="C11:C12" si="2">B11/$B$10</f>
        <v>0.91144708423326137</v>
      </c>
    </row>
    <row r="12" spans="1:3" x14ac:dyDescent="0.3">
      <c r="A12" s="1" t="s">
        <v>2327</v>
      </c>
      <c r="B12" s="1">
        <v>246</v>
      </c>
      <c r="C12" s="116">
        <f t="shared" si="2"/>
        <v>8.8552915766738655E-2</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5E4FD0-ECA0-4433-BD24-CB4086507308}">
  <sheetPr codeName="Sheet5"/>
  <dimension ref="A3:E31"/>
  <sheetViews>
    <sheetView workbookViewId="0">
      <selection activeCell="L25" sqref="L25"/>
    </sheetView>
  </sheetViews>
  <sheetFormatPr defaultRowHeight="14.4" x14ac:dyDescent="0.3"/>
  <cols>
    <col min="1" max="1" width="14.88671875" bestFit="1" customWidth="1"/>
    <col min="2" max="2" width="9.88671875" bestFit="1" customWidth="1"/>
    <col min="3" max="3" width="12.5546875" bestFit="1" customWidth="1"/>
    <col min="4" max="4" width="16.109375" bestFit="1" customWidth="1"/>
    <col min="5" max="5" width="10.5546875" bestFit="1" customWidth="1"/>
  </cols>
  <sheetData>
    <row r="3" spans="1:5" x14ac:dyDescent="0.3">
      <c r="A3" s="111" t="s">
        <v>3156</v>
      </c>
      <c r="B3" t="s">
        <v>3158</v>
      </c>
      <c r="C3" t="s">
        <v>3159</v>
      </c>
      <c r="D3" t="s">
        <v>3160</v>
      </c>
      <c r="E3" t="s">
        <v>3161</v>
      </c>
    </row>
    <row r="4" spans="1:5" x14ac:dyDescent="0.3">
      <c r="A4" s="112" t="s">
        <v>1841</v>
      </c>
      <c r="B4">
        <v>378</v>
      </c>
      <c r="C4">
        <v>171</v>
      </c>
      <c r="D4">
        <v>54</v>
      </c>
      <c r="E4">
        <v>153</v>
      </c>
    </row>
    <row r="5" spans="1:5" x14ac:dyDescent="0.3">
      <c r="A5" s="112" t="s">
        <v>2283</v>
      </c>
      <c r="B5">
        <v>325</v>
      </c>
      <c r="C5">
        <v>133</v>
      </c>
      <c r="D5">
        <v>56</v>
      </c>
      <c r="E5">
        <v>136</v>
      </c>
    </row>
    <row r="6" spans="1:5" x14ac:dyDescent="0.3">
      <c r="A6" s="112" t="s">
        <v>6</v>
      </c>
      <c r="B6">
        <v>463</v>
      </c>
      <c r="C6">
        <v>244</v>
      </c>
      <c r="D6">
        <v>56</v>
      </c>
      <c r="E6">
        <v>163</v>
      </c>
    </row>
    <row r="7" spans="1:5" x14ac:dyDescent="0.3">
      <c r="A7" s="112" t="s">
        <v>7</v>
      </c>
      <c r="B7">
        <v>468</v>
      </c>
      <c r="C7">
        <v>247</v>
      </c>
      <c r="D7">
        <v>56</v>
      </c>
      <c r="E7">
        <v>165</v>
      </c>
    </row>
    <row r="8" spans="1:5" x14ac:dyDescent="0.3">
      <c r="A8" s="112" t="s">
        <v>5</v>
      </c>
      <c r="B8">
        <v>455</v>
      </c>
      <c r="C8">
        <v>239</v>
      </c>
      <c r="D8">
        <v>56</v>
      </c>
      <c r="E8">
        <v>160</v>
      </c>
    </row>
    <row r="9" spans="1:5" x14ac:dyDescent="0.3">
      <c r="A9" s="112" t="s">
        <v>1899</v>
      </c>
      <c r="B9">
        <v>456</v>
      </c>
      <c r="C9">
        <v>213</v>
      </c>
      <c r="D9">
        <v>59</v>
      </c>
      <c r="E9">
        <v>184</v>
      </c>
    </row>
    <row r="10" spans="1:5" x14ac:dyDescent="0.3">
      <c r="A10" s="112" t="s">
        <v>2329</v>
      </c>
      <c r="B10">
        <v>533</v>
      </c>
      <c r="C10">
        <v>238</v>
      </c>
      <c r="D10">
        <v>59</v>
      </c>
      <c r="E10">
        <v>236</v>
      </c>
    </row>
    <row r="11" spans="1:5" x14ac:dyDescent="0.3">
      <c r="A11" s="112" t="s">
        <v>954</v>
      </c>
      <c r="B11">
        <v>411</v>
      </c>
      <c r="C11">
        <v>184</v>
      </c>
      <c r="D11">
        <v>58</v>
      </c>
      <c r="E11">
        <v>169</v>
      </c>
    </row>
    <row r="12" spans="1:5" x14ac:dyDescent="0.3">
      <c r="A12" s="112" t="s">
        <v>2333</v>
      </c>
      <c r="B12">
        <v>423</v>
      </c>
      <c r="C12">
        <v>201</v>
      </c>
      <c r="D12">
        <v>58</v>
      </c>
      <c r="E12">
        <v>164</v>
      </c>
    </row>
    <row r="13" spans="1:5" x14ac:dyDescent="0.3">
      <c r="A13" s="112" t="s">
        <v>2093</v>
      </c>
      <c r="B13">
        <v>531</v>
      </c>
      <c r="C13">
        <v>246</v>
      </c>
      <c r="D13">
        <v>57</v>
      </c>
      <c r="E13">
        <v>228</v>
      </c>
    </row>
    <row r="14" spans="1:5" x14ac:dyDescent="0.3">
      <c r="A14" s="112" t="s">
        <v>2094</v>
      </c>
      <c r="B14">
        <v>531</v>
      </c>
      <c r="C14">
        <v>246</v>
      </c>
      <c r="D14">
        <v>57</v>
      </c>
      <c r="E14">
        <v>228</v>
      </c>
    </row>
    <row r="15" spans="1:5" x14ac:dyDescent="0.3">
      <c r="A15" s="112" t="s">
        <v>2095</v>
      </c>
      <c r="B15">
        <v>539</v>
      </c>
      <c r="C15">
        <v>246</v>
      </c>
      <c r="D15">
        <v>57</v>
      </c>
      <c r="E15">
        <v>236</v>
      </c>
    </row>
    <row r="16" spans="1:5" x14ac:dyDescent="0.3">
      <c r="A16" s="112" t="s">
        <v>2408</v>
      </c>
      <c r="B16">
        <v>537</v>
      </c>
      <c r="C16">
        <v>243</v>
      </c>
      <c r="D16">
        <v>44</v>
      </c>
      <c r="E16">
        <v>250</v>
      </c>
    </row>
    <row r="17" spans="1:5" x14ac:dyDescent="0.3">
      <c r="A17" s="112" t="s">
        <v>2096</v>
      </c>
      <c r="B17">
        <v>539</v>
      </c>
      <c r="C17">
        <v>246</v>
      </c>
      <c r="D17">
        <v>57</v>
      </c>
      <c r="E17">
        <v>236</v>
      </c>
    </row>
    <row r="18" spans="1:5" x14ac:dyDescent="0.3">
      <c r="A18" s="112" t="s">
        <v>1898</v>
      </c>
      <c r="B18">
        <v>407</v>
      </c>
      <c r="C18">
        <v>181</v>
      </c>
      <c r="D18">
        <v>58</v>
      </c>
      <c r="E18">
        <v>168</v>
      </c>
    </row>
    <row r="19" spans="1:5" x14ac:dyDescent="0.3">
      <c r="A19" s="112" t="s">
        <v>1283</v>
      </c>
      <c r="B19">
        <v>422</v>
      </c>
      <c r="C19">
        <v>179</v>
      </c>
      <c r="D19">
        <v>64</v>
      </c>
      <c r="E19">
        <v>179</v>
      </c>
    </row>
    <row r="20" spans="1:5" x14ac:dyDescent="0.3">
      <c r="A20" s="112" t="s">
        <v>2335</v>
      </c>
      <c r="B20">
        <v>441</v>
      </c>
      <c r="C20">
        <v>200</v>
      </c>
      <c r="D20">
        <v>70</v>
      </c>
      <c r="E20">
        <v>171</v>
      </c>
    </row>
    <row r="21" spans="1:5" x14ac:dyDescent="0.3">
      <c r="A21" s="112" t="s">
        <v>2331</v>
      </c>
      <c r="B21">
        <v>435</v>
      </c>
      <c r="C21">
        <v>205</v>
      </c>
      <c r="D21">
        <v>59</v>
      </c>
      <c r="E21">
        <v>171</v>
      </c>
    </row>
    <row r="22" spans="1:5" x14ac:dyDescent="0.3">
      <c r="A22" s="112" t="s">
        <v>2334</v>
      </c>
      <c r="B22">
        <v>441</v>
      </c>
      <c r="C22">
        <v>201</v>
      </c>
      <c r="D22">
        <v>70</v>
      </c>
      <c r="E22">
        <v>170</v>
      </c>
    </row>
    <row r="23" spans="1:5" x14ac:dyDescent="0.3">
      <c r="A23" s="112" t="s">
        <v>2332</v>
      </c>
      <c r="B23">
        <v>435</v>
      </c>
      <c r="C23">
        <v>205</v>
      </c>
      <c r="D23">
        <v>58</v>
      </c>
      <c r="E23">
        <v>172</v>
      </c>
    </row>
    <row r="24" spans="1:5" x14ac:dyDescent="0.3">
      <c r="A24" s="112" t="s">
        <v>1121</v>
      </c>
      <c r="B24">
        <v>0</v>
      </c>
      <c r="C24">
        <v>0</v>
      </c>
      <c r="D24">
        <v>0</v>
      </c>
      <c r="E24">
        <v>0</v>
      </c>
    </row>
    <row r="25" spans="1:5" x14ac:dyDescent="0.3">
      <c r="A25" s="112" t="s">
        <v>4</v>
      </c>
      <c r="B25">
        <v>456</v>
      </c>
      <c r="C25">
        <v>240</v>
      </c>
      <c r="D25">
        <v>56</v>
      </c>
      <c r="E25">
        <v>160</v>
      </c>
    </row>
    <row r="26" spans="1:5" x14ac:dyDescent="0.3">
      <c r="A26" s="112" t="s">
        <v>3</v>
      </c>
      <c r="B26">
        <v>330</v>
      </c>
      <c r="C26">
        <v>136</v>
      </c>
      <c r="D26">
        <v>56</v>
      </c>
      <c r="E26">
        <v>138</v>
      </c>
    </row>
    <row r="27" spans="1:5" x14ac:dyDescent="0.3">
      <c r="A27" s="112" t="s">
        <v>2428</v>
      </c>
      <c r="B27">
        <v>375</v>
      </c>
      <c r="C27">
        <v>181</v>
      </c>
      <c r="D27">
        <v>47</v>
      </c>
      <c r="E27">
        <v>147</v>
      </c>
    </row>
    <row r="28" spans="1:5" x14ac:dyDescent="0.3">
      <c r="A28" s="112" t="s">
        <v>190</v>
      </c>
      <c r="B28">
        <v>407</v>
      </c>
      <c r="C28">
        <v>181</v>
      </c>
      <c r="D28">
        <v>58</v>
      </c>
      <c r="E28">
        <v>168</v>
      </c>
    </row>
    <row r="29" spans="1:5" x14ac:dyDescent="0.3">
      <c r="A29" s="112" t="s">
        <v>2247</v>
      </c>
      <c r="B29">
        <v>404</v>
      </c>
      <c r="C29">
        <v>181</v>
      </c>
      <c r="D29">
        <v>57</v>
      </c>
      <c r="E29">
        <v>166</v>
      </c>
    </row>
    <row r="30" spans="1:5" x14ac:dyDescent="0.3">
      <c r="A30" s="112" t="s">
        <v>2246</v>
      </c>
      <c r="B30">
        <v>403</v>
      </c>
      <c r="C30">
        <v>181</v>
      </c>
      <c r="D30">
        <v>57</v>
      </c>
      <c r="E30">
        <v>165</v>
      </c>
    </row>
    <row r="31" spans="1:5" x14ac:dyDescent="0.3">
      <c r="A31" s="112" t="s">
        <v>3157</v>
      </c>
      <c r="B31">
        <v>11545</v>
      </c>
      <c r="C31">
        <v>5368</v>
      </c>
      <c r="D31">
        <v>1494</v>
      </c>
      <c r="E31">
        <v>4683</v>
      </c>
    </row>
  </sheetData>
  <pageMargins left="0.7" right="0.7" top="0.75" bottom="0.75" header="0.3" footer="0.3"/>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94DA83-0158-4387-BFB9-8DC9BAD1DBCF}">
  <sheetPr codeName="Sheet6"/>
  <dimension ref="A3:D31"/>
  <sheetViews>
    <sheetView workbookViewId="0">
      <selection activeCell="G23" sqref="G23"/>
    </sheetView>
  </sheetViews>
  <sheetFormatPr defaultRowHeight="14.4" x14ac:dyDescent="0.3"/>
  <cols>
    <col min="1" max="1" width="14.88671875" bestFit="1" customWidth="1"/>
    <col min="2" max="2" width="13.88671875" bestFit="1" customWidth="1"/>
    <col min="3" max="3" width="9.33203125" bestFit="1" customWidth="1"/>
    <col min="4" max="4" width="20.5546875" bestFit="1" customWidth="1"/>
  </cols>
  <sheetData>
    <row r="3" spans="1:4" x14ac:dyDescent="0.3">
      <c r="A3" s="111" t="s">
        <v>3156</v>
      </c>
      <c r="B3" t="s">
        <v>3162</v>
      </c>
      <c r="C3" t="s">
        <v>3163</v>
      </c>
      <c r="D3" t="s">
        <v>3164</v>
      </c>
    </row>
    <row r="4" spans="1:4" x14ac:dyDescent="0.3">
      <c r="A4" s="112" t="s">
        <v>2283</v>
      </c>
      <c r="B4">
        <v>114</v>
      </c>
      <c r="C4">
        <v>111</v>
      </c>
      <c r="D4">
        <v>3</v>
      </c>
    </row>
    <row r="5" spans="1:4" x14ac:dyDescent="0.3">
      <c r="A5" s="112" t="s">
        <v>6</v>
      </c>
      <c r="B5">
        <v>235</v>
      </c>
      <c r="C5">
        <v>212</v>
      </c>
      <c r="D5">
        <v>23</v>
      </c>
    </row>
    <row r="6" spans="1:4" x14ac:dyDescent="0.3">
      <c r="A6" s="112" t="s">
        <v>7</v>
      </c>
      <c r="B6">
        <v>238</v>
      </c>
      <c r="C6">
        <v>215</v>
      </c>
      <c r="D6">
        <v>23</v>
      </c>
    </row>
    <row r="7" spans="1:4" x14ac:dyDescent="0.3">
      <c r="A7" s="112" t="s">
        <v>5</v>
      </c>
      <c r="B7">
        <v>230</v>
      </c>
      <c r="C7">
        <v>209</v>
      </c>
      <c r="D7">
        <v>21</v>
      </c>
    </row>
    <row r="8" spans="1:4" x14ac:dyDescent="0.3">
      <c r="A8" s="112" t="s">
        <v>1899</v>
      </c>
      <c r="B8">
        <v>0</v>
      </c>
      <c r="C8">
        <v>0</v>
      </c>
      <c r="D8">
        <v>0</v>
      </c>
    </row>
    <row r="9" spans="1:4" x14ac:dyDescent="0.3">
      <c r="A9" s="112" t="s">
        <v>2329</v>
      </c>
      <c r="B9">
        <v>178</v>
      </c>
      <c r="C9">
        <v>149</v>
      </c>
      <c r="D9">
        <v>29</v>
      </c>
    </row>
    <row r="10" spans="1:4" x14ac:dyDescent="0.3">
      <c r="A10" s="112" t="s">
        <v>954</v>
      </c>
      <c r="B10">
        <v>103</v>
      </c>
      <c r="C10">
        <v>98</v>
      </c>
      <c r="D10">
        <v>5</v>
      </c>
    </row>
    <row r="11" spans="1:4" x14ac:dyDescent="0.3">
      <c r="A11" s="112" t="s">
        <v>2330</v>
      </c>
      <c r="B11">
        <v>152</v>
      </c>
      <c r="C11">
        <v>146</v>
      </c>
      <c r="D11">
        <v>6</v>
      </c>
    </row>
    <row r="12" spans="1:4" x14ac:dyDescent="0.3">
      <c r="A12" s="112" t="s">
        <v>2333</v>
      </c>
      <c r="B12">
        <v>0</v>
      </c>
      <c r="C12">
        <v>0</v>
      </c>
      <c r="D12">
        <v>0</v>
      </c>
    </row>
    <row r="13" spans="1:4" x14ac:dyDescent="0.3">
      <c r="A13" s="112" t="s">
        <v>2093</v>
      </c>
      <c r="B13">
        <v>198</v>
      </c>
      <c r="C13">
        <v>196</v>
      </c>
      <c r="D13">
        <v>2</v>
      </c>
    </row>
    <row r="14" spans="1:4" x14ac:dyDescent="0.3">
      <c r="A14" s="112" t="s">
        <v>2094</v>
      </c>
      <c r="B14">
        <v>198</v>
      </c>
      <c r="C14">
        <v>196</v>
      </c>
      <c r="D14">
        <v>2</v>
      </c>
    </row>
    <row r="15" spans="1:4" x14ac:dyDescent="0.3">
      <c r="A15" s="112" t="s">
        <v>2095</v>
      </c>
      <c r="B15">
        <v>198</v>
      </c>
      <c r="C15">
        <v>196</v>
      </c>
      <c r="D15">
        <v>2</v>
      </c>
    </row>
    <row r="16" spans="1:4" x14ac:dyDescent="0.3">
      <c r="A16" s="112" t="s">
        <v>2408</v>
      </c>
      <c r="B16">
        <v>174</v>
      </c>
      <c r="C16">
        <v>172</v>
      </c>
      <c r="D16">
        <v>2</v>
      </c>
    </row>
    <row r="17" spans="1:4" x14ac:dyDescent="0.3">
      <c r="A17" s="112" t="s">
        <v>2096</v>
      </c>
      <c r="B17">
        <v>198</v>
      </c>
      <c r="C17">
        <v>196</v>
      </c>
      <c r="D17">
        <v>2</v>
      </c>
    </row>
    <row r="18" spans="1:4" x14ac:dyDescent="0.3">
      <c r="A18" s="112" t="s">
        <v>1898</v>
      </c>
      <c r="B18">
        <v>0</v>
      </c>
      <c r="C18">
        <v>0</v>
      </c>
      <c r="D18">
        <v>0</v>
      </c>
    </row>
    <row r="19" spans="1:4" x14ac:dyDescent="0.3">
      <c r="A19" s="112" t="s">
        <v>1283</v>
      </c>
      <c r="B19">
        <v>1</v>
      </c>
      <c r="C19">
        <v>0</v>
      </c>
      <c r="D19">
        <v>1</v>
      </c>
    </row>
    <row r="20" spans="1:4" x14ac:dyDescent="0.3">
      <c r="A20" s="112" t="s">
        <v>2335</v>
      </c>
      <c r="B20">
        <v>8</v>
      </c>
      <c r="C20">
        <v>0</v>
      </c>
      <c r="D20">
        <v>8</v>
      </c>
    </row>
    <row r="21" spans="1:4" x14ac:dyDescent="0.3">
      <c r="A21" s="112" t="s">
        <v>2331</v>
      </c>
      <c r="B21">
        <v>70</v>
      </c>
      <c r="C21">
        <v>0</v>
      </c>
      <c r="D21">
        <v>70</v>
      </c>
    </row>
    <row r="22" spans="1:4" x14ac:dyDescent="0.3">
      <c r="A22" s="112" t="s">
        <v>2334</v>
      </c>
      <c r="B22">
        <v>7</v>
      </c>
      <c r="C22">
        <v>0</v>
      </c>
      <c r="D22">
        <v>7</v>
      </c>
    </row>
    <row r="23" spans="1:4" x14ac:dyDescent="0.3">
      <c r="A23" s="112" t="s">
        <v>2332</v>
      </c>
      <c r="B23">
        <v>13</v>
      </c>
      <c r="C23">
        <v>0</v>
      </c>
      <c r="D23">
        <v>13</v>
      </c>
    </row>
    <row r="24" spans="1:4" x14ac:dyDescent="0.3">
      <c r="A24" s="112" t="s">
        <v>1121</v>
      </c>
      <c r="B24">
        <v>0</v>
      </c>
      <c r="C24">
        <v>0</v>
      </c>
      <c r="D24">
        <v>0</v>
      </c>
    </row>
    <row r="25" spans="1:4" x14ac:dyDescent="0.3">
      <c r="A25" s="112" t="s">
        <v>4</v>
      </c>
      <c r="B25">
        <v>231</v>
      </c>
      <c r="C25">
        <v>210</v>
      </c>
      <c r="D25">
        <v>21</v>
      </c>
    </row>
    <row r="26" spans="1:4" x14ac:dyDescent="0.3">
      <c r="A26" s="112" t="s">
        <v>3</v>
      </c>
      <c r="B26">
        <v>121</v>
      </c>
      <c r="C26">
        <v>118</v>
      </c>
      <c r="D26">
        <v>3</v>
      </c>
    </row>
    <row r="27" spans="1:4" x14ac:dyDescent="0.3">
      <c r="A27" s="112" t="s">
        <v>2428</v>
      </c>
      <c r="B27">
        <v>0</v>
      </c>
      <c r="C27">
        <v>0</v>
      </c>
      <c r="D27">
        <v>0</v>
      </c>
    </row>
    <row r="28" spans="1:4" x14ac:dyDescent="0.3">
      <c r="A28" s="112" t="s">
        <v>190</v>
      </c>
      <c r="B28">
        <v>111</v>
      </c>
      <c r="C28">
        <v>108</v>
      </c>
      <c r="D28">
        <v>3</v>
      </c>
    </row>
    <row r="29" spans="1:4" x14ac:dyDescent="0.3">
      <c r="A29" s="112" t="s">
        <v>2247</v>
      </c>
      <c r="B29">
        <v>0</v>
      </c>
      <c r="C29">
        <v>0</v>
      </c>
      <c r="D29">
        <v>0</v>
      </c>
    </row>
    <row r="30" spans="1:4" x14ac:dyDescent="0.3">
      <c r="A30" s="112" t="s">
        <v>2246</v>
      </c>
      <c r="B30">
        <v>0</v>
      </c>
      <c r="C30">
        <v>0</v>
      </c>
      <c r="D30">
        <v>0</v>
      </c>
    </row>
    <row r="31" spans="1:4" x14ac:dyDescent="0.3">
      <c r="A31" s="112" t="s">
        <v>3157</v>
      </c>
      <c r="B31">
        <v>2778</v>
      </c>
      <c r="C31">
        <v>2532</v>
      </c>
      <c r="D31">
        <v>246</v>
      </c>
    </row>
  </sheetData>
  <pageMargins left="0.7" right="0.7" top="0.75" bottom="0.75" header="0.3" footer="0.3"/>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979B66-AA17-43F8-96CC-EBCA5A7F33F8}">
  <sheetPr codeName="Sheet7"/>
  <dimension ref="B1:E30"/>
  <sheetViews>
    <sheetView workbookViewId="0">
      <selection activeCell="G9" sqref="G9"/>
    </sheetView>
  </sheetViews>
  <sheetFormatPr defaultRowHeight="14.4" x14ac:dyDescent="0.3"/>
  <cols>
    <col min="2" max="2" width="14.88671875" bestFit="1" customWidth="1"/>
    <col min="3" max="3" width="9.88671875" bestFit="1" customWidth="1"/>
    <col min="4" max="4" width="10.44140625" bestFit="1" customWidth="1"/>
    <col min="5" max="5" width="18.5546875" bestFit="1" customWidth="1"/>
  </cols>
  <sheetData>
    <row r="1" spans="2:5" ht="15" thickBot="1" x14ac:dyDescent="0.35"/>
    <row r="2" spans="2:5" ht="15" thickBot="1" x14ac:dyDescent="0.35">
      <c r="B2" s="51" t="s">
        <v>2322</v>
      </c>
      <c r="C2" s="74" t="s">
        <v>3158</v>
      </c>
      <c r="D2" t="s">
        <v>3165</v>
      </c>
      <c r="E2" t="s">
        <v>3166</v>
      </c>
    </row>
    <row r="3" spans="2:5" x14ac:dyDescent="0.3">
      <c r="B3" s="54" t="s">
        <v>1841</v>
      </c>
      <c r="C3" s="45">
        <f>COUNTIF('Trade Clearing BRD Requirements'!H:H,"YES")</f>
        <v>277</v>
      </c>
      <c r="D3">
        <v>146</v>
      </c>
      <c r="E3">
        <f>C3-D3</f>
        <v>131</v>
      </c>
    </row>
    <row r="4" spans="2:5" x14ac:dyDescent="0.3">
      <c r="B4" s="55" t="s">
        <v>2283</v>
      </c>
      <c r="C4" s="52">
        <f>COUNTIF('Trade Clearing BRD Requirements'!V:V,"YES")</f>
        <v>325</v>
      </c>
      <c r="D4">
        <v>111</v>
      </c>
      <c r="E4">
        <f t="shared" ref="E4:E29" si="0">C4-D4</f>
        <v>214</v>
      </c>
    </row>
    <row r="5" spans="2:5" x14ac:dyDescent="0.3">
      <c r="B5" s="55" t="s">
        <v>3</v>
      </c>
      <c r="C5" s="52">
        <f>COUNTIF('Trade Clearing BRD Requirements'!W:W,"YES")</f>
        <v>330</v>
      </c>
      <c r="D5">
        <v>118</v>
      </c>
      <c r="E5">
        <f t="shared" si="0"/>
        <v>212</v>
      </c>
    </row>
    <row r="6" spans="2:5" x14ac:dyDescent="0.3">
      <c r="B6" s="55" t="s">
        <v>4</v>
      </c>
      <c r="C6" s="52">
        <f>COUNTIF('Trade Clearing BRD Requirements'!X:X,"YES")</f>
        <v>456</v>
      </c>
      <c r="D6">
        <v>210</v>
      </c>
      <c r="E6">
        <f t="shared" si="0"/>
        <v>246</v>
      </c>
    </row>
    <row r="7" spans="2:5" x14ac:dyDescent="0.3">
      <c r="B7" s="55" t="s">
        <v>5</v>
      </c>
      <c r="C7" s="52">
        <f>COUNTIF('Trade Clearing BRD Requirements'!Y:Y,"YES")</f>
        <v>455</v>
      </c>
      <c r="D7">
        <v>209</v>
      </c>
      <c r="E7">
        <f t="shared" si="0"/>
        <v>246</v>
      </c>
    </row>
    <row r="8" spans="2:5" x14ac:dyDescent="0.3">
      <c r="B8" s="55" t="s">
        <v>6</v>
      </c>
      <c r="C8" s="52">
        <f>COUNTIF('Trade Clearing BRD Requirements'!Z:Z,"YES")</f>
        <v>463</v>
      </c>
      <c r="D8">
        <v>212</v>
      </c>
      <c r="E8">
        <f t="shared" si="0"/>
        <v>251</v>
      </c>
    </row>
    <row r="9" spans="2:5" x14ac:dyDescent="0.3">
      <c r="B9" s="55" t="s">
        <v>7</v>
      </c>
      <c r="C9" s="52">
        <f>COUNTIF('Trade Clearing BRD Requirements'!F:F,"YES")</f>
        <v>402</v>
      </c>
      <c r="D9">
        <v>215</v>
      </c>
      <c r="E9">
        <f t="shared" si="0"/>
        <v>187</v>
      </c>
    </row>
    <row r="10" spans="2:5" x14ac:dyDescent="0.3">
      <c r="B10" s="55" t="s">
        <v>2093</v>
      </c>
      <c r="C10" s="52">
        <f>COUNTIF('Trade Clearing BRD Requirements'!AA:AA,"YES")</f>
        <v>531</v>
      </c>
      <c r="D10">
        <v>196</v>
      </c>
      <c r="E10">
        <f t="shared" si="0"/>
        <v>335</v>
      </c>
    </row>
    <row r="11" spans="2:5" x14ac:dyDescent="0.3">
      <c r="B11" s="55" t="s">
        <v>2094</v>
      </c>
      <c r="C11" s="52">
        <f>COUNTIF('Trade Clearing BRD Requirements'!J:J,"YES")</f>
        <v>502</v>
      </c>
      <c r="D11">
        <v>196</v>
      </c>
      <c r="E11">
        <f t="shared" si="0"/>
        <v>306</v>
      </c>
    </row>
    <row r="12" spans="2:5" x14ac:dyDescent="0.3">
      <c r="B12" s="55" t="s">
        <v>2095</v>
      </c>
      <c r="C12" s="52">
        <f>COUNTIF('Trade Clearing BRD Requirements'!AB:AB,"YES")</f>
        <v>539</v>
      </c>
      <c r="D12">
        <v>196</v>
      </c>
      <c r="E12">
        <f t="shared" si="0"/>
        <v>343</v>
      </c>
    </row>
    <row r="13" spans="2:5" x14ac:dyDescent="0.3">
      <c r="B13" s="55" t="s">
        <v>2096</v>
      </c>
      <c r="C13" s="52">
        <f>COUNTIF('Trade Clearing BRD Requirements'!AC:AC,"YES")</f>
        <v>539</v>
      </c>
      <c r="D13">
        <v>196</v>
      </c>
      <c r="E13">
        <f t="shared" si="0"/>
        <v>343</v>
      </c>
    </row>
    <row r="14" spans="2:5" x14ac:dyDescent="0.3">
      <c r="B14" s="55" t="s">
        <v>2408</v>
      </c>
      <c r="C14" s="52">
        <f>COUNTIF('Trade Clearing BRD Requirements'!AD:AD,"YES")</f>
        <v>537</v>
      </c>
      <c r="D14">
        <v>172</v>
      </c>
      <c r="E14">
        <f t="shared" si="0"/>
        <v>365</v>
      </c>
    </row>
    <row r="15" spans="2:5" x14ac:dyDescent="0.3">
      <c r="B15" s="55" t="s">
        <v>2329</v>
      </c>
      <c r="C15" s="52">
        <f>COUNTIF('Trade Clearing BRD Requirements'!K:K,"YES")</f>
        <v>533</v>
      </c>
      <c r="D15">
        <v>149</v>
      </c>
      <c r="E15">
        <f t="shared" si="0"/>
        <v>384</v>
      </c>
    </row>
    <row r="16" spans="2:5" x14ac:dyDescent="0.3">
      <c r="B16" s="97" t="s">
        <v>1899</v>
      </c>
      <c r="C16" s="52">
        <f>COUNTIF('Trade Clearing BRD Requirements'!AF:AF,"YES")</f>
        <v>456</v>
      </c>
      <c r="D16">
        <v>0</v>
      </c>
      <c r="E16">
        <f t="shared" si="0"/>
        <v>456</v>
      </c>
    </row>
    <row r="17" spans="2:5" x14ac:dyDescent="0.3">
      <c r="B17" s="55" t="s">
        <v>2331</v>
      </c>
      <c r="C17" s="52">
        <f>COUNTIF('Trade Clearing BRD Requirements'!AG:AG,"YES")</f>
        <v>435</v>
      </c>
      <c r="D17">
        <v>0</v>
      </c>
      <c r="E17">
        <f t="shared" si="0"/>
        <v>435</v>
      </c>
    </row>
    <row r="18" spans="2:5" x14ac:dyDescent="0.3">
      <c r="B18" s="55" t="s">
        <v>2332</v>
      </c>
      <c r="C18" s="52">
        <f>COUNTIF('Trade Clearing BRD Requirements'!AH:AH,"YES")</f>
        <v>435</v>
      </c>
      <c r="D18">
        <v>0</v>
      </c>
      <c r="E18">
        <f t="shared" si="0"/>
        <v>435</v>
      </c>
    </row>
    <row r="19" spans="2:5" x14ac:dyDescent="0.3">
      <c r="B19" s="55" t="s">
        <v>2333</v>
      </c>
      <c r="C19" s="52">
        <f>COUNTIF('Trade Clearing BRD Requirements'!AJ:AJ,"YES")</f>
        <v>423</v>
      </c>
      <c r="D19">
        <v>0</v>
      </c>
      <c r="E19">
        <f t="shared" si="0"/>
        <v>423</v>
      </c>
    </row>
    <row r="20" spans="2:5" x14ac:dyDescent="0.3">
      <c r="B20" s="98" t="s">
        <v>2334</v>
      </c>
      <c r="C20" s="52">
        <f>COUNTIF('Trade Clearing BRD Requirements'!AK:AK,"YES")</f>
        <v>441</v>
      </c>
      <c r="D20">
        <v>0</v>
      </c>
      <c r="E20">
        <f t="shared" si="0"/>
        <v>441</v>
      </c>
    </row>
    <row r="21" spans="2:5" x14ac:dyDescent="0.3">
      <c r="B21" s="98" t="s">
        <v>2335</v>
      </c>
      <c r="C21" s="52">
        <f>COUNTIF('Trade Clearing BRD Requirements'!AL:AL,"YES")</f>
        <v>441</v>
      </c>
      <c r="D21">
        <v>0</v>
      </c>
      <c r="E21">
        <f t="shared" si="0"/>
        <v>441</v>
      </c>
    </row>
    <row r="22" spans="2:5" x14ac:dyDescent="0.3">
      <c r="B22" s="55" t="s">
        <v>1283</v>
      </c>
      <c r="C22" s="52">
        <f>COUNTIF('Trade Clearing BRD Requirements'!AM:AM,"YES")</f>
        <v>422</v>
      </c>
      <c r="D22">
        <v>0</v>
      </c>
      <c r="E22">
        <f t="shared" si="0"/>
        <v>422</v>
      </c>
    </row>
    <row r="23" spans="2:5" x14ac:dyDescent="0.3">
      <c r="B23" s="55" t="s">
        <v>2246</v>
      </c>
      <c r="C23" s="52">
        <f>COUNTIF('Trade Clearing BRD Requirements'!AP:AP,"YES")</f>
        <v>403</v>
      </c>
      <c r="D23">
        <v>0</v>
      </c>
      <c r="E23">
        <f t="shared" si="0"/>
        <v>403</v>
      </c>
    </row>
    <row r="24" spans="2:5" x14ac:dyDescent="0.3">
      <c r="B24" s="55" t="s">
        <v>2247</v>
      </c>
      <c r="C24" s="52">
        <f>COUNTIF('Trade Clearing BRD Requirements'!AQ:AQ,"YES")</f>
        <v>404</v>
      </c>
      <c r="D24">
        <v>0</v>
      </c>
      <c r="E24">
        <f t="shared" si="0"/>
        <v>404</v>
      </c>
    </row>
    <row r="25" spans="2:5" x14ac:dyDescent="0.3">
      <c r="B25" s="99" t="s">
        <v>1898</v>
      </c>
      <c r="C25" s="52">
        <f>COUNTIF('Trade Clearing BRD Requirements'!AR:AR,"YES")</f>
        <v>407</v>
      </c>
      <c r="D25">
        <v>0</v>
      </c>
      <c r="E25">
        <f t="shared" si="0"/>
        <v>407</v>
      </c>
    </row>
    <row r="26" spans="2:5" x14ac:dyDescent="0.3">
      <c r="B26" s="55" t="s">
        <v>190</v>
      </c>
      <c r="C26" s="52">
        <f>COUNTIF('Trade Clearing BRD Requirements'!AS:AS,"YES")</f>
        <v>407</v>
      </c>
      <c r="D26">
        <v>108</v>
      </c>
      <c r="E26">
        <f t="shared" si="0"/>
        <v>299</v>
      </c>
    </row>
    <row r="27" spans="2:5" x14ac:dyDescent="0.3">
      <c r="B27" s="55" t="s">
        <v>954</v>
      </c>
      <c r="C27" s="52">
        <f>COUNTIF('Trade Clearing BRD Requirements'!AT:AT,"YES")</f>
        <v>411</v>
      </c>
      <c r="D27">
        <v>98</v>
      </c>
      <c r="E27">
        <f t="shared" si="0"/>
        <v>313</v>
      </c>
    </row>
    <row r="28" spans="2:5" x14ac:dyDescent="0.3">
      <c r="B28" s="60" t="s">
        <v>2428</v>
      </c>
      <c r="C28" s="68">
        <f>COUNTIF('Trade Clearing BRD Requirements'!AV:AV,"YES")</f>
        <v>375</v>
      </c>
      <c r="D28">
        <v>0</v>
      </c>
      <c r="E28">
        <f t="shared" si="0"/>
        <v>375</v>
      </c>
    </row>
    <row r="29" spans="2:5" ht="15" thickBot="1" x14ac:dyDescent="0.35">
      <c r="B29" s="56" t="s">
        <v>1121</v>
      </c>
      <c r="C29" s="68">
        <f>COUNTIF('Trade Clearing BRD Requirements'!AU:AU,"YES")</f>
        <v>0</v>
      </c>
      <c r="D29">
        <v>0</v>
      </c>
      <c r="E29">
        <f t="shared" si="0"/>
        <v>0</v>
      </c>
    </row>
    <row r="30" spans="2:5" ht="15" thickBot="1" x14ac:dyDescent="0.35">
      <c r="B30" s="57" t="s">
        <v>2325</v>
      </c>
      <c r="C30" s="51">
        <f xml:space="preserve"> SUM(C3:C29)</f>
        <v>11349</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SharedWithUsers xmlns="37c3fea1-8947-40bb-9d30-d94f3665c769">
      <UserInfo>
        <DisplayName>Schackmuth, Joni L</DisplayName>
        <AccountId>132</AccountId>
        <AccountType/>
      </UserInfo>
      <UserInfo>
        <DisplayName>Courageot, Rafaele</DisplayName>
        <AccountId>11</AccountId>
        <AccountType/>
      </UserInfo>
      <UserInfo>
        <DisplayName>Bellwood, Andrew</DisplayName>
        <AccountId>105</AccountId>
        <AccountType/>
      </UserInfo>
      <UserInfo>
        <DisplayName>Day, Tiana</DisplayName>
        <AccountId>16</AccountId>
        <AccountType/>
      </UserInfo>
    </SharedWithUser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60F25C2C0A301D449BF111DA00059003" ma:contentTypeVersion="12" ma:contentTypeDescription="Create a new document." ma:contentTypeScope="" ma:versionID="5fea4a74d765ad2898fd5a588a7bd05e">
  <xsd:schema xmlns:xsd="http://www.w3.org/2001/XMLSchema" xmlns:xs="http://www.w3.org/2001/XMLSchema" xmlns:p="http://schemas.microsoft.com/office/2006/metadata/properties" xmlns:ns2="a4e2335c-e6f0-4bc0-950f-e4d6be159d83" xmlns:ns3="37c3fea1-8947-40bb-9d30-d94f3665c769" targetNamespace="http://schemas.microsoft.com/office/2006/metadata/properties" ma:root="true" ma:fieldsID="f236ea19f525a5f40e067ec837203323" ns2:_="" ns3:_="">
    <xsd:import namespace="a4e2335c-e6f0-4bc0-950f-e4d6be159d83"/>
    <xsd:import namespace="37c3fea1-8947-40bb-9d30-d94f3665c769"/>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AutoKeyPoints" minOccurs="0"/>
                <xsd:element ref="ns2:MediaServiceKeyPoints" minOccurs="0"/>
                <xsd:element ref="ns2:MediaServiceAutoTags" minOccurs="0"/>
                <xsd:element ref="ns2:MediaServiceOCR" minOccurs="0"/>
                <xsd:element ref="ns2:MediaServiceGenerationTime" minOccurs="0"/>
                <xsd:element ref="ns2:MediaServiceEventHashCode"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4e2335c-e6f0-4bc0-950f-e4d6be159d8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2" nillable="true" ma:displayName="MediaServiceAutoKeyPoints" ma:hidden="true" ma:internalName="MediaServiceAutoKeyPoints" ma:readOnly="true">
      <xsd:simpleType>
        <xsd:restriction base="dms:Note"/>
      </xsd:simpleType>
    </xsd:element>
    <xsd:element name="MediaServiceKeyPoints" ma:index="13" nillable="true" ma:displayName="KeyPoints" ma:internalName="MediaServiceKeyPoints" ma:readOnly="true">
      <xsd:simpleType>
        <xsd:restriction base="dms:Note">
          <xsd:maxLength value="255"/>
        </xsd:restriction>
      </xsd:simpleType>
    </xsd:element>
    <xsd:element name="MediaServiceAutoTags" ma:index="14" nillable="true" ma:displayName="Tags" ma:internalName="MediaServiceAutoTags"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DateTaken" ma:index="18" nillable="true" ma:displayName="MediaServiceDateTaken" ma:hidden="true" ma:internalName="MediaServiceDateTaken" ma:readOnly="true">
      <xsd:simpleType>
        <xsd:restriction base="dms:Text"/>
      </xsd:simpleType>
    </xsd:element>
    <xsd:element name="MediaLengthInSeconds" ma:index="19"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37c3fea1-8947-40bb-9d30-d94f3665c769"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C6170DA7-C351-48CE-9E91-30E277E5F543}">
  <ds:schemaRefs>
    <ds:schemaRef ds:uri="http://schemas.microsoft.com/sharepoint/v3/contenttype/forms"/>
  </ds:schemaRefs>
</ds:datastoreItem>
</file>

<file path=customXml/itemProps2.xml><?xml version="1.0" encoding="utf-8"?>
<ds:datastoreItem xmlns:ds="http://schemas.openxmlformats.org/officeDocument/2006/customXml" ds:itemID="{68211498-34E6-4CDD-9617-619182EC1DD8}">
  <ds:schemaRefs>
    <ds:schemaRef ds:uri="http://www.w3.org/XML/1998/namespace"/>
    <ds:schemaRef ds:uri="http://purl.org/dc/terms/"/>
    <ds:schemaRef ds:uri="http://purl.org/dc/elements/1.1/"/>
    <ds:schemaRef ds:uri="http://schemas.microsoft.com/office/2006/metadata/properties"/>
    <ds:schemaRef ds:uri="http://schemas.microsoft.com/office/2006/documentManagement/types"/>
    <ds:schemaRef ds:uri="http://purl.org/dc/dcmitype/"/>
    <ds:schemaRef ds:uri="http://schemas.microsoft.com/office/infopath/2007/PartnerControls"/>
    <ds:schemaRef ds:uri="http://schemas.openxmlformats.org/package/2006/metadata/core-properties"/>
    <ds:schemaRef ds:uri="37c3fea1-8947-40bb-9d30-d94f3665c769"/>
    <ds:schemaRef ds:uri="a4e2335c-e6f0-4bc0-950f-e4d6be159d83"/>
  </ds:schemaRefs>
</ds:datastoreItem>
</file>

<file path=customXml/itemProps3.xml><?xml version="1.0" encoding="utf-8"?>
<ds:datastoreItem xmlns:ds="http://schemas.openxmlformats.org/officeDocument/2006/customXml" ds:itemID="{AE00C848-7241-4106-8916-078D3523800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4e2335c-e6f0-4bc0-950f-e4d6be159d83"/>
    <ds:schemaRef ds:uri="37c3fea1-8947-40bb-9d30-d94f3665c76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Trade Clearing BRD Requirements</vt:lpstr>
      <vt:lpstr>Legend</vt:lpstr>
      <vt:lpstr>Summary</vt:lpstr>
      <vt:lpstr>Sheet1</vt:lpstr>
      <vt:lpstr>Table 1</vt:lpstr>
      <vt:lpstr>Table 3</vt:lpstr>
      <vt:lpstr>Sheet4</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Day, Tiana</dc:creator>
  <cp:keywords/>
  <dc:description/>
  <cp:lastModifiedBy>Zairi, Sofien</cp:lastModifiedBy>
  <cp:revision/>
  <dcterms:created xsi:type="dcterms:W3CDTF">2021-01-07T15:43:28Z</dcterms:created>
  <dcterms:modified xsi:type="dcterms:W3CDTF">2024-08-08T08:34:22Z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0x01010060F25C2C0A301D449BF111DA00059003</vt:lpwstr>
  </property>
  <property fmtid="{D5CDD505-2E9C-101B-9397-08002B2CF9AE}" pid="3" name="MSIP_Label_9e1e58c1-766d-4ff4-9619-b604fc37898b_Enabled">
    <vt:lpwstr>true</vt:lpwstr>
  </property>
  <property fmtid="{D5CDD505-2E9C-101B-9397-08002B2CF9AE}" pid="4" name="MSIP_Label_9e1e58c1-766d-4ff4-9619-b604fc37898b_SetDate">
    <vt:lpwstr>2023-03-03T15:19:54Z</vt:lpwstr>
  </property>
  <property fmtid="{D5CDD505-2E9C-101B-9397-08002B2CF9AE}" pid="5" name="MSIP_Label_9e1e58c1-766d-4ff4-9619-b604fc37898b_Method">
    <vt:lpwstr>Standard</vt:lpwstr>
  </property>
  <property fmtid="{D5CDD505-2E9C-101B-9397-08002B2CF9AE}" pid="6" name="MSIP_Label_9e1e58c1-766d-4ff4-9619-b604fc37898b_Name">
    <vt:lpwstr>Internal Use</vt:lpwstr>
  </property>
  <property fmtid="{D5CDD505-2E9C-101B-9397-08002B2CF9AE}" pid="7" name="MSIP_Label_9e1e58c1-766d-4ff4-9619-b604fc37898b_SiteId">
    <vt:lpwstr>e3ff91d8-34c8-4b15-a0b4-18910a6ac575</vt:lpwstr>
  </property>
  <property fmtid="{D5CDD505-2E9C-101B-9397-08002B2CF9AE}" pid="8" name="MSIP_Label_9e1e58c1-766d-4ff4-9619-b604fc37898b_ActionId">
    <vt:lpwstr>8c0dbb90-57c6-4a15-88e3-12bac9f8a8fd</vt:lpwstr>
  </property>
  <property fmtid="{D5CDD505-2E9C-101B-9397-08002B2CF9AE}" pid="9" name="MSIP_Label_9e1e58c1-766d-4ff4-9619-b604fc37898b_ContentBits">
    <vt:lpwstr>0</vt:lpwstr>
  </property>
</Properties>
</file>